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720" yWindow="360" windowWidth="4740" windowHeight="4410" activeTab="1"/>
  </bookViews>
  <sheets>
    <sheet name="program" sheetId="1" r:id="rId1"/>
    <sheet name="Fig. 9 revised" sheetId="26" r:id="rId2"/>
    <sheet name="Fig. 8 revised" sheetId="25" r:id="rId3"/>
    <sheet name="Fig. 7 revised" sheetId="24" r:id="rId4"/>
    <sheet name="Fig. 6 revised" sheetId="23" r:id="rId5"/>
    <sheet name="fig. 4 revised" sheetId="22" r:id="rId6"/>
    <sheet name="responses to real A" sheetId="19" r:id="rId7"/>
    <sheet name="ball berry leuning" sheetId="21" r:id="rId8"/>
    <sheet name="A-ci worksheet" sheetId="20" r:id="rId9"/>
    <sheet name="instructions and example" sheetId="15" r:id="rId10"/>
    <sheet name="root and xylem worksheet" sheetId="2" r:id="rId11"/>
    <sheet name="van genuchten parameters" sheetId="10" r:id="rId12"/>
  </sheets>
  <functionGroups/>
  <externalReferences>
    <externalReference r:id="rId13"/>
  </externalReferences>
  <definedNames>
    <definedName name="b" localSheetId="5">'fig. 4 revised'!$H$9</definedName>
    <definedName name="b" localSheetId="4">'Fig. 6 revised'!$H$9</definedName>
    <definedName name="ccoef" localSheetId="5">'fig. 4 revised'!$H$10</definedName>
    <definedName name="ccoef" localSheetId="4">'Fig. 6 revised'!$H$10</definedName>
    <definedName name="free" localSheetId="5">'fig. 4 revised'!$I$12</definedName>
  </definedNames>
  <calcPr calcId="125725" concurrentCalc="0"/>
</workbook>
</file>

<file path=xl/calcChain.xml><?xml version="1.0" encoding="utf-8"?>
<calcChain xmlns="http://schemas.openxmlformats.org/spreadsheetml/2006/main">
  <c r="O39" i="1"/>
  <c r="O40"/>
  <c r="O41"/>
  <c r="O42"/>
  <c r="O43"/>
  <c r="O44"/>
  <c r="O45"/>
  <c r="O46"/>
  <c r="O47"/>
  <c r="O48"/>
  <c r="O49"/>
  <c r="O50"/>
  <c r="O51"/>
  <c r="O52"/>
  <c r="O53"/>
  <c r="O54"/>
  <c r="O55"/>
  <c r="O56"/>
  <c r="O57"/>
  <c r="O38"/>
  <c r="A35"/>
  <c r="A36"/>
  <c r="A29"/>
  <c r="A30"/>
  <c r="A31"/>
  <c r="A32"/>
  <c r="A33"/>
  <c r="A34"/>
  <c r="A21"/>
  <c r="A22"/>
  <c r="A23"/>
  <c r="A24"/>
  <c r="A25"/>
  <c r="A26"/>
  <c r="A27"/>
  <c r="A28"/>
  <c r="Y450" i="25"/>
  <c r="Y451"/>
  <c r="Y449"/>
  <c r="Y452"/>
  <c r="X452"/>
  <c r="Y31"/>
  <c r="Y29"/>
  <c r="Y30"/>
  <c r="Y28"/>
  <c r="Y113"/>
  <c r="Y114"/>
  <c r="Y112"/>
  <c r="Y115"/>
  <c r="X115"/>
  <c r="Y109"/>
  <c r="Y110"/>
  <c r="Y108"/>
  <c r="Y107"/>
  <c r="X31"/>
  <c r="X110"/>
  <c r="U8" i="26"/>
  <c r="U9"/>
  <c r="U10"/>
  <c r="U11"/>
  <c r="U12"/>
  <c r="U13"/>
  <c r="U14"/>
  <c r="U15"/>
  <c r="U16"/>
  <c r="U17"/>
  <c r="U18"/>
  <c r="U19"/>
  <c r="U20"/>
  <c r="U21"/>
  <c r="U22"/>
  <c r="U23"/>
  <c r="U24"/>
  <c r="U25"/>
  <c r="U26"/>
  <c r="U7"/>
  <c r="C11"/>
  <c r="C12"/>
  <c r="C13"/>
  <c r="C14"/>
  <c r="C15"/>
  <c r="C16"/>
  <c r="C17"/>
  <c r="C18"/>
  <c r="C19"/>
  <c r="C20"/>
  <c r="C21"/>
  <c r="C22"/>
  <c r="C23"/>
  <c r="C24"/>
  <c r="C25"/>
  <c r="C26"/>
  <c r="X451" i="25"/>
  <c r="X450"/>
  <c r="X449"/>
  <c r="Y119"/>
  <c r="X119"/>
  <c r="Y118"/>
  <c r="X118"/>
  <c r="Y117"/>
  <c r="X117"/>
  <c r="X107"/>
  <c r="X114"/>
  <c r="X113"/>
  <c r="X112"/>
  <c r="X109"/>
  <c r="X108"/>
  <c r="X30"/>
  <c r="X29"/>
  <c r="X28"/>
  <c r="N108" i="23"/>
  <c r="N107"/>
  <c r="N106"/>
  <c r="N104"/>
  <c r="N105"/>
  <c r="N95"/>
  <c r="N96"/>
  <c r="N97"/>
  <c r="N98"/>
  <c r="N99"/>
  <c r="N100"/>
  <c r="N101"/>
  <c r="N102"/>
  <c r="N103"/>
  <c r="N94"/>
  <c r="K549" i="25"/>
  <c r="L549"/>
  <c r="M549"/>
  <c r="N549"/>
  <c r="K550"/>
  <c r="L550"/>
  <c r="M550"/>
  <c r="N550"/>
  <c r="K551"/>
  <c r="L551"/>
  <c r="M551"/>
  <c r="N551"/>
  <c r="K552"/>
  <c r="L552"/>
  <c r="M552"/>
  <c r="N552"/>
  <c r="K553"/>
  <c r="L553"/>
  <c r="M553"/>
  <c r="N553"/>
  <c r="K554"/>
  <c r="L554"/>
  <c r="M554"/>
  <c r="N554"/>
  <c r="K555"/>
  <c r="L555"/>
  <c r="M555"/>
  <c r="N555"/>
  <c r="K556"/>
  <c r="L556"/>
  <c r="M556"/>
  <c r="N556"/>
  <c r="K557"/>
  <c r="L557"/>
  <c r="M557"/>
  <c r="N557"/>
  <c r="K558"/>
  <c r="L558"/>
  <c r="M558"/>
  <c r="N558"/>
  <c r="K559"/>
  <c r="L559"/>
  <c r="M559"/>
  <c r="N559"/>
  <c r="K560"/>
  <c r="L560"/>
  <c r="M560"/>
  <c r="N560"/>
  <c r="K561"/>
  <c r="L561"/>
  <c r="M561"/>
  <c r="N561"/>
  <c r="K562"/>
  <c r="L562"/>
  <c r="M562"/>
  <c r="N562"/>
  <c r="K563"/>
  <c r="L563"/>
  <c r="M563"/>
  <c r="N563"/>
  <c r="K564"/>
  <c r="L564"/>
  <c r="M564"/>
  <c r="N564"/>
  <c r="K565"/>
  <c r="L565"/>
  <c r="M565"/>
  <c r="N565"/>
  <c r="K566"/>
  <c r="L566"/>
  <c r="M566"/>
  <c r="N566"/>
  <c r="K567"/>
  <c r="L567"/>
  <c r="M567"/>
  <c r="N567"/>
  <c r="K568"/>
  <c r="L568"/>
  <c r="M568"/>
  <c r="N568"/>
  <c r="K569"/>
  <c r="L569"/>
  <c r="M569"/>
  <c r="N569"/>
  <c r="K570"/>
  <c r="L570"/>
  <c r="M570"/>
  <c r="N570"/>
  <c r="K571"/>
  <c r="L571"/>
  <c r="M571"/>
  <c r="N571"/>
  <c r="K572"/>
  <c r="L572"/>
  <c r="M572"/>
  <c r="N572"/>
  <c r="K573"/>
  <c r="L573"/>
  <c r="M573"/>
  <c r="N573"/>
  <c r="K574"/>
  <c r="L574"/>
  <c r="M574"/>
  <c r="N574"/>
  <c r="K575"/>
  <c r="L575"/>
  <c r="M575"/>
  <c r="N575"/>
  <c r="K576"/>
  <c r="L576"/>
  <c r="M576"/>
  <c r="N576"/>
  <c r="K577"/>
  <c r="L577"/>
  <c r="M577"/>
  <c r="N577"/>
  <c r="K578"/>
  <c r="L578"/>
  <c r="M578"/>
  <c r="N578"/>
  <c r="K579"/>
  <c r="L579"/>
  <c r="M579"/>
  <c r="N579"/>
  <c r="K580"/>
  <c r="L580"/>
  <c r="M580"/>
  <c r="N580"/>
  <c r="K581"/>
  <c r="L581"/>
  <c r="M581"/>
  <c r="N581"/>
  <c r="K582"/>
  <c r="L582"/>
  <c r="M582"/>
  <c r="N582"/>
  <c r="K583"/>
  <c r="L583"/>
  <c r="M583"/>
  <c r="N583"/>
  <c r="K584"/>
  <c r="L584"/>
  <c r="M584"/>
  <c r="N584"/>
  <c r="K585"/>
  <c r="L585"/>
  <c r="M585"/>
  <c r="N585"/>
  <c r="K586"/>
  <c r="L586"/>
  <c r="M586"/>
  <c r="N586"/>
  <c r="K587"/>
  <c r="L587"/>
  <c r="M587"/>
  <c r="N587"/>
  <c r="K588"/>
  <c r="L588"/>
  <c r="M588"/>
  <c r="N588"/>
  <c r="K589"/>
  <c r="L589"/>
  <c r="M589"/>
  <c r="N589"/>
  <c r="K590"/>
  <c r="L590"/>
  <c r="M590"/>
  <c r="N590"/>
  <c r="K591"/>
  <c r="L591"/>
  <c r="M591"/>
  <c r="N591"/>
  <c r="K592"/>
  <c r="L592"/>
  <c r="M592"/>
  <c r="N592"/>
  <c r="K593"/>
  <c r="L593"/>
  <c r="M593"/>
  <c r="N593"/>
  <c r="K594"/>
  <c r="L594"/>
  <c r="M594"/>
  <c r="N594"/>
  <c r="K595"/>
  <c r="L595"/>
  <c r="M595"/>
  <c r="N595"/>
  <c r="K596"/>
  <c r="L596"/>
  <c r="M596"/>
  <c r="N596"/>
  <c r="K597"/>
  <c r="L597"/>
  <c r="M597"/>
  <c r="N597"/>
  <c r="K598"/>
  <c r="L598"/>
  <c r="M598"/>
  <c r="N598"/>
  <c r="K599"/>
  <c r="L599"/>
  <c r="M599"/>
  <c r="N599"/>
  <c r="K600"/>
  <c r="L600"/>
  <c r="M600"/>
  <c r="N600"/>
  <c r="K523"/>
  <c r="L523"/>
  <c r="M523"/>
  <c r="N523"/>
  <c r="K524"/>
  <c r="L524"/>
  <c r="M524"/>
  <c r="N524"/>
  <c r="K525"/>
  <c r="L525"/>
  <c r="M525"/>
  <c r="N525"/>
  <c r="K526"/>
  <c r="L526"/>
  <c r="M526"/>
  <c r="N526"/>
  <c r="K527"/>
  <c r="L527"/>
  <c r="M527"/>
  <c r="N527"/>
  <c r="K528"/>
  <c r="L528"/>
  <c r="M528"/>
  <c r="N528"/>
  <c r="K529"/>
  <c r="L529"/>
  <c r="M529"/>
  <c r="N529"/>
  <c r="K530"/>
  <c r="L530"/>
  <c r="M530"/>
  <c r="N530"/>
  <c r="K531"/>
  <c r="L531"/>
  <c r="M531"/>
  <c r="N531"/>
  <c r="K532"/>
  <c r="L532"/>
  <c r="M532"/>
  <c r="N532"/>
  <c r="K533"/>
  <c r="L533"/>
  <c r="M533"/>
  <c r="N533"/>
  <c r="K534"/>
  <c r="L534"/>
  <c r="M534"/>
  <c r="N534"/>
  <c r="K535"/>
  <c r="L535"/>
  <c r="M535"/>
  <c r="N535"/>
  <c r="K536"/>
  <c r="L536"/>
  <c r="M536"/>
  <c r="N536"/>
  <c r="K537"/>
  <c r="L537"/>
  <c r="M537"/>
  <c r="N537"/>
  <c r="K538"/>
  <c r="L538"/>
  <c r="M538"/>
  <c r="N538"/>
  <c r="K539"/>
  <c r="L539"/>
  <c r="M539"/>
  <c r="N539"/>
  <c r="K540"/>
  <c r="L540"/>
  <c r="M540"/>
  <c r="N540"/>
  <c r="K541"/>
  <c r="L541"/>
  <c r="M541"/>
  <c r="N541"/>
  <c r="K542"/>
  <c r="L542"/>
  <c r="M542"/>
  <c r="N542"/>
  <c r="K543"/>
  <c r="L543"/>
  <c r="M543"/>
  <c r="N543"/>
  <c r="K544"/>
  <c r="L544"/>
  <c r="M544"/>
  <c r="N544"/>
  <c r="K545"/>
  <c r="L545"/>
  <c r="M545"/>
  <c r="N545"/>
  <c r="N511"/>
  <c r="K511"/>
  <c r="L511"/>
  <c r="M511"/>
  <c r="K512"/>
  <c r="L512"/>
  <c r="M512"/>
  <c r="N512"/>
  <c r="K513"/>
  <c r="L513"/>
  <c r="M513"/>
  <c r="N513"/>
  <c r="K514"/>
  <c r="L514"/>
  <c r="M514"/>
  <c r="N514"/>
  <c r="K515"/>
  <c r="L515"/>
  <c r="M515"/>
  <c r="N515"/>
  <c r="K516"/>
  <c r="L516"/>
  <c r="M516"/>
  <c r="N516"/>
  <c r="K517"/>
  <c r="L517"/>
  <c r="M517"/>
  <c r="N517"/>
  <c r="K518"/>
  <c r="L518"/>
  <c r="M518"/>
  <c r="N518"/>
  <c r="K519"/>
  <c r="L519"/>
  <c r="M519"/>
  <c r="N519"/>
  <c r="K491"/>
  <c r="L491"/>
  <c r="M491"/>
  <c r="N491"/>
  <c r="K492"/>
  <c r="L492"/>
  <c r="M492"/>
  <c r="N492"/>
  <c r="K493"/>
  <c r="L493"/>
  <c r="M493"/>
  <c r="N493"/>
  <c r="K494"/>
  <c r="L494"/>
  <c r="M494"/>
  <c r="N494"/>
  <c r="K495"/>
  <c r="L495"/>
  <c r="M495"/>
  <c r="N495"/>
  <c r="K496"/>
  <c r="L496"/>
  <c r="M496"/>
  <c r="N496"/>
  <c r="K497"/>
  <c r="L497"/>
  <c r="M497"/>
  <c r="N497"/>
  <c r="K498"/>
  <c r="L498"/>
  <c r="M498"/>
  <c r="N498"/>
  <c r="K499"/>
  <c r="L499"/>
  <c r="M499"/>
  <c r="N499"/>
  <c r="K500"/>
  <c r="L500"/>
  <c r="M500"/>
  <c r="N500"/>
  <c r="K501"/>
  <c r="L501"/>
  <c r="M501"/>
  <c r="N501"/>
  <c r="K502"/>
  <c r="L502"/>
  <c r="M502"/>
  <c r="N502"/>
  <c r="K503"/>
  <c r="L503"/>
  <c r="M503"/>
  <c r="N503"/>
  <c r="K504"/>
  <c r="L504"/>
  <c r="M504"/>
  <c r="N504"/>
  <c r="K505"/>
  <c r="L505"/>
  <c r="M505"/>
  <c r="N505"/>
  <c r="K506"/>
  <c r="L506"/>
  <c r="M506"/>
  <c r="N506"/>
  <c r="K507"/>
  <c r="L507"/>
  <c r="M507"/>
  <c r="N507"/>
  <c r="K470"/>
  <c r="L470"/>
  <c r="M470"/>
  <c r="N470"/>
  <c r="K471"/>
  <c r="L471"/>
  <c r="M471"/>
  <c r="N471"/>
  <c r="K472"/>
  <c r="L472"/>
  <c r="M472"/>
  <c r="N472"/>
  <c r="K473"/>
  <c r="L473"/>
  <c r="M473"/>
  <c r="N473"/>
  <c r="K474"/>
  <c r="L474"/>
  <c r="M474"/>
  <c r="N474"/>
  <c r="K475"/>
  <c r="L475"/>
  <c r="M475"/>
  <c r="N475"/>
  <c r="K476"/>
  <c r="L476"/>
  <c r="M476"/>
  <c r="N476"/>
  <c r="K477"/>
  <c r="L477"/>
  <c r="M477"/>
  <c r="N477"/>
  <c r="K478"/>
  <c r="L478"/>
  <c r="M478"/>
  <c r="N478"/>
  <c r="K479"/>
  <c r="L479"/>
  <c r="M479"/>
  <c r="N479"/>
  <c r="K480"/>
  <c r="L480"/>
  <c r="M480"/>
  <c r="N480"/>
  <c r="K481"/>
  <c r="L481"/>
  <c r="M481"/>
  <c r="N481"/>
  <c r="K482"/>
  <c r="L482"/>
  <c r="M482"/>
  <c r="N482"/>
  <c r="K483"/>
  <c r="L483"/>
  <c r="M483"/>
  <c r="N483"/>
  <c r="K484"/>
  <c r="L484"/>
  <c r="M484"/>
  <c r="N484"/>
  <c r="K485"/>
  <c r="L485"/>
  <c r="M485"/>
  <c r="N485"/>
  <c r="K486"/>
  <c r="L486"/>
  <c r="M486"/>
  <c r="N486"/>
  <c r="N449"/>
  <c r="K449"/>
  <c r="L449"/>
  <c r="M449"/>
  <c r="K427"/>
  <c r="L427"/>
  <c r="M427"/>
  <c r="K450"/>
  <c r="L450"/>
  <c r="M450"/>
  <c r="K451"/>
  <c r="L451"/>
  <c r="M451"/>
  <c r="K452"/>
  <c r="L452"/>
  <c r="M452"/>
  <c r="K453"/>
  <c r="L453"/>
  <c r="M453"/>
  <c r="K454"/>
  <c r="L454"/>
  <c r="M454"/>
  <c r="K455"/>
  <c r="L455"/>
  <c r="M455"/>
  <c r="K456"/>
  <c r="L456"/>
  <c r="M456"/>
  <c r="K457"/>
  <c r="L457"/>
  <c r="M457"/>
  <c r="K458"/>
  <c r="L458"/>
  <c r="M458"/>
  <c r="K459"/>
  <c r="L459"/>
  <c r="M459"/>
  <c r="K460"/>
  <c r="L460"/>
  <c r="M460"/>
  <c r="K461"/>
  <c r="L461"/>
  <c r="M461"/>
  <c r="K462"/>
  <c r="L462"/>
  <c r="M462"/>
  <c r="K463"/>
  <c r="L463"/>
  <c r="M463"/>
  <c r="K464"/>
  <c r="L464"/>
  <c r="M464"/>
  <c r="K465"/>
  <c r="L465"/>
  <c r="M465"/>
  <c r="N450"/>
  <c r="N451"/>
  <c r="N452"/>
  <c r="N453"/>
  <c r="N454"/>
  <c r="N455"/>
  <c r="N456"/>
  <c r="N457"/>
  <c r="N458"/>
  <c r="N459"/>
  <c r="N460"/>
  <c r="N461"/>
  <c r="N462"/>
  <c r="N463"/>
  <c r="N464"/>
  <c r="N465"/>
  <c r="N427"/>
  <c r="K428"/>
  <c r="L428"/>
  <c r="M428"/>
  <c r="N428"/>
  <c r="K429"/>
  <c r="L429"/>
  <c r="M429"/>
  <c r="N429"/>
  <c r="K430"/>
  <c r="L430"/>
  <c r="M430"/>
  <c r="N430"/>
  <c r="K431"/>
  <c r="L431"/>
  <c r="M431"/>
  <c r="N431"/>
  <c r="K432"/>
  <c r="L432"/>
  <c r="M432"/>
  <c r="N432"/>
  <c r="K433"/>
  <c r="L433"/>
  <c r="M433"/>
  <c r="N433"/>
  <c r="K434"/>
  <c r="L434"/>
  <c r="M434"/>
  <c r="N434"/>
  <c r="K435"/>
  <c r="L435"/>
  <c r="M435"/>
  <c r="N435"/>
  <c r="K436"/>
  <c r="L436"/>
  <c r="M436"/>
  <c r="N436"/>
  <c r="K437"/>
  <c r="L437"/>
  <c r="M437"/>
  <c r="N437"/>
  <c r="K438"/>
  <c r="L438"/>
  <c r="M438"/>
  <c r="N438"/>
  <c r="K439"/>
  <c r="L439"/>
  <c r="M439"/>
  <c r="N439"/>
  <c r="K440"/>
  <c r="L440"/>
  <c r="M440"/>
  <c r="N440"/>
  <c r="K441"/>
  <c r="L441"/>
  <c r="M441"/>
  <c r="N441"/>
  <c r="K442"/>
  <c r="L442"/>
  <c r="M442"/>
  <c r="N442"/>
  <c r="K443"/>
  <c r="L443"/>
  <c r="M443"/>
  <c r="N443"/>
  <c r="N416"/>
  <c r="K417"/>
  <c r="L417"/>
  <c r="M417"/>
  <c r="K418"/>
  <c r="L418"/>
  <c r="M418"/>
  <c r="K419"/>
  <c r="L419"/>
  <c r="M419"/>
  <c r="K420"/>
  <c r="L420"/>
  <c r="M420"/>
  <c r="K421"/>
  <c r="L421"/>
  <c r="M421"/>
  <c r="K422"/>
  <c r="L422"/>
  <c r="M422"/>
  <c r="K416"/>
  <c r="L416"/>
  <c r="M416"/>
  <c r="K411"/>
  <c r="N417"/>
  <c r="N418"/>
  <c r="N419"/>
  <c r="N420"/>
  <c r="N421"/>
  <c r="N422"/>
  <c r="K392"/>
  <c r="L392"/>
  <c r="M392"/>
  <c r="N392"/>
  <c r="K393"/>
  <c r="L393"/>
  <c r="M393"/>
  <c r="N393"/>
  <c r="K394"/>
  <c r="L394"/>
  <c r="M394"/>
  <c r="N394"/>
  <c r="K395"/>
  <c r="L395"/>
  <c r="M395"/>
  <c r="N395"/>
  <c r="K396"/>
  <c r="L396"/>
  <c r="M396"/>
  <c r="N396"/>
  <c r="K397"/>
  <c r="L397"/>
  <c r="M397"/>
  <c r="N397"/>
  <c r="K398"/>
  <c r="L398"/>
  <c r="M398"/>
  <c r="N398"/>
  <c r="K399"/>
  <c r="L399"/>
  <c r="M399"/>
  <c r="N399"/>
  <c r="K400"/>
  <c r="L400"/>
  <c r="M400"/>
  <c r="N400"/>
  <c r="K401"/>
  <c r="L401"/>
  <c r="M401"/>
  <c r="N401"/>
  <c r="K402"/>
  <c r="L402"/>
  <c r="M402"/>
  <c r="N402"/>
  <c r="K403"/>
  <c r="L403"/>
  <c r="M403"/>
  <c r="N403"/>
  <c r="K404"/>
  <c r="L404"/>
  <c r="M404"/>
  <c r="N404"/>
  <c r="K405"/>
  <c r="L405"/>
  <c r="M405"/>
  <c r="N405"/>
  <c r="K406"/>
  <c r="L406"/>
  <c r="M406"/>
  <c r="N406"/>
  <c r="K407"/>
  <c r="L407"/>
  <c r="M407"/>
  <c r="N407"/>
  <c r="K408"/>
  <c r="L408"/>
  <c r="M408"/>
  <c r="N408"/>
  <c r="K409"/>
  <c r="L409"/>
  <c r="M409"/>
  <c r="N409"/>
  <c r="K410"/>
  <c r="L410"/>
  <c r="M410"/>
  <c r="N410"/>
  <c r="L411"/>
  <c r="M411"/>
  <c r="N411"/>
  <c r="K370"/>
  <c r="L370"/>
  <c r="M370"/>
  <c r="N370"/>
  <c r="K371"/>
  <c r="L371"/>
  <c r="M371"/>
  <c r="N371"/>
  <c r="K372"/>
  <c r="L372"/>
  <c r="M372"/>
  <c r="N372"/>
  <c r="K373"/>
  <c r="L373"/>
  <c r="M373"/>
  <c r="N373"/>
  <c r="K374"/>
  <c r="L374"/>
  <c r="M374"/>
  <c r="N374"/>
  <c r="K375"/>
  <c r="L375"/>
  <c r="M375"/>
  <c r="N375"/>
  <c r="K376"/>
  <c r="L376"/>
  <c r="M376"/>
  <c r="N376"/>
  <c r="K377"/>
  <c r="L377"/>
  <c r="M377"/>
  <c r="N377"/>
  <c r="K378"/>
  <c r="L378"/>
  <c r="M378"/>
  <c r="N378"/>
  <c r="K379"/>
  <c r="L379"/>
  <c r="M379"/>
  <c r="N379"/>
  <c r="K380"/>
  <c r="L380"/>
  <c r="M380"/>
  <c r="N380"/>
  <c r="K381"/>
  <c r="L381"/>
  <c r="M381"/>
  <c r="N381"/>
  <c r="K382"/>
  <c r="L382"/>
  <c r="M382"/>
  <c r="N382"/>
  <c r="K383"/>
  <c r="L383"/>
  <c r="M383"/>
  <c r="N383"/>
  <c r="K384"/>
  <c r="L384"/>
  <c r="M384"/>
  <c r="N384"/>
  <c r="K385"/>
  <c r="L385"/>
  <c r="M385"/>
  <c r="N385"/>
  <c r="K386"/>
  <c r="L386"/>
  <c r="M386"/>
  <c r="N386"/>
  <c r="K387"/>
  <c r="L387"/>
  <c r="M387"/>
  <c r="N387"/>
  <c r="K388"/>
  <c r="L388"/>
  <c r="M388"/>
  <c r="N388"/>
  <c r="K389"/>
  <c r="L389"/>
  <c r="M389"/>
  <c r="N389"/>
  <c r="K348"/>
  <c r="L348"/>
  <c r="M348"/>
  <c r="N348"/>
  <c r="K349"/>
  <c r="L349"/>
  <c r="M349"/>
  <c r="N349"/>
  <c r="K350"/>
  <c r="L350"/>
  <c r="M350"/>
  <c r="N350"/>
  <c r="K351"/>
  <c r="L351"/>
  <c r="M351"/>
  <c r="N351"/>
  <c r="K352"/>
  <c r="L352"/>
  <c r="M352"/>
  <c r="N352"/>
  <c r="K353"/>
  <c r="L353"/>
  <c r="M353"/>
  <c r="N353"/>
  <c r="K354"/>
  <c r="L354"/>
  <c r="M354"/>
  <c r="N354"/>
  <c r="K355"/>
  <c r="L355"/>
  <c r="M355"/>
  <c r="N355"/>
  <c r="K356"/>
  <c r="L356"/>
  <c r="M356"/>
  <c r="N356"/>
  <c r="K357"/>
  <c r="L357"/>
  <c r="M357"/>
  <c r="N357"/>
  <c r="K358"/>
  <c r="L358"/>
  <c r="M358"/>
  <c r="N358"/>
  <c r="K359"/>
  <c r="L359"/>
  <c r="M359"/>
  <c r="N359"/>
  <c r="K360"/>
  <c r="L360"/>
  <c r="M360"/>
  <c r="N360"/>
  <c r="K361"/>
  <c r="L361"/>
  <c r="M361"/>
  <c r="N361"/>
  <c r="K362"/>
  <c r="L362"/>
  <c r="M362"/>
  <c r="N362"/>
  <c r="K363"/>
  <c r="L363"/>
  <c r="M363"/>
  <c r="N363"/>
  <c r="K364"/>
  <c r="L364"/>
  <c r="M364"/>
  <c r="N364"/>
  <c r="K365"/>
  <c r="L365"/>
  <c r="M365"/>
  <c r="N365"/>
  <c r="K366"/>
  <c r="L366"/>
  <c r="M366"/>
  <c r="N366"/>
  <c r="K367"/>
  <c r="L367"/>
  <c r="M367"/>
  <c r="N367"/>
  <c r="K326"/>
  <c r="L326"/>
  <c r="M326"/>
  <c r="N326"/>
  <c r="K327"/>
  <c r="L327"/>
  <c r="M327"/>
  <c r="N327"/>
  <c r="K328"/>
  <c r="L328"/>
  <c r="M328"/>
  <c r="N328"/>
  <c r="K329"/>
  <c r="L329"/>
  <c r="M329"/>
  <c r="N329"/>
  <c r="K330"/>
  <c r="L330"/>
  <c r="M330"/>
  <c r="N330"/>
  <c r="K331"/>
  <c r="L331"/>
  <c r="M331"/>
  <c r="N331"/>
  <c r="K332"/>
  <c r="L332"/>
  <c r="M332"/>
  <c r="N332"/>
  <c r="K333"/>
  <c r="L333"/>
  <c r="M333"/>
  <c r="N333"/>
  <c r="K334"/>
  <c r="L334"/>
  <c r="M334"/>
  <c r="N334"/>
  <c r="K335"/>
  <c r="L335"/>
  <c r="M335"/>
  <c r="N335"/>
  <c r="K336"/>
  <c r="L336"/>
  <c r="M336"/>
  <c r="N336"/>
  <c r="K337"/>
  <c r="L337"/>
  <c r="M337"/>
  <c r="N337"/>
  <c r="K338"/>
  <c r="L338"/>
  <c r="M338"/>
  <c r="N338"/>
  <c r="K339"/>
  <c r="L339"/>
  <c r="M339"/>
  <c r="N339"/>
  <c r="K340"/>
  <c r="L340"/>
  <c r="M340"/>
  <c r="N340"/>
  <c r="K341"/>
  <c r="L341"/>
  <c r="M341"/>
  <c r="N341"/>
  <c r="K342"/>
  <c r="L342"/>
  <c r="M342"/>
  <c r="N342"/>
  <c r="K343"/>
  <c r="L343"/>
  <c r="M343"/>
  <c r="N343"/>
  <c r="K344"/>
  <c r="L344"/>
  <c r="M344"/>
  <c r="N344"/>
  <c r="K345"/>
  <c r="L345"/>
  <c r="M345"/>
  <c r="N345"/>
  <c r="K303"/>
  <c r="L303"/>
  <c r="M303"/>
  <c r="N303"/>
  <c r="K304"/>
  <c r="L304"/>
  <c r="M304"/>
  <c r="N304"/>
  <c r="K305"/>
  <c r="L305"/>
  <c r="M305"/>
  <c r="N305"/>
  <c r="K306"/>
  <c r="L306"/>
  <c r="M306"/>
  <c r="N306"/>
  <c r="K307"/>
  <c r="L307"/>
  <c r="M307"/>
  <c r="N307"/>
  <c r="K308"/>
  <c r="L308"/>
  <c r="M308"/>
  <c r="N308"/>
  <c r="K309"/>
  <c r="L309"/>
  <c r="M309"/>
  <c r="N309"/>
  <c r="K310"/>
  <c r="L310"/>
  <c r="M310"/>
  <c r="N310"/>
  <c r="K311"/>
  <c r="L311"/>
  <c r="M311"/>
  <c r="N311"/>
  <c r="K312"/>
  <c r="L312"/>
  <c r="M312"/>
  <c r="N312"/>
  <c r="K313"/>
  <c r="L313"/>
  <c r="M313"/>
  <c r="N313"/>
  <c r="K314"/>
  <c r="L314"/>
  <c r="M314"/>
  <c r="N314"/>
  <c r="K315"/>
  <c r="L315"/>
  <c r="M315"/>
  <c r="N315"/>
  <c r="K316"/>
  <c r="L316"/>
  <c r="M316"/>
  <c r="N316"/>
  <c r="K317"/>
  <c r="L317"/>
  <c r="M317"/>
  <c r="N317"/>
  <c r="K318"/>
  <c r="L318"/>
  <c r="M318"/>
  <c r="N318"/>
  <c r="K319"/>
  <c r="L319"/>
  <c r="M319"/>
  <c r="N319"/>
  <c r="K320"/>
  <c r="L320"/>
  <c r="M320"/>
  <c r="N320"/>
  <c r="K321"/>
  <c r="L321"/>
  <c r="M321"/>
  <c r="N321"/>
  <c r="K322"/>
  <c r="L322"/>
  <c r="M322"/>
  <c r="N322"/>
  <c r="K279"/>
  <c r="L279"/>
  <c r="M279"/>
  <c r="K280"/>
  <c r="L280"/>
  <c r="M280"/>
  <c r="N280"/>
  <c r="K281"/>
  <c r="L281"/>
  <c r="M281"/>
  <c r="N281"/>
  <c r="K282"/>
  <c r="L282"/>
  <c r="M282"/>
  <c r="N282"/>
  <c r="K283"/>
  <c r="L283"/>
  <c r="M283"/>
  <c r="N283"/>
  <c r="K284"/>
  <c r="L284"/>
  <c r="M284"/>
  <c r="N284"/>
  <c r="K285"/>
  <c r="L285"/>
  <c r="M285"/>
  <c r="N285"/>
  <c r="K286"/>
  <c r="L286"/>
  <c r="M286"/>
  <c r="N286"/>
  <c r="K287"/>
  <c r="L287"/>
  <c r="M287"/>
  <c r="N287"/>
  <c r="K288"/>
  <c r="L288"/>
  <c r="M288"/>
  <c r="N288"/>
  <c r="K289"/>
  <c r="L289"/>
  <c r="M289"/>
  <c r="N289"/>
  <c r="K290"/>
  <c r="L290"/>
  <c r="M290"/>
  <c r="N290"/>
  <c r="K291"/>
  <c r="L291"/>
  <c r="M291"/>
  <c r="N291"/>
  <c r="K292"/>
  <c r="L292"/>
  <c r="M292"/>
  <c r="N292"/>
  <c r="K293"/>
  <c r="L293"/>
  <c r="M293"/>
  <c r="N293"/>
  <c r="K294"/>
  <c r="L294"/>
  <c r="M294"/>
  <c r="N294"/>
  <c r="K295"/>
  <c r="L295"/>
  <c r="M295"/>
  <c r="N295"/>
  <c r="K296"/>
  <c r="L296"/>
  <c r="M296"/>
  <c r="N296"/>
  <c r="K297"/>
  <c r="L297"/>
  <c r="M297"/>
  <c r="N297"/>
  <c r="K298"/>
  <c r="L298"/>
  <c r="M298"/>
  <c r="N298"/>
  <c r="N279"/>
  <c r="K109"/>
  <c r="L109"/>
  <c r="M109"/>
  <c r="N109"/>
  <c r="K110"/>
  <c r="L110"/>
  <c r="M110"/>
  <c r="N110"/>
  <c r="K111"/>
  <c r="L111"/>
  <c r="M111"/>
  <c r="N111"/>
  <c r="K112"/>
  <c r="L112"/>
  <c r="M112"/>
  <c r="N112"/>
  <c r="K113"/>
  <c r="L113"/>
  <c r="M113"/>
  <c r="N113"/>
  <c r="K114"/>
  <c r="L114"/>
  <c r="M114"/>
  <c r="N114"/>
  <c r="K115"/>
  <c r="L115"/>
  <c r="M115"/>
  <c r="N115"/>
  <c r="K116"/>
  <c r="L116"/>
  <c r="M116"/>
  <c r="N116"/>
  <c r="K117"/>
  <c r="L117"/>
  <c r="M117"/>
  <c r="N117"/>
  <c r="K118"/>
  <c r="L118"/>
  <c r="M118"/>
  <c r="N118"/>
  <c r="K119"/>
  <c r="L119"/>
  <c r="M119"/>
  <c r="N119"/>
  <c r="K120"/>
  <c r="L120"/>
  <c r="M120"/>
  <c r="N120"/>
  <c r="K121"/>
  <c r="L121"/>
  <c r="M121"/>
  <c r="N121"/>
  <c r="K123"/>
  <c r="L123"/>
  <c r="M123"/>
  <c r="N123"/>
  <c r="K124"/>
  <c r="L124"/>
  <c r="M124"/>
  <c r="N124"/>
  <c r="K125"/>
  <c r="L125"/>
  <c r="M125"/>
  <c r="N125"/>
  <c r="K126"/>
  <c r="L126"/>
  <c r="M126"/>
  <c r="N126"/>
  <c r="K127"/>
  <c r="L127"/>
  <c r="M127"/>
  <c r="N127"/>
  <c r="K128"/>
  <c r="L128"/>
  <c r="M128"/>
  <c r="N128"/>
  <c r="K129"/>
  <c r="L129"/>
  <c r="M129"/>
  <c r="N129"/>
  <c r="K130"/>
  <c r="L130"/>
  <c r="M130"/>
  <c r="N130"/>
  <c r="K131"/>
  <c r="L131"/>
  <c r="M131"/>
  <c r="N131"/>
  <c r="K132"/>
  <c r="L132"/>
  <c r="M132"/>
  <c r="N132"/>
  <c r="K133"/>
  <c r="L133"/>
  <c r="M133"/>
  <c r="N133"/>
  <c r="K134"/>
  <c r="L134"/>
  <c r="M134"/>
  <c r="N134"/>
  <c r="K135"/>
  <c r="L135"/>
  <c r="M135"/>
  <c r="N135"/>
  <c r="K136"/>
  <c r="L136"/>
  <c r="M136"/>
  <c r="N136"/>
  <c r="K138"/>
  <c r="L138"/>
  <c r="M138"/>
  <c r="N138"/>
  <c r="K139"/>
  <c r="L139"/>
  <c r="M139"/>
  <c r="N139"/>
  <c r="K140"/>
  <c r="L140"/>
  <c r="M140"/>
  <c r="N140"/>
  <c r="K141"/>
  <c r="L141"/>
  <c r="M141"/>
  <c r="N141"/>
  <c r="K142"/>
  <c r="L142"/>
  <c r="M142"/>
  <c r="N142"/>
  <c r="K143"/>
  <c r="L143"/>
  <c r="M143"/>
  <c r="N143"/>
  <c r="K144"/>
  <c r="L144"/>
  <c r="M144"/>
  <c r="N144"/>
  <c r="K145"/>
  <c r="L145"/>
  <c r="M145"/>
  <c r="N145"/>
  <c r="K146"/>
  <c r="L146"/>
  <c r="M146"/>
  <c r="N146"/>
  <c r="K147"/>
  <c r="L147"/>
  <c r="M147"/>
  <c r="N147"/>
  <c r="K148"/>
  <c r="L148"/>
  <c r="M148"/>
  <c r="N148"/>
  <c r="K149"/>
  <c r="L149"/>
  <c r="M149"/>
  <c r="N149"/>
  <c r="K150"/>
  <c r="L150"/>
  <c r="M150"/>
  <c r="N150"/>
  <c r="K151"/>
  <c r="L151"/>
  <c r="M151"/>
  <c r="N151"/>
  <c r="K153"/>
  <c r="L153"/>
  <c r="M153"/>
  <c r="N153"/>
  <c r="K154"/>
  <c r="L154"/>
  <c r="M154"/>
  <c r="N154"/>
  <c r="K155"/>
  <c r="L155"/>
  <c r="M155"/>
  <c r="N155"/>
  <c r="K156"/>
  <c r="L156"/>
  <c r="M156"/>
  <c r="N156"/>
  <c r="K157"/>
  <c r="L157"/>
  <c r="M157"/>
  <c r="N157"/>
  <c r="K158"/>
  <c r="L158"/>
  <c r="M158"/>
  <c r="N158"/>
  <c r="K159"/>
  <c r="L159"/>
  <c r="M159"/>
  <c r="N159"/>
  <c r="K160"/>
  <c r="L160"/>
  <c r="M160"/>
  <c r="N160"/>
  <c r="K161"/>
  <c r="L161"/>
  <c r="M161"/>
  <c r="N161"/>
  <c r="K162"/>
  <c r="L162"/>
  <c r="M162"/>
  <c r="N162"/>
  <c r="K163"/>
  <c r="L163"/>
  <c r="M163"/>
  <c r="N163"/>
  <c r="K164"/>
  <c r="L164"/>
  <c r="M164"/>
  <c r="N164"/>
  <c r="K165"/>
  <c r="L165"/>
  <c r="M165"/>
  <c r="N165"/>
  <c r="K166"/>
  <c r="L166"/>
  <c r="M166"/>
  <c r="N166"/>
  <c r="K168"/>
  <c r="L168"/>
  <c r="M168"/>
  <c r="N168"/>
  <c r="K169"/>
  <c r="L169"/>
  <c r="M169"/>
  <c r="N169"/>
  <c r="K170"/>
  <c r="L170"/>
  <c r="M170"/>
  <c r="N170"/>
  <c r="K171"/>
  <c r="L171"/>
  <c r="M171"/>
  <c r="N171"/>
  <c r="K172"/>
  <c r="L172"/>
  <c r="M172"/>
  <c r="N172"/>
  <c r="K173"/>
  <c r="L173"/>
  <c r="M173"/>
  <c r="N173"/>
  <c r="K174"/>
  <c r="L174"/>
  <c r="M174"/>
  <c r="N174"/>
  <c r="K175"/>
  <c r="L175"/>
  <c r="M175"/>
  <c r="N175"/>
  <c r="K176"/>
  <c r="L176"/>
  <c r="M176"/>
  <c r="N176"/>
  <c r="K177"/>
  <c r="L177"/>
  <c r="M177"/>
  <c r="N177"/>
  <c r="K178"/>
  <c r="L178"/>
  <c r="M178"/>
  <c r="N178"/>
  <c r="K179"/>
  <c r="L179"/>
  <c r="M179"/>
  <c r="N179"/>
  <c r="K180"/>
  <c r="L180"/>
  <c r="M180"/>
  <c r="N180"/>
  <c r="K181"/>
  <c r="L181"/>
  <c r="M181"/>
  <c r="N181"/>
  <c r="K183"/>
  <c r="L183"/>
  <c r="M183"/>
  <c r="N183"/>
  <c r="K184"/>
  <c r="L184"/>
  <c r="M184"/>
  <c r="N184"/>
  <c r="K185"/>
  <c r="L185"/>
  <c r="M185"/>
  <c r="N185"/>
  <c r="K186"/>
  <c r="L186"/>
  <c r="M186"/>
  <c r="N186"/>
  <c r="K187"/>
  <c r="L187"/>
  <c r="M187"/>
  <c r="N187"/>
  <c r="K188"/>
  <c r="L188"/>
  <c r="M188"/>
  <c r="N188"/>
  <c r="K189"/>
  <c r="L189"/>
  <c r="M189"/>
  <c r="N189"/>
  <c r="K190"/>
  <c r="L190"/>
  <c r="M190"/>
  <c r="N190"/>
  <c r="K191"/>
  <c r="L191"/>
  <c r="M191"/>
  <c r="N191"/>
  <c r="K192"/>
  <c r="L192"/>
  <c r="M192"/>
  <c r="N192"/>
  <c r="K193"/>
  <c r="L193"/>
  <c r="M193"/>
  <c r="N193"/>
  <c r="K194"/>
  <c r="L194"/>
  <c r="M194"/>
  <c r="N194"/>
  <c r="K195"/>
  <c r="L195"/>
  <c r="M195"/>
  <c r="N195"/>
  <c r="K196"/>
  <c r="L196"/>
  <c r="M196"/>
  <c r="N196"/>
  <c r="K198"/>
  <c r="L198"/>
  <c r="M198"/>
  <c r="N198"/>
  <c r="K199"/>
  <c r="L199"/>
  <c r="M199"/>
  <c r="N199"/>
  <c r="K200"/>
  <c r="L200"/>
  <c r="M200"/>
  <c r="N200"/>
  <c r="K201"/>
  <c r="L201"/>
  <c r="M201"/>
  <c r="N201"/>
  <c r="K202"/>
  <c r="L202"/>
  <c r="M202"/>
  <c r="N202"/>
  <c r="K203"/>
  <c r="L203"/>
  <c r="M203"/>
  <c r="N203"/>
  <c r="K204"/>
  <c r="L204"/>
  <c r="M204"/>
  <c r="N204"/>
  <c r="K205"/>
  <c r="L205"/>
  <c r="M205"/>
  <c r="N205"/>
  <c r="K206"/>
  <c r="L206"/>
  <c r="M206"/>
  <c r="N206"/>
  <c r="K207"/>
  <c r="L207"/>
  <c r="M207"/>
  <c r="N207"/>
  <c r="K208"/>
  <c r="L208"/>
  <c r="M208"/>
  <c r="N208"/>
  <c r="K209"/>
  <c r="L209"/>
  <c r="M209"/>
  <c r="N209"/>
  <c r="K210"/>
  <c r="L210"/>
  <c r="M210"/>
  <c r="N210"/>
  <c r="K211"/>
  <c r="L211"/>
  <c r="M211"/>
  <c r="N211"/>
  <c r="K213"/>
  <c r="L213"/>
  <c r="M213"/>
  <c r="N213"/>
  <c r="K214"/>
  <c r="L214"/>
  <c r="M214"/>
  <c r="N214"/>
  <c r="K215"/>
  <c r="L215"/>
  <c r="M215"/>
  <c r="N215"/>
  <c r="K216"/>
  <c r="L216"/>
  <c r="M216"/>
  <c r="N216"/>
  <c r="K217"/>
  <c r="L217"/>
  <c r="M217"/>
  <c r="N217"/>
  <c r="K218"/>
  <c r="L218"/>
  <c r="M218"/>
  <c r="N218"/>
  <c r="K219"/>
  <c r="L219"/>
  <c r="M219"/>
  <c r="N219"/>
  <c r="K220"/>
  <c r="L220"/>
  <c r="M220"/>
  <c r="N220"/>
  <c r="K221"/>
  <c r="L221"/>
  <c r="M221"/>
  <c r="N221"/>
  <c r="K222"/>
  <c r="L222"/>
  <c r="M222"/>
  <c r="N222"/>
  <c r="K223"/>
  <c r="L223"/>
  <c r="M223"/>
  <c r="N223"/>
  <c r="K224"/>
  <c r="L224"/>
  <c r="M224"/>
  <c r="N224"/>
  <c r="K225"/>
  <c r="L225"/>
  <c r="M225"/>
  <c r="N225"/>
  <c r="K226"/>
  <c r="L226"/>
  <c r="M226"/>
  <c r="N226"/>
  <c r="K228"/>
  <c r="L228"/>
  <c r="M228"/>
  <c r="N228"/>
  <c r="K229"/>
  <c r="L229"/>
  <c r="M229"/>
  <c r="N229"/>
  <c r="K230"/>
  <c r="L230"/>
  <c r="M230"/>
  <c r="N230"/>
  <c r="K231"/>
  <c r="L231"/>
  <c r="M231"/>
  <c r="N231"/>
  <c r="K232"/>
  <c r="L232"/>
  <c r="M232"/>
  <c r="N232"/>
  <c r="K233"/>
  <c r="L233"/>
  <c r="M233"/>
  <c r="N233"/>
  <c r="K234"/>
  <c r="L234"/>
  <c r="M234"/>
  <c r="N234"/>
  <c r="K235"/>
  <c r="L235"/>
  <c r="M235"/>
  <c r="N235"/>
  <c r="K236"/>
  <c r="L236"/>
  <c r="M236"/>
  <c r="N236"/>
  <c r="K237"/>
  <c r="L237"/>
  <c r="M237"/>
  <c r="N237"/>
  <c r="K238"/>
  <c r="L238"/>
  <c r="M238"/>
  <c r="N238"/>
  <c r="K239"/>
  <c r="L239"/>
  <c r="M239"/>
  <c r="N239"/>
  <c r="K240"/>
  <c r="L240"/>
  <c r="M240"/>
  <c r="N240"/>
  <c r="K241"/>
  <c r="L241"/>
  <c r="M241"/>
  <c r="N241"/>
  <c r="K243"/>
  <c r="L243"/>
  <c r="M243"/>
  <c r="N243"/>
  <c r="K244"/>
  <c r="L244"/>
  <c r="M244"/>
  <c r="N244"/>
  <c r="K245"/>
  <c r="L245"/>
  <c r="M245"/>
  <c r="N245"/>
  <c r="K246"/>
  <c r="L246"/>
  <c r="M246"/>
  <c r="N246"/>
  <c r="K247"/>
  <c r="L247"/>
  <c r="M247"/>
  <c r="N247"/>
  <c r="K248"/>
  <c r="L248"/>
  <c r="M248"/>
  <c r="N248"/>
  <c r="K249"/>
  <c r="L249"/>
  <c r="M249"/>
  <c r="N249"/>
  <c r="K250"/>
  <c r="L250"/>
  <c r="M250"/>
  <c r="N250"/>
  <c r="K251"/>
  <c r="L251"/>
  <c r="M251"/>
  <c r="N251"/>
  <c r="K252"/>
  <c r="L252"/>
  <c r="M252"/>
  <c r="N252"/>
  <c r="K253"/>
  <c r="L253"/>
  <c r="M253"/>
  <c r="N253"/>
  <c r="K254"/>
  <c r="L254"/>
  <c r="M254"/>
  <c r="N254"/>
  <c r="K255"/>
  <c r="L255"/>
  <c r="M255"/>
  <c r="N255"/>
  <c r="K256"/>
  <c r="L256"/>
  <c r="M256"/>
  <c r="N256"/>
  <c r="K258"/>
  <c r="L258"/>
  <c r="M258"/>
  <c r="N258"/>
  <c r="K259"/>
  <c r="L259"/>
  <c r="M259"/>
  <c r="N259"/>
  <c r="K260"/>
  <c r="L260"/>
  <c r="M260"/>
  <c r="N260"/>
  <c r="K261"/>
  <c r="L261"/>
  <c r="M261"/>
  <c r="N261"/>
  <c r="K262"/>
  <c r="L262"/>
  <c r="M262"/>
  <c r="N262"/>
  <c r="K263"/>
  <c r="L263"/>
  <c r="M263"/>
  <c r="N263"/>
  <c r="K264"/>
  <c r="L264"/>
  <c r="M264"/>
  <c r="N264"/>
  <c r="K265"/>
  <c r="L265"/>
  <c r="M265"/>
  <c r="N265"/>
  <c r="K266"/>
  <c r="L266"/>
  <c r="M266"/>
  <c r="N266"/>
  <c r="K267"/>
  <c r="L267"/>
  <c r="M267"/>
  <c r="N267"/>
  <c r="K268"/>
  <c r="L268"/>
  <c r="M268"/>
  <c r="N268"/>
  <c r="K269"/>
  <c r="L269"/>
  <c r="M269"/>
  <c r="N269"/>
  <c r="K270"/>
  <c r="L270"/>
  <c r="M270"/>
  <c r="N270"/>
  <c r="K271"/>
  <c r="L271"/>
  <c r="M271"/>
  <c r="N271"/>
  <c r="N108"/>
  <c r="K108"/>
  <c r="L108"/>
  <c r="M108"/>
  <c r="B112"/>
  <c r="B113"/>
  <c r="B114"/>
  <c r="B115"/>
  <c r="B116"/>
  <c r="B117"/>
  <c r="B118"/>
  <c r="B119"/>
  <c r="B120"/>
  <c r="B121"/>
  <c r="K89"/>
  <c r="L89"/>
  <c r="M89"/>
  <c r="N89"/>
  <c r="K90"/>
  <c r="L90"/>
  <c r="M90"/>
  <c r="N90"/>
  <c r="K91"/>
  <c r="L91"/>
  <c r="M91"/>
  <c r="N91"/>
  <c r="K92"/>
  <c r="L92"/>
  <c r="M92"/>
  <c r="N92"/>
  <c r="K93"/>
  <c r="L93"/>
  <c r="M93"/>
  <c r="N93"/>
  <c r="K94"/>
  <c r="L94"/>
  <c r="M94"/>
  <c r="N94"/>
  <c r="K95"/>
  <c r="L95"/>
  <c r="M95"/>
  <c r="N95"/>
  <c r="K96"/>
  <c r="L96"/>
  <c r="M96"/>
  <c r="N96"/>
  <c r="K97"/>
  <c r="L97"/>
  <c r="M97"/>
  <c r="N97"/>
  <c r="K98"/>
  <c r="L98"/>
  <c r="M98"/>
  <c r="N98"/>
  <c r="N88"/>
  <c r="K88"/>
  <c r="L88"/>
  <c r="M88"/>
  <c r="K74"/>
  <c r="L74"/>
  <c r="M74"/>
  <c r="N74"/>
  <c r="K75"/>
  <c r="L75"/>
  <c r="M75"/>
  <c r="N75"/>
  <c r="K76"/>
  <c r="L76"/>
  <c r="M76"/>
  <c r="N76"/>
  <c r="K77"/>
  <c r="L77"/>
  <c r="M77"/>
  <c r="N77"/>
  <c r="K78"/>
  <c r="L78"/>
  <c r="M78"/>
  <c r="N78"/>
  <c r="K79"/>
  <c r="L79"/>
  <c r="M79"/>
  <c r="N79"/>
  <c r="K80"/>
  <c r="L80"/>
  <c r="M80"/>
  <c r="N80"/>
  <c r="K81"/>
  <c r="L81"/>
  <c r="M81"/>
  <c r="N81"/>
  <c r="K82"/>
  <c r="L82"/>
  <c r="M82"/>
  <c r="N82"/>
  <c r="K83"/>
  <c r="L83"/>
  <c r="M83"/>
  <c r="N83"/>
  <c r="N73"/>
  <c r="K73"/>
  <c r="L73"/>
  <c r="M73"/>
  <c r="K59"/>
  <c r="L59"/>
  <c r="M59"/>
  <c r="N59"/>
  <c r="K60"/>
  <c r="L60"/>
  <c r="M60"/>
  <c r="N60"/>
  <c r="K61"/>
  <c r="L61"/>
  <c r="M61"/>
  <c r="N61"/>
  <c r="K62"/>
  <c r="L62"/>
  <c r="M62"/>
  <c r="N62"/>
  <c r="K63"/>
  <c r="L63"/>
  <c r="M63"/>
  <c r="N63"/>
  <c r="K64"/>
  <c r="L64"/>
  <c r="M64"/>
  <c r="N64"/>
  <c r="K65"/>
  <c r="L65"/>
  <c r="M65"/>
  <c r="N65"/>
  <c r="K66"/>
  <c r="L66"/>
  <c r="M66"/>
  <c r="N66"/>
  <c r="K67"/>
  <c r="L67"/>
  <c r="M67"/>
  <c r="N67"/>
  <c r="K68"/>
  <c r="L68"/>
  <c r="M68"/>
  <c r="N68"/>
  <c r="N58"/>
  <c r="K58"/>
  <c r="L58"/>
  <c r="M58"/>
  <c r="K44"/>
  <c r="L44"/>
  <c r="M44"/>
  <c r="N44"/>
  <c r="K45"/>
  <c r="L45"/>
  <c r="M45"/>
  <c r="N45"/>
  <c r="K46"/>
  <c r="L46"/>
  <c r="M46"/>
  <c r="N46"/>
  <c r="K47"/>
  <c r="L47"/>
  <c r="M47"/>
  <c r="N47"/>
  <c r="K48"/>
  <c r="L48"/>
  <c r="M48"/>
  <c r="N48"/>
  <c r="K49"/>
  <c r="L49"/>
  <c r="M49"/>
  <c r="N49"/>
  <c r="K50"/>
  <c r="L50"/>
  <c r="M50"/>
  <c r="N50"/>
  <c r="K51"/>
  <c r="L51"/>
  <c r="M51"/>
  <c r="N51"/>
  <c r="K52"/>
  <c r="L52"/>
  <c r="M52"/>
  <c r="N52"/>
  <c r="K53"/>
  <c r="L53"/>
  <c r="M53"/>
  <c r="N53"/>
  <c r="N43"/>
  <c r="K43"/>
  <c r="L43"/>
  <c r="M43"/>
  <c r="N30"/>
  <c r="N31"/>
  <c r="N32"/>
  <c r="N33"/>
  <c r="N34"/>
  <c r="N35"/>
  <c r="N36"/>
  <c r="N37"/>
  <c r="N38"/>
  <c r="N39"/>
  <c r="N29"/>
  <c r="K30"/>
  <c r="L30"/>
  <c r="M30"/>
  <c r="K31"/>
  <c r="L31"/>
  <c r="M31"/>
  <c r="K32"/>
  <c r="L32"/>
  <c r="M32"/>
  <c r="K33"/>
  <c r="L33"/>
  <c r="M33"/>
  <c r="K34"/>
  <c r="L34"/>
  <c r="M34"/>
  <c r="K35"/>
  <c r="L35"/>
  <c r="M35"/>
  <c r="K36"/>
  <c r="L36"/>
  <c r="M36"/>
  <c r="K37"/>
  <c r="L37"/>
  <c r="M37"/>
  <c r="K38"/>
  <c r="L38"/>
  <c r="M38"/>
  <c r="K39"/>
  <c r="L39"/>
  <c r="M39"/>
  <c r="K29"/>
  <c r="L29"/>
  <c r="M29"/>
  <c r="B11"/>
  <c r="B12"/>
  <c r="B13"/>
  <c r="B14"/>
  <c r="B15"/>
  <c r="B16"/>
  <c r="B17"/>
  <c r="B18"/>
  <c r="B19"/>
  <c r="B20"/>
  <c r="B88"/>
  <c r="U96" i="24"/>
  <c r="U97"/>
  <c r="U98"/>
  <c r="U99"/>
  <c r="U100"/>
  <c r="U101"/>
  <c r="U102"/>
  <c r="U103"/>
  <c r="U104"/>
  <c r="U105"/>
  <c r="U95"/>
  <c r="S96"/>
  <c r="S97"/>
  <c r="S98"/>
  <c r="S99"/>
  <c r="S100"/>
  <c r="S101"/>
  <c r="S102"/>
  <c r="S103"/>
  <c r="S104"/>
  <c r="S105"/>
  <c r="S95"/>
  <c r="Q96"/>
  <c r="Q97"/>
  <c r="Q98"/>
  <c r="Q99"/>
  <c r="Q100"/>
  <c r="Q101"/>
  <c r="Q102"/>
  <c r="Q103"/>
  <c r="Q104"/>
  <c r="Q105"/>
  <c r="Q95"/>
  <c r="O96"/>
  <c r="O97"/>
  <c r="O98"/>
  <c r="O99"/>
  <c r="O100"/>
  <c r="O101"/>
  <c r="O102"/>
  <c r="O103"/>
  <c r="O104"/>
  <c r="O105"/>
  <c r="O95"/>
  <c r="K96"/>
  <c r="K97"/>
  <c r="K98"/>
  <c r="K99"/>
  <c r="K100"/>
  <c r="K101"/>
  <c r="K102"/>
  <c r="K103"/>
  <c r="K104"/>
  <c r="K105"/>
  <c r="K95"/>
  <c r="I96"/>
  <c r="I97"/>
  <c r="I98"/>
  <c r="I99"/>
  <c r="I100"/>
  <c r="I101"/>
  <c r="I102"/>
  <c r="I103"/>
  <c r="I104"/>
  <c r="I105"/>
  <c r="I95"/>
  <c r="G96"/>
  <c r="G97"/>
  <c r="G98"/>
  <c r="G99"/>
  <c r="G100"/>
  <c r="G101"/>
  <c r="G102"/>
  <c r="G103"/>
  <c r="G104"/>
  <c r="G105"/>
  <c r="G95"/>
  <c r="E96"/>
  <c r="E97"/>
  <c r="E98"/>
  <c r="E99"/>
  <c r="E100"/>
  <c r="E101"/>
  <c r="E102"/>
  <c r="E103"/>
  <c r="E104"/>
  <c r="E105"/>
  <c r="E95"/>
  <c r="Y74"/>
  <c r="Y75"/>
  <c r="Y76"/>
  <c r="Y77"/>
  <c r="Y78"/>
  <c r="Y79"/>
  <c r="Y80"/>
  <c r="Y81"/>
  <c r="Y82"/>
  <c r="Y83"/>
  <c r="Y73"/>
  <c r="W74"/>
  <c r="W75"/>
  <c r="W76"/>
  <c r="W77"/>
  <c r="W78"/>
  <c r="W79"/>
  <c r="W80"/>
  <c r="W81"/>
  <c r="W82"/>
  <c r="W83"/>
  <c r="W73"/>
  <c r="U74"/>
  <c r="U75"/>
  <c r="U76"/>
  <c r="U77"/>
  <c r="U78"/>
  <c r="U79"/>
  <c r="U80"/>
  <c r="U81"/>
  <c r="U82"/>
  <c r="U83"/>
  <c r="U73"/>
  <c r="S74"/>
  <c r="S75"/>
  <c r="S76"/>
  <c r="S77"/>
  <c r="S78"/>
  <c r="S79"/>
  <c r="S80"/>
  <c r="S81"/>
  <c r="S82"/>
  <c r="S83"/>
  <c r="S73"/>
  <c r="Q74"/>
  <c r="Q75"/>
  <c r="Q76"/>
  <c r="Q77"/>
  <c r="Q78"/>
  <c r="Q79"/>
  <c r="Q80"/>
  <c r="Q81"/>
  <c r="Q82"/>
  <c r="Q83"/>
  <c r="Q73"/>
  <c r="M74"/>
  <c r="M75"/>
  <c r="M76"/>
  <c r="M77"/>
  <c r="M78"/>
  <c r="M79"/>
  <c r="M80"/>
  <c r="M81"/>
  <c r="M82"/>
  <c r="M83"/>
  <c r="M73"/>
  <c r="K74"/>
  <c r="K75"/>
  <c r="K76"/>
  <c r="K77"/>
  <c r="K78"/>
  <c r="K79"/>
  <c r="K80"/>
  <c r="K81"/>
  <c r="K82"/>
  <c r="K83"/>
  <c r="K73"/>
  <c r="I74"/>
  <c r="I75"/>
  <c r="I76"/>
  <c r="I77"/>
  <c r="I78"/>
  <c r="I79"/>
  <c r="I80"/>
  <c r="I81"/>
  <c r="I82"/>
  <c r="I83"/>
  <c r="I73"/>
  <c r="G74"/>
  <c r="G75"/>
  <c r="G76"/>
  <c r="G77"/>
  <c r="G78"/>
  <c r="G79"/>
  <c r="G80"/>
  <c r="G81"/>
  <c r="G82"/>
  <c r="G83"/>
  <c r="G73"/>
  <c r="E74"/>
  <c r="E75"/>
  <c r="E76"/>
  <c r="E77"/>
  <c r="E78"/>
  <c r="E79"/>
  <c r="E80"/>
  <c r="E81"/>
  <c r="E82"/>
  <c r="E83"/>
  <c r="E73"/>
  <c r="D35"/>
  <c r="D36"/>
  <c r="D37"/>
  <c r="D38"/>
  <c r="D39"/>
  <c r="D40"/>
  <c r="D41"/>
  <c r="D42"/>
  <c r="D43"/>
  <c r="D44"/>
  <c r="D45"/>
  <c r="B59"/>
  <c r="B60"/>
  <c r="B61"/>
  <c r="B62"/>
  <c r="B63"/>
  <c r="B64"/>
  <c r="B65"/>
  <c r="B66"/>
  <c r="B67"/>
  <c r="B68"/>
  <c r="B69"/>
  <c r="AA41"/>
  <c r="AA42"/>
  <c r="AA43"/>
  <c r="AA44"/>
  <c r="AA45"/>
  <c r="AA35"/>
  <c r="AA36"/>
  <c r="AA37"/>
  <c r="AA38"/>
  <c r="AA39"/>
  <c r="AA40"/>
  <c r="Y36"/>
  <c r="Y37"/>
  <c r="Y38"/>
  <c r="Y39"/>
  <c r="Y40"/>
  <c r="Y41"/>
  <c r="Y42"/>
  <c r="Y43"/>
  <c r="Y44"/>
  <c r="Y45"/>
  <c r="Y35"/>
  <c r="W36"/>
  <c r="W37"/>
  <c r="W38"/>
  <c r="W39"/>
  <c r="W40"/>
  <c r="W41"/>
  <c r="W42"/>
  <c r="W43"/>
  <c r="W44"/>
  <c r="W45"/>
  <c r="W35"/>
  <c r="U36"/>
  <c r="U37"/>
  <c r="U38"/>
  <c r="U39"/>
  <c r="U40"/>
  <c r="U41"/>
  <c r="U42"/>
  <c r="U43"/>
  <c r="U44"/>
  <c r="U45"/>
  <c r="U35"/>
  <c r="S36"/>
  <c r="S37"/>
  <c r="S38"/>
  <c r="S39"/>
  <c r="S40"/>
  <c r="S41"/>
  <c r="S42"/>
  <c r="S43"/>
  <c r="S44"/>
  <c r="S45"/>
  <c r="S35"/>
  <c r="Q36"/>
  <c r="Q37"/>
  <c r="Q38"/>
  <c r="Q39"/>
  <c r="Q40"/>
  <c r="Q41"/>
  <c r="Q42"/>
  <c r="Q43"/>
  <c r="Q44"/>
  <c r="Q45"/>
  <c r="Q35"/>
  <c r="N41"/>
  <c r="N42"/>
  <c r="N43"/>
  <c r="N44"/>
  <c r="N45"/>
  <c r="N35"/>
  <c r="N36"/>
  <c r="N37"/>
  <c r="N38"/>
  <c r="N39"/>
  <c r="N40"/>
  <c r="L36"/>
  <c r="L37"/>
  <c r="L38"/>
  <c r="L39"/>
  <c r="L40"/>
  <c r="L41"/>
  <c r="L42"/>
  <c r="L43"/>
  <c r="L44"/>
  <c r="L45"/>
  <c r="L35"/>
  <c r="J36"/>
  <c r="J37"/>
  <c r="J38"/>
  <c r="J39"/>
  <c r="J40"/>
  <c r="J41"/>
  <c r="J42"/>
  <c r="J43"/>
  <c r="J44"/>
  <c r="J45"/>
  <c r="J35"/>
  <c r="H36"/>
  <c r="H37"/>
  <c r="H38"/>
  <c r="H39"/>
  <c r="H40"/>
  <c r="H41"/>
  <c r="H42"/>
  <c r="H43"/>
  <c r="H44"/>
  <c r="H45"/>
  <c r="H35"/>
  <c r="F36"/>
  <c r="F37"/>
  <c r="F38"/>
  <c r="F39"/>
  <c r="F40"/>
  <c r="F41"/>
  <c r="F42"/>
  <c r="F43"/>
  <c r="F44"/>
  <c r="F45"/>
  <c r="F35"/>
  <c r="BA8" i="19"/>
  <c r="F66"/>
  <c r="B14" i="24"/>
  <c r="B15"/>
  <c r="B16"/>
  <c r="B17"/>
  <c r="B18"/>
  <c r="B19"/>
  <c r="B20"/>
  <c r="B21"/>
  <c r="B22"/>
  <c r="B23"/>
  <c r="B24"/>
  <c r="B25"/>
  <c r="B26"/>
  <c r="B27"/>
  <c r="B28"/>
  <c r="B29"/>
  <c r="O15" i="1"/>
  <c r="L15"/>
  <c r="O37" i="21"/>
  <c r="AA5" i="20"/>
  <c r="AA7"/>
  <c r="AA6"/>
  <c r="Q238" i="21"/>
  <c r="Q239"/>
  <c r="Q240"/>
  <c r="Q241"/>
  <c r="Q242"/>
  <c r="Q243"/>
  <c r="Q244"/>
  <c r="Q245"/>
  <c r="Q246"/>
  <c r="Q247"/>
  <c r="Q248"/>
  <c r="Q249"/>
  <c r="Q250"/>
  <c r="Q251"/>
  <c r="Q252"/>
  <c r="Q253"/>
  <c r="Q254"/>
  <c r="Q255"/>
  <c r="Q256"/>
  <c r="Q237"/>
  <c r="Q218"/>
  <c r="Q219"/>
  <c r="Q220"/>
  <c r="Q221"/>
  <c r="Q222"/>
  <c r="Q223"/>
  <c r="Q224"/>
  <c r="Q225"/>
  <c r="Q226"/>
  <c r="Q227"/>
  <c r="Q228"/>
  <c r="Q229"/>
  <c r="Q230"/>
  <c r="Q231"/>
  <c r="Q232"/>
  <c r="Q233"/>
  <c r="Q234"/>
  <c r="Q235"/>
  <c r="Q236"/>
  <c r="Q217"/>
  <c r="Q198"/>
  <c r="Q199"/>
  <c r="Q200"/>
  <c r="Q201"/>
  <c r="Q202"/>
  <c r="Q203"/>
  <c r="Q204"/>
  <c r="Q205"/>
  <c r="Q206"/>
  <c r="Q207"/>
  <c r="Q208"/>
  <c r="Q209"/>
  <c r="Q210"/>
  <c r="Q211"/>
  <c r="Q212"/>
  <c r="Q213"/>
  <c r="Q214"/>
  <c r="Q215"/>
  <c r="Q216"/>
  <c r="Q197"/>
  <c r="Q178"/>
  <c r="Q179"/>
  <c r="Q180"/>
  <c r="Q181"/>
  <c r="Q182"/>
  <c r="Q183"/>
  <c r="Q184"/>
  <c r="Q185"/>
  <c r="Q186"/>
  <c r="Q187"/>
  <c r="Q188"/>
  <c r="Q189"/>
  <c r="Q190"/>
  <c r="Q191"/>
  <c r="Q192"/>
  <c r="Q193"/>
  <c r="Q194"/>
  <c r="Q195"/>
  <c r="Q196"/>
  <c r="Q177"/>
  <c r="Q158"/>
  <c r="Q159"/>
  <c r="Q160"/>
  <c r="Q161"/>
  <c r="Q162"/>
  <c r="Q163"/>
  <c r="Q164"/>
  <c r="Q165"/>
  <c r="Q166"/>
  <c r="Q167"/>
  <c r="Q168"/>
  <c r="Q169"/>
  <c r="Q170"/>
  <c r="Q171"/>
  <c r="Q172"/>
  <c r="Q173"/>
  <c r="Q174"/>
  <c r="Q175"/>
  <c r="Q176"/>
  <c r="Q157"/>
  <c r="Q138"/>
  <c r="Q139"/>
  <c r="Q140"/>
  <c r="Q141"/>
  <c r="Q142"/>
  <c r="Q143"/>
  <c r="Q144"/>
  <c r="Q145"/>
  <c r="Q146"/>
  <c r="Q147"/>
  <c r="Q148"/>
  <c r="Q149"/>
  <c r="Q150"/>
  <c r="Q151"/>
  <c r="Q152"/>
  <c r="Q153"/>
  <c r="Q154"/>
  <c r="Q155"/>
  <c r="Q156"/>
  <c r="Q137"/>
  <c r="Q118"/>
  <c r="Q119"/>
  <c r="Q120"/>
  <c r="Q121"/>
  <c r="Q122"/>
  <c r="Q123"/>
  <c r="Q124"/>
  <c r="Q125"/>
  <c r="Q126"/>
  <c r="Q127"/>
  <c r="Q128"/>
  <c r="Q129"/>
  <c r="Q130"/>
  <c r="Q131"/>
  <c r="Q132"/>
  <c r="Q133"/>
  <c r="Q134"/>
  <c r="Q135"/>
  <c r="Q136"/>
  <c r="Q117"/>
  <c r="Q98"/>
  <c r="Q99"/>
  <c r="Q100"/>
  <c r="Q101"/>
  <c r="Q102"/>
  <c r="Q103"/>
  <c r="Q104"/>
  <c r="Q105"/>
  <c r="Q106"/>
  <c r="Q107"/>
  <c r="Q108"/>
  <c r="Q109"/>
  <c r="Q110"/>
  <c r="Q111"/>
  <c r="Q112"/>
  <c r="Q113"/>
  <c r="Q114"/>
  <c r="Q115"/>
  <c r="Q116"/>
  <c r="Q97"/>
  <c r="Q78"/>
  <c r="Q79"/>
  <c r="Q80"/>
  <c r="Q81"/>
  <c r="Q82"/>
  <c r="Q83"/>
  <c r="Q84"/>
  <c r="Q85"/>
  <c r="Q86"/>
  <c r="Q87"/>
  <c r="Q88"/>
  <c r="Q89"/>
  <c r="Q90"/>
  <c r="Q91"/>
  <c r="Q92"/>
  <c r="Q93"/>
  <c r="Q94"/>
  <c r="Q95"/>
  <c r="Q96"/>
  <c r="Q77"/>
  <c r="Q58"/>
  <c r="Q59"/>
  <c r="Q60"/>
  <c r="Q61"/>
  <c r="Q62"/>
  <c r="Q63"/>
  <c r="Q64"/>
  <c r="Q65"/>
  <c r="Q66"/>
  <c r="Q67"/>
  <c r="Q68"/>
  <c r="Q69"/>
  <c r="Q70"/>
  <c r="Q71"/>
  <c r="Q72"/>
  <c r="Q73"/>
  <c r="Q74"/>
  <c r="Q75"/>
  <c r="Q76"/>
  <c r="Q57"/>
  <c r="Q38"/>
  <c r="Q39"/>
  <c r="Q40"/>
  <c r="Q41"/>
  <c r="Q42"/>
  <c r="Q43"/>
  <c r="Q44"/>
  <c r="Q45"/>
  <c r="Q46"/>
  <c r="Q47"/>
  <c r="Q48"/>
  <c r="Q49"/>
  <c r="Q50"/>
  <c r="Q51"/>
  <c r="Q52"/>
  <c r="Q53"/>
  <c r="Q54"/>
  <c r="Q55"/>
  <c r="Q56"/>
  <c r="Q37"/>
  <c r="N37"/>
  <c r="P238"/>
  <c r="P239"/>
  <c r="P240"/>
  <c r="P241"/>
  <c r="P242"/>
  <c r="P243"/>
  <c r="P244"/>
  <c r="P245"/>
  <c r="P246"/>
  <c r="P247"/>
  <c r="P248"/>
  <c r="P249"/>
  <c r="P250"/>
  <c r="P251"/>
  <c r="P252"/>
  <c r="P253"/>
  <c r="P254"/>
  <c r="P255"/>
  <c r="P256"/>
  <c r="P237"/>
  <c r="P218"/>
  <c r="P219"/>
  <c r="P220"/>
  <c r="P221"/>
  <c r="P222"/>
  <c r="P223"/>
  <c r="P224"/>
  <c r="P225"/>
  <c r="P226"/>
  <c r="P227"/>
  <c r="P228"/>
  <c r="P229"/>
  <c r="P230"/>
  <c r="P231"/>
  <c r="P232"/>
  <c r="P233"/>
  <c r="P234"/>
  <c r="P235"/>
  <c r="P236"/>
  <c r="P217"/>
  <c r="P198"/>
  <c r="P199"/>
  <c r="P200"/>
  <c r="P201"/>
  <c r="P202"/>
  <c r="P203"/>
  <c r="P204"/>
  <c r="P205"/>
  <c r="P206"/>
  <c r="P207"/>
  <c r="P208"/>
  <c r="P209"/>
  <c r="P210"/>
  <c r="P211"/>
  <c r="P212"/>
  <c r="P213"/>
  <c r="P214"/>
  <c r="P215"/>
  <c r="P216"/>
  <c r="P197"/>
  <c r="P178"/>
  <c r="P179"/>
  <c r="P180"/>
  <c r="P181"/>
  <c r="P182"/>
  <c r="P183"/>
  <c r="P184"/>
  <c r="P185"/>
  <c r="P186"/>
  <c r="P187"/>
  <c r="P188"/>
  <c r="P189"/>
  <c r="P190"/>
  <c r="P191"/>
  <c r="P192"/>
  <c r="P193"/>
  <c r="P194"/>
  <c r="P195"/>
  <c r="P196"/>
  <c r="P177"/>
  <c r="P158"/>
  <c r="P159"/>
  <c r="P160"/>
  <c r="P161"/>
  <c r="P162"/>
  <c r="P163"/>
  <c r="P164"/>
  <c r="P165"/>
  <c r="P166"/>
  <c r="P167"/>
  <c r="P168"/>
  <c r="P169"/>
  <c r="P170"/>
  <c r="P171"/>
  <c r="P172"/>
  <c r="P173"/>
  <c r="P174"/>
  <c r="P175"/>
  <c r="P176"/>
  <c r="P157"/>
  <c r="P138"/>
  <c r="P139"/>
  <c r="P140"/>
  <c r="P141"/>
  <c r="P142"/>
  <c r="P143"/>
  <c r="P144"/>
  <c r="P145"/>
  <c r="P146"/>
  <c r="P147"/>
  <c r="P148"/>
  <c r="P149"/>
  <c r="P150"/>
  <c r="P151"/>
  <c r="P152"/>
  <c r="P153"/>
  <c r="P154"/>
  <c r="P155"/>
  <c r="P156"/>
  <c r="P137"/>
  <c r="P118"/>
  <c r="P119"/>
  <c r="P120"/>
  <c r="P121"/>
  <c r="P122"/>
  <c r="P123"/>
  <c r="P124"/>
  <c r="P125"/>
  <c r="P126"/>
  <c r="P127"/>
  <c r="P128"/>
  <c r="P129"/>
  <c r="P130"/>
  <c r="P131"/>
  <c r="P132"/>
  <c r="P133"/>
  <c r="P134"/>
  <c r="P135"/>
  <c r="P136"/>
  <c r="P117"/>
  <c r="P98"/>
  <c r="P99"/>
  <c r="P100"/>
  <c r="P101"/>
  <c r="P102"/>
  <c r="P103"/>
  <c r="P104"/>
  <c r="P105"/>
  <c r="P106"/>
  <c r="P107"/>
  <c r="P108"/>
  <c r="P109"/>
  <c r="P110"/>
  <c r="P111"/>
  <c r="P112"/>
  <c r="P113"/>
  <c r="P114"/>
  <c r="P115"/>
  <c r="P116"/>
  <c r="P97"/>
  <c r="P78"/>
  <c r="P79"/>
  <c r="P80"/>
  <c r="P81"/>
  <c r="P82"/>
  <c r="P83"/>
  <c r="P84"/>
  <c r="P85"/>
  <c r="P86"/>
  <c r="P87"/>
  <c r="P88"/>
  <c r="P89"/>
  <c r="P90"/>
  <c r="P91"/>
  <c r="P92"/>
  <c r="P93"/>
  <c r="P94"/>
  <c r="P95"/>
  <c r="P96"/>
  <c r="P77"/>
  <c r="P58"/>
  <c r="P59"/>
  <c r="P60"/>
  <c r="P61"/>
  <c r="P62"/>
  <c r="P63"/>
  <c r="P64"/>
  <c r="P65"/>
  <c r="P66"/>
  <c r="P67"/>
  <c r="P68"/>
  <c r="P69"/>
  <c r="P70"/>
  <c r="P71"/>
  <c r="P72"/>
  <c r="P73"/>
  <c r="P74"/>
  <c r="P75"/>
  <c r="P76"/>
  <c r="P57"/>
  <c r="P38"/>
  <c r="P39"/>
  <c r="P40"/>
  <c r="P41"/>
  <c r="P42"/>
  <c r="P43"/>
  <c r="P44"/>
  <c r="P45"/>
  <c r="P46"/>
  <c r="P47"/>
  <c r="P48"/>
  <c r="P49"/>
  <c r="P50"/>
  <c r="P51"/>
  <c r="P52"/>
  <c r="P53"/>
  <c r="P54"/>
  <c r="P55"/>
  <c r="P56"/>
  <c r="P37"/>
  <c r="O38"/>
  <c r="O39"/>
  <c r="O40"/>
  <c r="O41"/>
  <c r="O42"/>
  <c r="O43"/>
  <c r="O44"/>
  <c r="O45"/>
  <c r="O46"/>
  <c r="O47"/>
  <c r="O48"/>
  <c r="O49"/>
  <c r="O50"/>
  <c r="O51"/>
  <c r="O52"/>
  <c r="O53"/>
  <c r="O54"/>
  <c r="O55"/>
  <c r="O56"/>
  <c r="O157"/>
  <c r="O117"/>
  <c r="O238"/>
  <c r="O239"/>
  <c r="O240"/>
  <c r="O241"/>
  <c r="O242"/>
  <c r="O243"/>
  <c r="O244"/>
  <c r="O245"/>
  <c r="O246"/>
  <c r="O247"/>
  <c r="O248"/>
  <c r="O249"/>
  <c r="O250"/>
  <c r="O251"/>
  <c r="O252"/>
  <c r="O253"/>
  <c r="O254"/>
  <c r="O255"/>
  <c r="O256"/>
  <c r="O237"/>
  <c r="O218"/>
  <c r="O219"/>
  <c r="O220"/>
  <c r="O221"/>
  <c r="O222"/>
  <c r="O223"/>
  <c r="O224"/>
  <c r="O225"/>
  <c r="O226"/>
  <c r="O227"/>
  <c r="O228"/>
  <c r="O229"/>
  <c r="O230"/>
  <c r="O231"/>
  <c r="O232"/>
  <c r="O233"/>
  <c r="O234"/>
  <c r="O235"/>
  <c r="O236"/>
  <c r="O217"/>
  <c r="O198"/>
  <c r="O199"/>
  <c r="O200"/>
  <c r="O201"/>
  <c r="O202"/>
  <c r="O203"/>
  <c r="O204"/>
  <c r="O205"/>
  <c r="O206"/>
  <c r="O207"/>
  <c r="O208"/>
  <c r="O209"/>
  <c r="O210"/>
  <c r="O211"/>
  <c r="O212"/>
  <c r="O213"/>
  <c r="O214"/>
  <c r="O215"/>
  <c r="O216"/>
  <c r="O197"/>
  <c r="O178"/>
  <c r="O179"/>
  <c r="O180"/>
  <c r="O181"/>
  <c r="O182"/>
  <c r="O183"/>
  <c r="O184"/>
  <c r="O185"/>
  <c r="O186"/>
  <c r="O187"/>
  <c r="O188"/>
  <c r="O189"/>
  <c r="O190"/>
  <c r="O191"/>
  <c r="O192"/>
  <c r="O193"/>
  <c r="O194"/>
  <c r="O195"/>
  <c r="O196"/>
  <c r="O177"/>
  <c r="O159"/>
  <c r="O160"/>
  <c r="O161"/>
  <c r="O162"/>
  <c r="O163"/>
  <c r="O164"/>
  <c r="O165"/>
  <c r="O166"/>
  <c r="O167"/>
  <c r="O168"/>
  <c r="O169"/>
  <c r="O170"/>
  <c r="O171"/>
  <c r="O172"/>
  <c r="O173"/>
  <c r="O174"/>
  <c r="O175"/>
  <c r="O176"/>
  <c r="O158"/>
  <c r="O138"/>
  <c r="O139"/>
  <c r="O140"/>
  <c r="O141"/>
  <c r="O142"/>
  <c r="O143"/>
  <c r="O144"/>
  <c r="O145"/>
  <c r="O146"/>
  <c r="O147"/>
  <c r="O148"/>
  <c r="O149"/>
  <c r="O150"/>
  <c r="O151"/>
  <c r="O152"/>
  <c r="O153"/>
  <c r="O154"/>
  <c r="O155"/>
  <c r="O156"/>
  <c r="O137"/>
  <c r="O119"/>
  <c r="O120"/>
  <c r="O121"/>
  <c r="O122"/>
  <c r="O123"/>
  <c r="O124"/>
  <c r="O125"/>
  <c r="O126"/>
  <c r="O127"/>
  <c r="O128"/>
  <c r="O129"/>
  <c r="O130"/>
  <c r="O131"/>
  <c r="O132"/>
  <c r="O133"/>
  <c r="O134"/>
  <c r="O135"/>
  <c r="O136"/>
  <c r="O118"/>
  <c r="O98"/>
  <c r="O99"/>
  <c r="O100"/>
  <c r="O101"/>
  <c r="O102"/>
  <c r="O103"/>
  <c r="O104"/>
  <c r="O105"/>
  <c r="O106"/>
  <c r="O107"/>
  <c r="O108"/>
  <c r="O109"/>
  <c r="O110"/>
  <c r="O111"/>
  <c r="O112"/>
  <c r="O113"/>
  <c r="O114"/>
  <c r="O115"/>
  <c r="O116"/>
  <c r="O97"/>
  <c r="O78"/>
  <c r="O79"/>
  <c r="O80"/>
  <c r="O81"/>
  <c r="O82"/>
  <c r="O83"/>
  <c r="O84"/>
  <c r="O85"/>
  <c r="O86"/>
  <c r="O87"/>
  <c r="O88"/>
  <c r="O89"/>
  <c r="O90"/>
  <c r="O91"/>
  <c r="O92"/>
  <c r="O93"/>
  <c r="O94"/>
  <c r="O95"/>
  <c r="O96"/>
  <c r="O77"/>
  <c r="O59"/>
  <c r="O60"/>
  <c r="O61"/>
  <c r="O62"/>
  <c r="O63"/>
  <c r="O64"/>
  <c r="O65"/>
  <c r="O66"/>
  <c r="O67"/>
  <c r="O68"/>
  <c r="O69"/>
  <c r="O70"/>
  <c r="O71"/>
  <c r="O72"/>
  <c r="O73"/>
  <c r="O74"/>
  <c r="O75"/>
  <c r="O76"/>
  <c r="O58"/>
  <c r="O57"/>
  <c r="L238"/>
  <c r="M238"/>
  <c r="N238"/>
  <c r="L239"/>
  <c r="N239"/>
  <c r="M239"/>
  <c r="L240"/>
  <c r="N240"/>
  <c r="M240"/>
  <c r="L241"/>
  <c r="N241"/>
  <c r="M241"/>
  <c r="L242"/>
  <c r="M242"/>
  <c r="N242"/>
  <c r="L243"/>
  <c r="M243"/>
  <c r="N243"/>
  <c r="L244"/>
  <c r="N244"/>
  <c r="M244"/>
  <c r="L245"/>
  <c r="N245"/>
  <c r="M245"/>
  <c r="L246"/>
  <c r="M246"/>
  <c r="N246"/>
  <c r="L247"/>
  <c r="M247"/>
  <c r="N247"/>
  <c r="L248"/>
  <c r="N248"/>
  <c r="M248"/>
  <c r="L249"/>
  <c r="N249"/>
  <c r="M249"/>
  <c r="L250"/>
  <c r="M250"/>
  <c r="N250"/>
  <c r="L251"/>
  <c r="M251"/>
  <c r="N251"/>
  <c r="L252"/>
  <c r="N252"/>
  <c r="M252"/>
  <c r="L253"/>
  <c r="N253"/>
  <c r="M253"/>
  <c r="L254"/>
  <c r="M254"/>
  <c r="N254"/>
  <c r="L255"/>
  <c r="M255"/>
  <c r="N255"/>
  <c r="L256"/>
  <c r="N256"/>
  <c r="M256"/>
  <c r="N237"/>
  <c r="L218"/>
  <c r="M218"/>
  <c r="N218"/>
  <c r="L219"/>
  <c r="N219"/>
  <c r="M219"/>
  <c r="L220"/>
  <c r="N220"/>
  <c r="M220"/>
  <c r="L221"/>
  <c r="M221"/>
  <c r="N221"/>
  <c r="L222"/>
  <c r="M222"/>
  <c r="N222"/>
  <c r="L223"/>
  <c r="N223"/>
  <c r="M223"/>
  <c r="L224"/>
  <c r="N224"/>
  <c r="M224"/>
  <c r="L225"/>
  <c r="M225"/>
  <c r="N225"/>
  <c r="L226"/>
  <c r="M226"/>
  <c r="N226"/>
  <c r="L227"/>
  <c r="N227"/>
  <c r="M227"/>
  <c r="L228"/>
  <c r="N228"/>
  <c r="M228"/>
  <c r="L229"/>
  <c r="M229"/>
  <c r="N229"/>
  <c r="L230"/>
  <c r="M230"/>
  <c r="N230"/>
  <c r="L231"/>
  <c r="N231"/>
  <c r="M231"/>
  <c r="L232"/>
  <c r="N232"/>
  <c r="M232"/>
  <c r="L233"/>
  <c r="M233"/>
  <c r="N233"/>
  <c r="L234"/>
  <c r="M234"/>
  <c r="N234"/>
  <c r="L235"/>
  <c r="N235"/>
  <c r="M235"/>
  <c r="L236"/>
  <c r="N236"/>
  <c r="M236"/>
  <c r="L237"/>
  <c r="M237"/>
  <c r="N217"/>
  <c r="L198"/>
  <c r="M198"/>
  <c r="N198"/>
  <c r="L199"/>
  <c r="N199"/>
  <c r="M199"/>
  <c r="L200"/>
  <c r="N200"/>
  <c r="M200"/>
  <c r="L201"/>
  <c r="N201"/>
  <c r="M201"/>
  <c r="L202"/>
  <c r="M202"/>
  <c r="N202"/>
  <c r="L203"/>
  <c r="N203"/>
  <c r="M203"/>
  <c r="L204"/>
  <c r="N204"/>
  <c r="M204"/>
  <c r="L205"/>
  <c r="M205"/>
  <c r="N205"/>
  <c r="L206"/>
  <c r="M206"/>
  <c r="N206"/>
  <c r="L207"/>
  <c r="N207"/>
  <c r="M207"/>
  <c r="L208"/>
  <c r="N208"/>
  <c r="M208"/>
  <c r="L209"/>
  <c r="M209"/>
  <c r="N209"/>
  <c r="L210"/>
  <c r="M210"/>
  <c r="N210"/>
  <c r="L211"/>
  <c r="N211"/>
  <c r="M211"/>
  <c r="L212"/>
  <c r="N212"/>
  <c r="M212"/>
  <c r="L213"/>
  <c r="M213"/>
  <c r="N213"/>
  <c r="L214"/>
  <c r="M214"/>
  <c r="N214"/>
  <c r="L215"/>
  <c r="N215"/>
  <c r="M215"/>
  <c r="L216"/>
  <c r="N216"/>
  <c r="M216"/>
  <c r="L217"/>
  <c r="M217"/>
  <c r="N197"/>
  <c r="L178"/>
  <c r="M178"/>
  <c r="N178"/>
  <c r="L179"/>
  <c r="N179"/>
  <c r="M179"/>
  <c r="L180"/>
  <c r="N180"/>
  <c r="M180"/>
  <c r="L181"/>
  <c r="N181"/>
  <c r="M181"/>
  <c r="L182"/>
  <c r="M182"/>
  <c r="N182"/>
  <c r="L183"/>
  <c r="N183"/>
  <c r="M183"/>
  <c r="L184"/>
  <c r="N184"/>
  <c r="M184"/>
  <c r="L185"/>
  <c r="N185"/>
  <c r="M185"/>
  <c r="L186"/>
  <c r="M186"/>
  <c r="N186"/>
  <c r="L187"/>
  <c r="N187"/>
  <c r="M187"/>
  <c r="L188"/>
  <c r="N188"/>
  <c r="M188"/>
  <c r="L189"/>
  <c r="N189"/>
  <c r="M189"/>
  <c r="L190"/>
  <c r="M190"/>
  <c r="N190"/>
  <c r="L191"/>
  <c r="N191"/>
  <c r="M191"/>
  <c r="L192"/>
  <c r="N192"/>
  <c r="M192"/>
  <c r="L193"/>
  <c r="N193"/>
  <c r="M193"/>
  <c r="L194"/>
  <c r="M194"/>
  <c r="N194"/>
  <c r="L195"/>
  <c r="N195"/>
  <c r="M195"/>
  <c r="L196"/>
  <c r="N196"/>
  <c r="M196"/>
  <c r="L197"/>
  <c r="M197"/>
  <c r="N177"/>
  <c r="L158"/>
  <c r="M158"/>
  <c r="N158"/>
  <c r="L159"/>
  <c r="M159"/>
  <c r="N159"/>
  <c r="L160"/>
  <c r="N160"/>
  <c r="M160"/>
  <c r="L161"/>
  <c r="N161"/>
  <c r="M161"/>
  <c r="L162"/>
  <c r="M162"/>
  <c r="N162"/>
  <c r="L163"/>
  <c r="M163"/>
  <c r="N163"/>
  <c r="L164"/>
  <c r="N164"/>
  <c r="M164"/>
  <c r="L165"/>
  <c r="N165"/>
  <c r="M165"/>
  <c r="L166"/>
  <c r="M166"/>
  <c r="N166"/>
  <c r="L167"/>
  <c r="M167"/>
  <c r="N167"/>
  <c r="L168"/>
  <c r="N168"/>
  <c r="M168"/>
  <c r="L169"/>
  <c r="N169"/>
  <c r="M169"/>
  <c r="L170"/>
  <c r="M170"/>
  <c r="N170"/>
  <c r="L171"/>
  <c r="M171"/>
  <c r="N171"/>
  <c r="L172"/>
  <c r="N172"/>
  <c r="M172"/>
  <c r="L173"/>
  <c r="M173"/>
  <c r="N173"/>
  <c r="L174"/>
  <c r="M174"/>
  <c r="N174"/>
  <c r="L175"/>
  <c r="M175"/>
  <c r="N175"/>
  <c r="L176"/>
  <c r="N176"/>
  <c r="M176"/>
  <c r="L177"/>
  <c r="M177"/>
  <c r="N157"/>
  <c r="L138"/>
  <c r="M138"/>
  <c r="N138"/>
  <c r="L139"/>
  <c r="M139"/>
  <c r="N139"/>
  <c r="L140"/>
  <c r="N140"/>
  <c r="M140"/>
  <c r="L141"/>
  <c r="N141"/>
  <c r="M141"/>
  <c r="L142"/>
  <c r="M142"/>
  <c r="N142"/>
  <c r="L143"/>
  <c r="M143"/>
  <c r="N143"/>
  <c r="L144"/>
  <c r="N144"/>
  <c r="M144"/>
  <c r="L145"/>
  <c r="N145"/>
  <c r="M145"/>
  <c r="L146"/>
  <c r="M146"/>
  <c r="N146"/>
  <c r="L147"/>
  <c r="M147"/>
  <c r="N147"/>
  <c r="L148"/>
  <c r="N148"/>
  <c r="M148"/>
  <c r="L149"/>
  <c r="N149"/>
  <c r="M149"/>
  <c r="L150"/>
  <c r="M150"/>
  <c r="N150"/>
  <c r="L151"/>
  <c r="M151"/>
  <c r="N151"/>
  <c r="L152"/>
  <c r="N152"/>
  <c r="M152"/>
  <c r="L153"/>
  <c r="N153"/>
  <c r="M153"/>
  <c r="L154"/>
  <c r="M154"/>
  <c r="N154"/>
  <c r="L155"/>
  <c r="M155"/>
  <c r="N155"/>
  <c r="L156"/>
  <c r="N156"/>
  <c r="M156"/>
  <c r="L157"/>
  <c r="M157"/>
  <c r="N137"/>
  <c r="L137"/>
  <c r="M137"/>
  <c r="L118"/>
  <c r="M118"/>
  <c r="N118"/>
  <c r="L119"/>
  <c r="N119"/>
  <c r="M119"/>
  <c r="L120"/>
  <c r="N120"/>
  <c r="M120"/>
  <c r="L121"/>
  <c r="N121"/>
  <c r="M121"/>
  <c r="L122"/>
  <c r="M122"/>
  <c r="N122"/>
  <c r="L123"/>
  <c r="N123"/>
  <c r="M123"/>
  <c r="L124"/>
  <c r="N124"/>
  <c r="M124"/>
  <c r="L125"/>
  <c r="M125"/>
  <c r="N125"/>
  <c r="L126"/>
  <c r="M126"/>
  <c r="N126"/>
  <c r="L127"/>
  <c r="N127"/>
  <c r="M127"/>
  <c r="L128"/>
  <c r="N128"/>
  <c r="M128"/>
  <c r="L129"/>
  <c r="M129"/>
  <c r="N129"/>
  <c r="L130"/>
  <c r="M130"/>
  <c r="N130"/>
  <c r="L131"/>
  <c r="N131"/>
  <c r="M131"/>
  <c r="L132"/>
  <c r="N132"/>
  <c r="M132"/>
  <c r="L133"/>
  <c r="M133"/>
  <c r="N133"/>
  <c r="L134"/>
  <c r="M134"/>
  <c r="N134"/>
  <c r="L135"/>
  <c r="N135"/>
  <c r="M135"/>
  <c r="L136"/>
  <c r="N136"/>
  <c r="M136"/>
  <c r="N117"/>
  <c r="L117"/>
  <c r="M117"/>
  <c r="L98"/>
  <c r="M98"/>
  <c r="N98"/>
  <c r="L99"/>
  <c r="M99"/>
  <c r="N99"/>
  <c r="L100"/>
  <c r="N100"/>
  <c r="M100"/>
  <c r="L101"/>
  <c r="N101"/>
  <c r="M101"/>
  <c r="L102"/>
  <c r="M102"/>
  <c r="N102"/>
  <c r="L103"/>
  <c r="M103"/>
  <c r="N103"/>
  <c r="L104"/>
  <c r="N104"/>
  <c r="M104"/>
  <c r="L105"/>
  <c r="N105"/>
  <c r="M105"/>
  <c r="L106"/>
  <c r="M106"/>
  <c r="N106"/>
  <c r="L107"/>
  <c r="M107"/>
  <c r="N107"/>
  <c r="L108"/>
  <c r="N108"/>
  <c r="M108"/>
  <c r="L109"/>
  <c r="N109"/>
  <c r="M109"/>
  <c r="L110"/>
  <c r="M110"/>
  <c r="N110"/>
  <c r="L111"/>
  <c r="M111"/>
  <c r="N111"/>
  <c r="L112"/>
  <c r="N112"/>
  <c r="M112"/>
  <c r="L113"/>
  <c r="N113"/>
  <c r="M113"/>
  <c r="L114"/>
  <c r="M114"/>
  <c r="N114"/>
  <c r="L115"/>
  <c r="M115"/>
  <c r="N115"/>
  <c r="L116"/>
  <c r="N116"/>
  <c r="M116"/>
  <c r="N97"/>
  <c r="L97"/>
  <c r="M97"/>
  <c r="L78"/>
  <c r="M78"/>
  <c r="N78"/>
  <c r="L79"/>
  <c r="M79"/>
  <c r="N79"/>
  <c r="L80"/>
  <c r="N80"/>
  <c r="M80"/>
  <c r="L81"/>
  <c r="N81"/>
  <c r="M81"/>
  <c r="L82"/>
  <c r="M82"/>
  <c r="N82"/>
  <c r="L83"/>
  <c r="M83"/>
  <c r="N83"/>
  <c r="L84"/>
  <c r="N84"/>
  <c r="M84"/>
  <c r="L85"/>
  <c r="N85"/>
  <c r="M85"/>
  <c r="L86"/>
  <c r="M86"/>
  <c r="N86"/>
  <c r="L87"/>
  <c r="M87"/>
  <c r="N87"/>
  <c r="L88"/>
  <c r="N88"/>
  <c r="M88"/>
  <c r="L89"/>
  <c r="N89"/>
  <c r="M89"/>
  <c r="L90"/>
  <c r="M90"/>
  <c r="N90"/>
  <c r="L91"/>
  <c r="M91"/>
  <c r="N91"/>
  <c r="L92"/>
  <c r="N92"/>
  <c r="M92"/>
  <c r="L93"/>
  <c r="N93"/>
  <c r="M93"/>
  <c r="L94"/>
  <c r="M94"/>
  <c r="N94"/>
  <c r="L95"/>
  <c r="M95"/>
  <c r="N95"/>
  <c r="L96"/>
  <c r="N96"/>
  <c r="M96"/>
  <c r="N77"/>
  <c r="L77"/>
  <c r="M77"/>
  <c r="L58"/>
  <c r="M58"/>
  <c r="N58"/>
  <c r="L59"/>
  <c r="N59"/>
  <c r="M59"/>
  <c r="L60"/>
  <c r="N60"/>
  <c r="M60"/>
  <c r="L61"/>
  <c r="N61"/>
  <c r="M61"/>
  <c r="L62"/>
  <c r="M62"/>
  <c r="N62"/>
  <c r="L63"/>
  <c r="M63"/>
  <c r="N63"/>
  <c r="L64"/>
  <c r="N64"/>
  <c r="M64"/>
  <c r="L65"/>
  <c r="N65"/>
  <c r="M65"/>
  <c r="L66"/>
  <c r="M66"/>
  <c r="N66"/>
  <c r="L67"/>
  <c r="M67"/>
  <c r="N67"/>
  <c r="L68"/>
  <c r="N68"/>
  <c r="M68"/>
  <c r="L69"/>
  <c r="N69"/>
  <c r="M69"/>
  <c r="L70"/>
  <c r="M70"/>
  <c r="N70"/>
  <c r="L71"/>
  <c r="M71"/>
  <c r="N71"/>
  <c r="L72"/>
  <c r="N72"/>
  <c r="M72"/>
  <c r="L73"/>
  <c r="N73"/>
  <c r="M73"/>
  <c r="L74"/>
  <c r="M74"/>
  <c r="N74"/>
  <c r="L75"/>
  <c r="M75"/>
  <c r="N75"/>
  <c r="L76"/>
  <c r="N76"/>
  <c r="M76"/>
  <c r="N57"/>
  <c r="L57"/>
  <c r="M57"/>
  <c r="L38"/>
  <c r="M38"/>
  <c r="N38"/>
  <c r="L39"/>
  <c r="M39"/>
  <c r="N39"/>
  <c r="L40"/>
  <c r="N40"/>
  <c r="M40"/>
  <c r="L41"/>
  <c r="N41"/>
  <c r="M41"/>
  <c r="L42"/>
  <c r="M42"/>
  <c r="N42"/>
  <c r="L43"/>
  <c r="M43"/>
  <c r="N43"/>
  <c r="L44"/>
  <c r="N44"/>
  <c r="M44"/>
  <c r="L45"/>
  <c r="N45"/>
  <c r="M45"/>
  <c r="L46"/>
  <c r="M46"/>
  <c r="N46"/>
  <c r="L47"/>
  <c r="M47"/>
  <c r="N47"/>
  <c r="L48"/>
  <c r="N48"/>
  <c r="M48"/>
  <c r="L49"/>
  <c r="N49"/>
  <c r="M49"/>
  <c r="L50"/>
  <c r="M50"/>
  <c r="N50"/>
  <c r="L51"/>
  <c r="M51"/>
  <c r="N51"/>
  <c r="L52"/>
  <c r="N52"/>
  <c r="M52"/>
  <c r="L53"/>
  <c r="N53"/>
  <c r="M53"/>
  <c r="L54"/>
  <c r="M54"/>
  <c r="N54"/>
  <c r="L55"/>
  <c r="M55"/>
  <c r="N55"/>
  <c r="L56"/>
  <c r="N56"/>
  <c r="M56"/>
  <c r="M37"/>
  <c r="L37"/>
  <c r="N10"/>
  <c r="Q10"/>
  <c r="C241"/>
  <c r="C242"/>
  <c r="C243"/>
  <c r="C244"/>
  <c r="C245"/>
  <c r="C246"/>
  <c r="C247"/>
  <c r="C248"/>
  <c r="C249"/>
  <c r="C250"/>
  <c r="C251"/>
  <c r="C252"/>
  <c r="C253"/>
  <c r="C254"/>
  <c r="C255"/>
  <c r="C256"/>
  <c r="C221"/>
  <c r="C222"/>
  <c r="C223"/>
  <c r="C224"/>
  <c r="C225"/>
  <c r="C226"/>
  <c r="C227"/>
  <c r="C228"/>
  <c r="C229"/>
  <c r="C230"/>
  <c r="C231"/>
  <c r="C232"/>
  <c r="C233"/>
  <c r="C234"/>
  <c r="C235"/>
  <c r="C236"/>
  <c r="C201"/>
  <c r="C202"/>
  <c r="C203"/>
  <c r="C204"/>
  <c r="C205"/>
  <c r="C206"/>
  <c r="C207"/>
  <c r="C208"/>
  <c r="C209"/>
  <c r="C210"/>
  <c r="C211"/>
  <c r="C212"/>
  <c r="C213"/>
  <c r="C214"/>
  <c r="C215"/>
  <c r="C216"/>
  <c r="C181"/>
  <c r="C182"/>
  <c r="C183"/>
  <c r="C184"/>
  <c r="C185"/>
  <c r="C186"/>
  <c r="C187"/>
  <c r="C188"/>
  <c r="C189"/>
  <c r="C190"/>
  <c r="C191"/>
  <c r="C192"/>
  <c r="C193"/>
  <c r="C194"/>
  <c r="C195"/>
  <c r="C196"/>
  <c r="C161"/>
  <c r="C162"/>
  <c r="C163"/>
  <c r="C164"/>
  <c r="C165"/>
  <c r="C166"/>
  <c r="C167"/>
  <c r="C168"/>
  <c r="C169"/>
  <c r="C170"/>
  <c r="C171"/>
  <c r="C172"/>
  <c r="C173"/>
  <c r="C174"/>
  <c r="C175"/>
  <c r="C176"/>
  <c r="C141"/>
  <c r="C142"/>
  <c r="C143"/>
  <c r="C144"/>
  <c r="C145"/>
  <c r="C146"/>
  <c r="C147"/>
  <c r="C148"/>
  <c r="C149"/>
  <c r="C150"/>
  <c r="C151"/>
  <c r="C152"/>
  <c r="C153"/>
  <c r="C154"/>
  <c r="C155"/>
  <c r="C156"/>
  <c r="C121"/>
  <c r="C122"/>
  <c r="C123"/>
  <c r="C124"/>
  <c r="C125"/>
  <c r="C126"/>
  <c r="C127"/>
  <c r="C128"/>
  <c r="C129"/>
  <c r="C130"/>
  <c r="C131"/>
  <c r="C132"/>
  <c r="C133"/>
  <c r="C134"/>
  <c r="C135"/>
  <c r="C136"/>
  <c r="C101"/>
  <c r="C102"/>
  <c r="C103"/>
  <c r="C104"/>
  <c r="C105"/>
  <c r="C106"/>
  <c r="C107"/>
  <c r="C108"/>
  <c r="C109"/>
  <c r="C110"/>
  <c r="C111"/>
  <c r="C112"/>
  <c r="C113"/>
  <c r="C114"/>
  <c r="C115"/>
  <c r="C116"/>
  <c r="C81"/>
  <c r="C82"/>
  <c r="C83"/>
  <c r="C84"/>
  <c r="C85"/>
  <c r="C86"/>
  <c r="C87"/>
  <c r="C88"/>
  <c r="C89"/>
  <c r="C90"/>
  <c r="C91"/>
  <c r="C92"/>
  <c r="C93"/>
  <c r="C94"/>
  <c r="C95"/>
  <c r="C96"/>
  <c r="C62"/>
  <c r="C63"/>
  <c r="C64"/>
  <c r="C65"/>
  <c r="C66"/>
  <c r="C67"/>
  <c r="C68"/>
  <c r="C69"/>
  <c r="C70"/>
  <c r="C71"/>
  <c r="C72"/>
  <c r="C73"/>
  <c r="C74"/>
  <c r="C75"/>
  <c r="C76"/>
  <c r="C61"/>
  <c r="C44"/>
  <c r="C45"/>
  <c r="C46"/>
  <c r="C47"/>
  <c r="C48"/>
  <c r="C49"/>
  <c r="C50"/>
  <c r="C51"/>
  <c r="C52"/>
  <c r="C53"/>
  <c r="C54"/>
  <c r="C55"/>
  <c r="C56"/>
  <c r="C43"/>
  <c r="C42"/>
  <c r="C41"/>
  <c r="R11"/>
  <c r="R12"/>
  <c r="R13"/>
  <c r="R14"/>
  <c r="R15"/>
  <c r="R16"/>
  <c r="R17"/>
  <c r="R18"/>
  <c r="R19"/>
  <c r="R20"/>
  <c r="R21"/>
  <c r="R22"/>
  <c r="R23"/>
  <c r="R24"/>
  <c r="R25"/>
  <c r="R26"/>
  <c r="R27"/>
  <c r="R28"/>
  <c r="R29"/>
  <c r="R10"/>
  <c r="Q11"/>
  <c r="Q12"/>
  <c r="Q13"/>
  <c r="Q14"/>
  <c r="Q15"/>
  <c r="Q16"/>
  <c r="Q17"/>
  <c r="Q18"/>
  <c r="Q19"/>
  <c r="Q20"/>
  <c r="Q21"/>
  <c r="Q22"/>
  <c r="Q23"/>
  <c r="Q24"/>
  <c r="Q25"/>
  <c r="Q26"/>
  <c r="Q27"/>
  <c r="Q28"/>
  <c r="Q29"/>
  <c r="P29"/>
  <c r="O29"/>
  <c r="P28"/>
  <c r="O28"/>
  <c r="P27"/>
  <c r="O27"/>
  <c r="P26"/>
  <c r="O26"/>
  <c r="P25"/>
  <c r="O25"/>
  <c r="P24"/>
  <c r="O24"/>
  <c r="P23"/>
  <c r="O23"/>
  <c r="P22"/>
  <c r="O22"/>
  <c r="P21"/>
  <c r="O21"/>
  <c r="P20"/>
  <c r="O20"/>
  <c r="P19"/>
  <c r="O19"/>
  <c r="P18"/>
  <c r="O18"/>
  <c r="P17"/>
  <c r="O17"/>
  <c r="P16"/>
  <c r="O16"/>
  <c r="P15"/>
  <c r="O15"/>
  <c r="N15"/>
  <c r="C15"/>
  <c r="C16"/>
  <c r="P14"/>
  <c r="O14"/>
  <c r="N14"/>
  <c r="C14"/>
  <c r="P13"/>
  <c r="O13"/>
  <c r="N13"/>
  <c r="P12"/>
  <c r="O12"/>
  <c r="N12"/>
  <c r="P11"/>
  <c r="O11"/>
  <c r="N11"/>
  <c r="P10"/>
  <c r="O10"/>
  <c r="P8"/>
  <c r="P192" i="19"/>
  <c r="P193"/>
  <c r="P194"/>
  <c r="P195"/>
  <c r="P196"/>
  <c r="P197"/>
  <c r="P198"/>
  <c r="P199"/>
  <c r="P200"/>
  <c r="P201"/>
  <c r="P202"/>
  <c r="P203"/>
  <c r="P204"/>
  <c r="P205"/>
  <c r="P206"/>
  <c r="P207"/>
  <c r="P208"/>
  <c r="P209"/>
  <c r="P210"/>
  <c r="P191"/>
  <c r="O192"/>
  <c r="O193"/>
  <c r="O194"/>
  <c r="O195"/>
  <c r="O196"/>
  <c r="O197"/>
  <c r="O198"/>
  <c r="O199"/>
  <c r="O200"/>
  <c r="O201"/>
  <c r="O202"/>
  <c r="O203"/>
  <c r="O204"/>
  <c r="O205"/>
  <c r="O206"/>
  <c r="O207"/>
  <c r="O208"/>
  <c r="O209"/>
  <c r="O210"/>
  <c r="O191"/>
  <c r="N189"/>
  <c r="N192"/>
  <c r="N193"/>
  <c r="N194"/>
  <c r="N195"/>
  <c r="N196"/>
  <c r="N197"/>
  <c r="N198"/>
  <c r="N199"/>
  <c r="N200"/>
  <c r="N201"/>
  <c r="N202"/>
  <c r="N203"/>
  <c r="N204"/>
  <c r="N205"/>
  <c r="N206"/>
  <c r="N207"/>
  <c r="N208"/>
  <c r="N209"/>
  <c r="N210"/>
  <c r="N191"/>
  <c r="M192"/>
  <c r="M193"/>
  <c r="M194"/>
  <c r="M195"/>
  <c r="M196"/>
  <c r="M197"/>
  <c r="M198"/>
  <c r="M199"/>
  <c r="M200"/>
  <c r="M201"/>
  <c r="M202"/>
  <c r="M203"/>
  <c r="M204"/>
  <c r="M205"/>
  <c r="M206"/>
  <c r="M207"/>
  <c r="M208"/>
  <c r="M209"/>
  <c r="M210"/>
  <c r="M191"/>
  <c r="L192"/>
  <c r="L193"/>
  <c r="L194"/>
  <c r="L195"/>
  <c r="L196"/>
  <c r="L197"/>
  <c r="L198"/>
  <c r="L199"/>
  <c r="L200"/>
  <c r="L201"/>
  <c r="L202"/>
  <c r="L203"/>
  <c r="L204"/>
  <c r="L205"/>
  <c r="L206"/>
  <c r="L207"/>
  <c r="L208"/>
  <c r="L209"/>
  <c r="L210"/>
  <c r="L191"/>
  <c r="A197"/>
  <c r="A198"/>
  <c r="A199"/>
  <c r="A200"/>
  <c r="A201"/>
  <c r="A202"/>
  <c r="A203"/>
  <c r="A204"/>
  <c r="A205"/>
  <c r="A206"/>
  <c r="A207"/>
  <c r="A208"/>
  <c r="A209"/>
  <c r="A210"/>
  <c r="A196"/>
  <c r="A195"/>
  <c r="N16" i="21"/>
  <c r="C17"/>
  <c r="C18"/>
  <c r="N17"/>
  <c r="BO32" i="19"/>
  <c r="BO33"/>
  <c r="BO34"/>
  <c r="BO35"/>
  <c r="BO36"/>
  <c r="BO37"/>
  <c r="BO38"/>
  <c r="BO39"/>
  <c r="BO40"/>
  <c r="BO41"/>
  <c r="BO31"/>
  <c r="BN32"/>
  <c r="BN33"/>
  <c r="BN34"/>
  <c r="BN35"/>
  <c r="BN36"/>
  <c r="BN37"/>
  <c r="BN38"/>
  <c r="BN39"/>
  <c r="BN40"/>
  <c r="BN41"/>
  <c r="BN31"/>
  <c r="BM32"/>
  <c r="BM33"/>
  <c r="BM34"/>
  <c r="BM35"/>
  <c r="BM36"/>
  <c r="BM37"/>
  <c r="BM38"/>
  <c r="BM39"/>
  <c r="BM40"/>
  <c r="BM41"/>
  <c r="BM31"/>
  <c r="BL31"/>
  <c r="BL32"/>
  <c r="BL33"/>
  <c r="BL34"/>
  <c r="BL35"/>
  <c r="BL36"/>
  <c r="BL37"/>
  <c r="BL38"/>
  <c r="BL39"/>
  <c r="BL40"/>
  <c r="BL41"/>
  <c r="BH32"/>
  <c r="BH33"/>
  <c r="BH34"/>
  <c r="BH35"/>
  <c r="BH36"/>
  <c r="BH37"/>
  <c r="BH38"/>
  <c r="BH39"/>
  <c r="BH40"/>
  <c r="BH41"/>
  <c r="BH31"/>
  <c r="BG32"/>
  <c r="BG33"/>
  <c r="BG34"/>
  <c r="BG35"/>
  <c r="BG36"/>
  <c r="BG37"/>
  <c r="BG38"/>
  <c r="BG39"/>
  <c r="BG40"/>
  <c r="BG41"/>
  <c r="BG31"/>
  <c r="BF32"/>
  <c r="BF33"/>
  <c r="BF34"/>
  <c r="BF35"/>
  <c r="BF36"/>
  <c r="BF37"/>
  <c r="BF38"/>
  <c r="BF39"/>
  <c r="BF40"/>
  <c r="BF41"/>
  <c r="BF31"/>
  <c r="BE32"/>
  <c r="BE33"/>
  <c r="BE34"/>
  <c r="BE35"/>
  <c r="BE36"/>
  <c r="BE37"/>
  <c r="BE38"/>
  <c r="BE39"/>
  <c r="BE40"/>
  <c r="BE41"/>
  <c r="BE31"/>
  <c r="BX9"/>
  <c r="BX10"/>
  <c r="BX11"/>
  <c r="BX12"/>
  <c r="BX13"/>
  <c r="BX14"/>
  <c r="BX15"/>
  <c r="BX16"/>
  <c r="BX17"/>
  <c r="BX18"/>
  <c r="BX19"/>
  <c r="BX20"/>
  <c r="BX21"/>
  <c r="BX22"/>
  <c r="BX23"/>
  <c r="BX24"/>
  <c r="BX25"/>
  <c r="BX26"/>
  <c r="BX27"/>
  <c r="BX8"/>
  <c r="BW9"/>
  <c r="BW10"/>
  <c r="BW11"/>
  <c r="BW12"/>
  <c r="BW13"/>
  <c r="BW14"/>
  <c r="BW15"/>
  <c r="BW16"/>
  <c r="BW17"/>
  <c r="BW18"/>
  <c r="BW19"/>
  <c r="BW20"/>
  <c r="BW21"/>
  <c r="BW22"/>
  <c r="BW23"/>
  <c r="BW24"/>
  <c r="BW25"/>
  <c r="BW26"/>
  <c r="BW27"/>
  <c r="BW8"/>
  <c r="BV9"/>
  <c r="BV10"/>
  <c r="BV11"/>
  <c r="BV12"/>
  <c r="BV13"/>
  <c r="BV14"/>
  <c r="BV15"/>
  <c r="BV16"/>
  <c r="BV17"/>
  <c r="BV18"/>
  <c r="BV19"/>
  <c r="BV20"/>
  <c r="BV21"/>
  <c r="BV22"/>
  <c r="BV23"/>
  <c r="BV24"/>
  <c r="BV25"/>
  <c r="BV26"/>
  <c r="BV27"/>
  <c r="BV8"/>
  <c r="BU9"/>
  <c r="BU10"/>
  <c r="BU11"/>
  <c r="BU12"/>
  <c r="BU13"/>
  <c r="BU14"/>
  <c r="BU15"/>
  <c r="BU16"/>
  <c r="BU17"/>
  <c r="BU18"/>
  <c r="BU19"/>
  <c r="BU20"/>
  <c r="BU21"/>
  <c r="BU22"/>
  <c r="BU23"/>
  <c r="BU24"/>
  <c r="BU25"/>
  <c r="BU26"/>
  <c r="BU27"/>
  <c r="BU8"/>
  <c r="BT9"/>
  <c r="BT10"/>
  <c r="BT11"/>
  <c r="BT12"/>
  <c r="BT13"/>
  <c r="BT14"/>
  <c r="BT15"/>
  <c r="BT16"/>
  <c r="BT17"/>
  <c r="BT18"/>
  <c r="BT19"/>
  <c r="BT20"/>
  <c r="BT21"/>
  <c r="BT22"/>
  <c r="BT23"/>
  <c r="BT24"/>
  <c r="BT25"/>
  <c r="BT26"/>
  <c r="BT27"/>
  <c r="BT8"/>
  <c r="BR9"/>
  <c r="BR10"/>
  <c r="BR11"/>
  <c r="BR12"/>
  <c r="BR13"/>
  <c r="BR14"/>
  <c r="BR15"/>
  <c r="BR16"/>
  <c r="BR17"/>
  <c r="BR18"/>
  <c r="BR19"/>
  <c r="BR20"/>
  <c r="BR21"/>
  <c r="BR22"/>
  <c r="BR23"/>
  <c r="BR24"/>
  <c r="BR25"/>
  <c r="BR26"/>
  <c r="BR27"/>
  <c r="BR8"/>
  <c r="BN8"/>
  <c r="BO8"/>
  <c r="BP8"/>
  <c r="BQ9"/>
  <c r="BQ10"/>
  <c r="BQ11"/>
  <c r="BQ12"/>
  <c r="BQ13"/>
  <c r="BQ14"/>
  <c r="BQ15"/>
  <c r="BQ16"/>
  <c r="BQ17"/>
  <c r="BQ18"/>
  <c r="BQ19"/>
  <c r="BQ20"/>
  <c r="BQ21"/>
  <c r="BQ22"/>
  <c r="BQ23"/>
  <c r="BQ24"/>
  <c r="BQ25"/>
  <c r="BQ26"/>
  <c r="BQ27"/>
  <c r="BQ8"/>
  <c r="BP9"/>
  <c r="BP10"/>
  <c r="BP11"/>
  <c r="BP12"/>
  <c r="BP13"/>
  <c r="BP14"/>
  <c r="BP15"/>
  <c r="BP16"/>
  <c r="BP17"/>
  <c r="BP18"/>
  <c r="BP19"/>
  <c r="BP20"/>
  <c r="BP21"/>
  <c r="BP22"/>
  <c r="BP23"/>
  <c r="BP24"/>
  <c r="BP25"/>
  <c r="BP26"/>
  <c r="BP27"/>
  <c r="BO9"/>
  <c r="BO10"/>
  <c r="BO11"/>
  <c r="BO12"/>
  <c r="BO13"/>
  <c r="BO14"/>
  <c r="BO15"/>
  <c r="BO16"/>
  <c r="BO17"/>
  <c r="BO18"/>
  <c r="BO19"/>
  <c r="BO20"/>
  <c r="BO21"/>
  <c r="BO22"/>
  <c r="BO23"/>
  <c r="BO24"/>
  <c r="BO25"/>
  <c r="BO26"/>
  <c r="BO27"/>
  <c r="BN27"/>
  <c r="BN9"/>
  <c r="BN10"/>
  <c r="BN11"/>
  <c r="BN12"/>
  <c r="BN13"/>
  <c r="BN14"/>
  <c r="BN15"/>
  <c r="BN16"/>
  <c r="BN17"/>
  <c r="BN18"/>
  <c r="BN19"/>
  <c r="BN20"/>
  <c r="BN21"/>
  <c r="BN22"/>
  <c r="BN23"/>
  <c r="BN24"/>
  <c r="BN25"/>
  <c r="BN26"/>
  <c r="BS27"/>
  <c r="BS26"/>
  <c r="BS25"/>
  <c r="BS24"/>
  <c r="BS23"/>
  <c r="BS22"/>
  <c r="BS21"/>
  <c r="BS20"/>
  <c r="BS19"/>
  <c r="BS18"/>
  <c r="BS17"/>
  <c r="BS16"/>
  <c r="BS15"/>
  <c r="BS14"/>
  <c r="BS13"/>
  <c r="BS12"/>
  <c r="BM12"/>
  <c r="BM13"/>
  <c r="BM14"/>
  <c r="BM15"/>
  <c r="BM16"/>
  <c r="BM17"/>
  <c r="BM18"/>
  <c r="BM19"/>
  <c r="BM20"/>
  <c r="BM21"/>
  <c r="BM22"/>
  <c r="BM23"/>
  <c r="BM24"/>
  <c r="BM25"/>
  <c r="BM26"/>
  <c r="BM27"/>
  <c r="BS11"/>
  <c r="BS10"/>
  <c r="BS9"/>
  <c r="BS8"/>
  <c r="BI9"/>
  <c r="BJ9"/>
  <c r="BK9"/>
  <c r="BI10"/>
  <c r="BJ10"/>
  <c r="BK10"/>
  <c r="BI11"/>
  <c r="BJ11"/>
  <c r="BK11"/>
  <c r="BI12"/>
  <c r="BJ12"/>
  <c r="BK12"/>
  <c r="BI13"/>
  <c r="BJ13"/>
  <c r="BK13"/>
  <c r="BI14"/>
  <c r="BJ14"/>
  <c r="BK14"/>
  <c r="BI15"/>
  <c r="BJ15"/>
  <c r="BK15"/>
  <c r="BI16"/>
  <c r="BJ16"/>
  <c r="BK16"/>
  <c r="BI17"/>
  <c r="BJ17"/>
  <c r="BK17"/>
  <c r="BI18"/>
  <c r="BJ18"/>
  <c r="BK18"/>
  <c r="BI19"/>
  <c r="BJ19"/>
  <c r="BK19"/>
  <c r="BI20"/>
  <c r="BJ20"/>
  <c r="BK20"/>
  <c r="BI21"/>
  <c r="BJ21"/>
  <c r="BK21"/>
  <c r="BI22"/>
  <c r="BJ22"/>
  <c r="BK22"/>
  <c r="BI23"/>
  <c r="BJ23"/>
  <c r="BK23"/>
  <c r="BI24"/>
  <c r="BJ24"/>
  <c r="BK24"/>
  <c r="BI25"/>
  <c r="BJ25"/>
  <c r="BK25"/>
  <c r="BI26"/>
  <c r="BJ26"/>
  <c r="BK26"/>
  <c r="BI27"/>
  <c r="BJ27"/>
  <c r="BK27"/>
  <c r="BK8"/>
  <c r="BJ8"/>
  <c r="BI8"/>
  <c r="BH9"/>
  <c r="BH10"/>
  <c r="BH11"/>
  <c r="BH12"/>
  <c r="BH13"/>
  <c r="BH14"/>
  <c r="BH15"/>
  <c r="BH16"/>
  <c r="BH17"/>
  <c r="BH18"/>
  <c r="BH19"/>
  <c r="BH20"/>
  <c r="BH21"/>
  <c r="BH22"/>
  <c r="BH23"/>
  <c r="BH24"/>
  <c r="BH25"/>
  <c r="BH26"/>
  <c r="BH27"/>
  <c r="BH8"/>
  <c r="BG9"/>
  <c r="BG10"/>
  <c r="BG11"/>
  <c r="BG12"/>
  <c r="BG13"/>
  <c r="BG14"/>
  <c r="BG15"/>
  <c r="BG16"/>
  <c r="BG17"/>
  <c r="BG18"/>
  <c r="BG19"/>
  <c r="BG20"/>
  <c r="BG21"/>
  <c r="BG22"/>
  <c r="BG23"/>
  <c r="BG24"/>
  <c r="BG25"/>
  <c r="BG26"/>
  <c r="BG27"/>
  <c r="BG8"/>
  <c r="BF8"/>
  <c r="BF9"/>
  <c r="BF10"/>
  <c r="BF11"/>
  <c r="BF12"/>
  <c r="BF13"/>
  <c r="BF14"/>
  <c r="BF15"/>
  <c r="BF16"/>
  <c r="BF17"/>
  <c r="BF18"/>
  <c r="BF19"/>
  <c r="BF20"/>
  <c r="BF21"/>
  <c r="BF22"/>
  <c r="BF23"/>
  <c r="BF24"/>
  <c r="BF25"/>
  <c r="BF26"/>
  <c r="BF27"/>
  <c r="BE9"/>
  <c r="BE10"/>
  <c r="BE11"/>
  <c r="BE12"/>
  <c r="BE13"/>
  <c r="BE14"/>
  <c r="BE15"/>
  <c r="BE16"/>
  <c r="BE17"/>
  <c r="BE18"/>
  <c r="BE19"/>
  <c r="BE20"/>
  <c r="BE21"/>
  <c r="BE22"/>
  <c r="BE23"/>
  <c r="BE24"/>
  <c r="BE25"/>
  <c r="BE26"/>
  <c r="BE27"/>
  <c r="BE8"/>
  <c r="BD9"/>
  <c r="BD10"/>
  <c r="BD11"/>
  <c r="BD12"/>
  <c r="BD13"/>
  <c r="BD14"/>
  <c r="BD15"/>
  <c r="BD16"/>
  <c r="BD17"/>
  <c r="BD18"/>
  <c r="BD19"/>
  <c r="BD20"/>
  <c r="BD21"/>
  <c r="BD22"/>
  <c r="BD23"/>
  <c r="BD24"/>
  <c r="BD25"/>
  <c r="BD26"/>
  <c r="BD27"/>
  <c r="BD8"/>
  <c r="BC9"/>
  <c r="BC10"/>
  <c r="BC11"/>
  <c r="BC12"/>
  <c r="BC13"/>
  <c r="BC14"/>
  <c r="BC15"/>
  <c r="BC16"/>
  <c r="BC17"/>
  <c r="BC18"/>
  <c r="BC19"/>
  <c r="BC20"/>
  <c r="BC21"/>
  <c r="BC22"/>
  <c r="BC23"/>
  <c r="BC24"/>
  <c r="BC25"/>
  <c r="BC26"/>
  <c r="BC27"/>
  <c r="BC8"/>
  <c r="BB9"/>
  <c r="BB10"/>
  <c r="BB11"/>
  <c r="BB12"/>
  <c r="BB13"/>
  <c r="BB14"/>
  <c r="BB15"/>
  <c r="BB16"/>
  <c r="BB17"/>
  <c r="BB18"/>
  <c r="BB19"/>
  <c r="BB20"/>
  <c r="BB21"/>
  <c r="BB22"/>
  <c r="BB23"/>
  <c r="BB24"/>
  <c r="BB25"/>
  <c r="BB26"/>
  <c r="BB27"/>
  <c r="BB8"/>
  <c r="BA9"/>
  <c r="BA10"/>
  <c r="BA11"/>
  <c r="BA12"/>
  <c r="BA13"/>
  <c r="BA14"/>
  <c r="BA15"/>
  <c r="BA16"/>
  <c r="BA17"/>
  <c r="BA18"/>
  <c r="BA19"/>
  <c r="BA20"/>
  <c r="BA21"/>
  <c r="BA22"/>
  <c r="BA23"/>
  <c r="BA24"/>
  <c r="BA25"/>
  <c r="BA26"/>
  <c r="BA27"/>
  <c r="AZ12"/>
  <c r="AZ13"/>
  <c r="AZ14"/>
  <c r="AZ15"/>
  <c r="AZ16"/>
  <c r="AZ17"/>
  <c r="AZ18"/>
  <c r="AZ19"/>
  <c r="AZ20"/>
  <c r="AZ21"/>
  <c r="AZ22"/>
  <c r="AZ23"/>
  <c r="AZ24"/>
  <c r="AZ25"/>
  <c r="AZ26"/>
  <c r="AZ27"/>
  <c r="B34"/>
  <c r="B35"/>
  <c r="B36"/>
  <c r="B37"/>
  <c r="B38"/>
  <c r="B39"/>
  <c r="B40"/>
  <c r="B41"/>
  <c r="B42"/>
  <c r="B43"/>
  <c r="B44"/>
  <c r="B45"/>
  <c r="B46"/>
  <c r="B47"/>
  <c r="B48"/>
  <c r="B49"/>
  <c r="B12"/>
  <c r="B13"/>
  <c r="B14"/>
  <c r="B15"/>
  <c r="B16"/>
  <c r="B17"/>
  <c r="B18"/>
  <c r="B19"/>
  <c r="B20"/>
  <c r="B21"/>
  <c r="B22"/>
  <c r="B23"/>
  <c r="B24"/>
  <c r="B25"/>
  <c r="B26"/>
  <c r="B27"/>
  <c r="BH245"/>
  <c r="BH246"/>
  <c r="BH247"/>
  <c r="BH248"/>
  <c r="BH249"/>
  <c r="BH250"/>
  <c r="BH251"/>
  <c r="BH252"/>
  <c r="BH253"/>
  <c r="BH254"/>
  <c r="BH255"/>
  <c r="BH256"/>
  <c r="BH257"/>
  <c r="BH258"/>
  <c r="BH259"/>
  <c r="BH260"/>
  <c r="BH261"/>
  <c r="BH262"/>
  <c r="BH263"/>
  <c r="BH264"/>
  <c r="BH266"/>
  <c r="BH267"/>
  <c r="BH268"/>
  <c r="BH269"/>
  <c r="BH270"/>
  <c r="BH271"/>
  <c r="BH272"/>
  <c r="BH273"/>
  <c r="BH274"/>
  <c r="BH275"/>
  <c r="BH276"/>
  <c r="BH277"/>
  <c r="BH278"/>
  <c r="BH279"/>
  <c r="BH280"/>
  <c r="BH281"/>
  <c r="BH282"/>
  <c r="BH283"/>
  <c r="BH284"/>
  <c r="BH285"/>
  <c r="BH286"/>
  <c r="BH287"/>
  <c r="BH288"/>
  <c r="BH289"/>
  <c r="BH290"/>
  <c r="BH291"/>
  <c r="BH292"/>
  <c r="BH293"/>
  <c r="BH294"/>
  <c r="BH295"/>
  <c r="BH296"/>
  <c r="BH265"/>
  <c r="N18" i="21"/>
  <c r="C19"/>
  <c r="B164" i="19"/>
  <c r="B165"/>
  <c r="B166"/>
  <c r="B167"/>
  <c r="B168"/>
  <c r="B169"/>
  <c r="B170"/>
  <c r="B171"/>
  <c r="B172"/>
  <c r="B173"/>
  <c r="B174"/>
  <c r="B175"/>
  <c r="B176"/>
  <c r="B177"/>
  <c r="B178"/>
  <c r="B179"/>
  <c r="B140"/>
  <c r="B141"/>
  <c r="B142"/>
  <c r="B143"/>
  <c r="B144"/>
  <c r="B145"/>
  <c r="B146"/>
  <c r="B147"/>
  <c r="B148"/>
  <c r="B149"/>
  <c r="B150"/>
  <c r="B151"/>
  <c r="B152"/>
  <c r="B153"/>
  <c r="B154"/>
  <c r="B155"/>
  <c r="B115"/>
  <c r="B116"/>
  <c r="B117"/>
  <c r="B118"/>
  <c r="B119"/>
  <c r="B120"/>
  <c r="B121"/>
  <c r="B122"/>
  <c r="B123"/>
  <c r="B124"/>
  <c r="B125"/>
  <c r="B126"/>
  <c r="B127"/>
  <c r="B128"/>
  <c r="B129"/>
  <c r="B130"/>
  <c r="C20" i="21"/>
  <c r="N19"/>
  <c r="B92" i="19"/>
  <c r="B93"/>
  <c r="B94"/>
  <c r="B95"/>
  <c r="B96"/>
  <c r="B97"/>
  <c r="B98"/>
  <c r="B99"/>
  <c r="B100"/>
  <c r="B101"/>
  <c r="B102"/>
  <c r="B103"/>
  <c r="B104"/>
  <c r="B105"/>
  <c r="B106"/>
  <c r="B107"/>
  <c r="M8" i="1"/>
  <c r="N415" i="19"/>
  <c r="N414"/>
  <c r="N416"/>
  <c r="N418"/>
  <c r="N413"/>
  <c r="N417"/>
  <c r="N20" i="21"/>
  <c r="C21"/>
  <c r="P80" i="19"/>
  <c r="O80"/>
  <c r="N80"/>
  <c r="P79"/>
  <c r="O79"/>
  <c r="N79"/>
  <c r="P78"/>
  <c r="O78"/>
  <c r="N78"/>
  <c r="P77"/>
  <c r="O77"/>
  <c r="N77"/>
  <c r="P76"/>
  <c r="O76"/>
  <c r="N76"/>
  <c r="P75"/>
  <c r="O75"/>
  <c r="N75"/>
  <c r="P74"/>
  <c r="O74"/>
  <c r="N74"/>
  <c r="P73"/>
  <c r="O73"/>
  <c r="N73"/>
  <c r="P72"/>
  <c r="O72"/>
  <c r="N72"/>
  <c r="P71"/>
  <c r="O71"/>
  <c r="N71"/>
  <c r="P70"/>
  <c r="O70"/>
  <c r="N70"/>
  <c r="P69"/>
  <c r="O69"/>
  <c r="N69"/>
  <c r="P68"/>
  <c r="O68"/>
  <c r="N68"/>
  <c r="P67"/>
  <c r="O67"/>
  <c r="N67"/>
  <c r="P66"/>
  <c r="O66"/>
  <c r="N66"/>
  <c r="H67"/>
  <c r="H68"/>
  <c r="H69"/>
  <c r="H70"/>
  <c r="H71"/>
  <c r="H72"/>
  <c r="H73"/>
  <c r="H74"/>
  <c r="H75"/>
  <c r="H76"/>
  <c r="H77"/>
  <c r="H78"/>
  <c r="H79"/>
  <c r="H80"/>
  <c r="H66"/>
  <c r="G67"/>
  <c r="G68"/>
  <c r="G69"/>
  <c r="G70"/>
  <c r="G71"/>
  <c r="G72"/>
  <c r="G73"/>
  <c r="G74"/>
  <c r="G75"/>
  <c r="G76"/>
  <c r="G77"/>
  <c r="G78"/>
  <c r="G79"/>
  <c r="G80"/>
  <c r="G66"/>
  <c r="F67"/>
  <c r="F68"/>
  <c r="F69"/>
  <c r="F70"/>
  <c r="F71"/>
  <c r="F72"/>
  <c r="F73"/>
  <c r="F74"/>
  <c r="F75"/>
  <c r="F76"/>
  <c r="F77"/>
  <c r="F78"/>
  <c r="F79"/>
  <c r="F80"/>
  <c r="C22" i="21"/>
  <c r="N21"/>
  <c r="H15" i="20"/>
  <c r="J10"/>
  <c r="C23" i="21"/>
  <c r="N22"/>
  <c r="U7" i="1"/>
  <c r="J11" i="20"/>
  <c r="Q19"/>
  <c r="Q20"/>
  <c r="Q18"/>
  <c r="Q4"/>
  <c r="Q13"/>
  <c r="Q14"/>
  <c r="Q7"/>
  <c r="Q12"/>
  <c r="K26"/>
  <c r="J26"/>
  <c r="J27"/>
  <c r="K25"/>
  <c r="N19"/>
  <c r="C17"/>
  <c r="C18"/>
  <c r="D16"/>
  <c r="J15"/>
  <c r="J20"/>
  <c r="B14"/>
  <c r="J13"/>
  <c r="J12"/>
  <c r="J8"/>
  <c r="L25"/>
  <c r="J19"/>
  <c r="AB66"/>
  <c r="AB28"/>
  <c r="AB68"/>
  <c r="AB44"/>
  <c r="AB33"/>
  <c r="AB49"/>
  <c r="AB65"/>
  <c r="AB34"/>
  <c r="AB50"/>
  <c r="AB64"/>
  <c r="AB40"/>
  <c r="AB29"/>
  <c r="AB45"/>
  <c r="AB61"/>
  <c r="AB30"/>
  <c r="AB46"/>
  <c r="AB62"/>
  <c r="AB31"/>
  <c r="AB39"/>
  <c r="AB47"/>
  <c r="AB55"/>
  <c r="AB63"/>
  <c r="AB56"/>
  <c r="AB60"/>
  <c r="AB36"/>
  <c r="AB25"/>
  <c r="AB41"/>
  <c r="AB57"/>
  <c r="AB26"/>
  <c r="AB42"/>
  <c r="AB58"/>
  <c r="AB67"/>
  <c r="AB48"/>
  <c r="AB32"/>
  <c r="AB52"/>
  <c r="AB37"/>
  <c r="AB53"/>
  <c r="AB69"/>
  <c r="AB38"/>
  <c r="AB54"/>
  <c r="AB27"/>
  <c r="AB35"/>
  <c r="AB43"/>
  <c r="AB51"/>
  <c r="AB59"/>
  <c r="AA65"/>
  <c r="AA60"/>
  <c r="AA55"/>
  <c r="AA49"/>
  <c r="AA44"/>
  <c r="AA39"/>
  <c r="AC39"/>
  <c r="AA33"/>
  <c r="AA28"/>
  <c r="AA67"/>
  <c r="AA61"/>
  <c r="AA56"/>
  <c r="AA51"/>
  <c r="AA45"/>
  <c r="AA40"/>
  <c r="AC40"/>
  <c r="AA35"/>
  <c r="AA29"/>
  <c r="AA68"/>
  <c r="AA63"/>
  <c r="AA57"/>
  <c r="AA52"/>
  <c r="AA47"/>
  <c r="AC47"/>
  <c r="AA41"/>
  <c r="AA36"/>
  <c r="AA31"/>
  <c r="AA25"/>
  <c r="AA69"/>
  <c r="AA64"/>
  <c r="AA59"/>
  <c r="AA53"/>
  <c r="AA48"/>
  <c r="AA43"/>
  <c r="AA37"/>
  <c r="AA32"/>
  <c r="AA27"/>
  <c r="AA26"/>
  <c r="AA34"/>
  <c r="AC34"/>
  <c r="AA42"/>
  <c r="AC42"/>
  <c r="AA50"/>
  <c r="AA58"/>
  <c r="AA30"/>
  <c r="AA38"/>
  <c r="AA46"/>
  <c r="AC46"/>
  <c r="AA54"/>
  <c r="AC54"/>
  <c r="AA62"/>
  <c r="AC62"/>
  <c r="AA66"/>
  <c r="C24" i="21"/>
  <c r="N23"/>
  <c r="S25" i="20"/>
  <c r="S28"/>
  <c r="S27"/>
  <c r="S26"/>
  <c r="C19"/>
  <c r="D18"/>
  <c r="F18"/>
  <c r="J28"/>
  <c r="K27"/>
  <c r="L27"/>
  <c r="M27"/>
  <c r="L26"/>
  <c r="M25"/>
  <c r="D17"/>
  <c r="M26"/>
  <c r="E16"/>
  <c r="F16"/>
  <c r="E17"/>
  <c r="E18"/>
  <c r="AC67"/>
  <c r="AC26"/>
  <c r="AC55"/>
  <c r="AC66"/>
  <c r="AC50"/>
  <c r="AC43"/>
  <c r="AC52"/>
  <c r="AC65"/>
  <c r="AC68"/>
  <c r="AC41"/>
  <c r="AC58"/>
  <c r="AC56"/>
  <c r="AC51"/>
  <c r="AC37"/>
  <c r="AC57"/>
  <c r="AC60"/>
  <c r="AC29"/>
  <c r="AC44"/>
  <c r="AC30"/>
  <c r="AC59"/>
  <c r="AC27"/>
  <c r="AC53"/>
  <c r="AC48"/>
  <c r="AC36"/>
  <c r="AC45"/>
  <c r="AC33"/>
  <c r="AC38"/>
  <c r="AC35"/>
  <c r="AC69"/>
  <c r="AC32"/>
  <c r="AC25"/>
  <c r="AC63"/>
  <c r="AC31"/>
  <c r="AC61"/>
  <c r="AC64"/>
  <c r="AC49"/>
  <c r="AC28"/>
  <c r="N24" i="21"/>
  <c r="C25"/>
  <c r="N27" i="20"/>
  <c r="O27"/>
  <c r="N25"/>
  <c r="O25"/>
  <c r="T25"/>
  <c r="C20"/>
  <c r="D19"/>
  <c r="J29"/>
  <c r="K28"/>
  <c r="L28"/>
  <c r="M28"/>
  <c r="T28"/>
  <c r="E19"/>
  <c r="T27"/>
  <c r="F17"/>
  <c r="N26"/>
  <c r="O26"/>
  <c r="T26"/>
  <c r="C26" i="21"/>
  <c r="N25"/>
  <c r="F19" i="20"/>
  <c r="J30"/>
  <c r="K29"/>
  <c r="L29"/>
  <c r="M29"/>
  <c r="S29"/>
  <c r="C21"/>
  <c r="D20"/>
  <c r="E20"/>
  <c r="N28"/>
  <c r="O28"/>
  <c r="N26" i="21"/>
  <c r="C27"/>
  <c r="T29" i="20"/>
  <c r="J31"/>
  <c r="K30"/>
  <c r="L30"/>
  <c r="M30"/>
  <c r="S30"/>
  <c r="C22"/>
  <c r="D21"/>
  <c r="E21"/>
  <c r="F20"/>
  <c r="N29"/>
  <c r="O29"/>
  <c r="C28" i="21"/>
  <c r="N27"/>
  <c r="F21" i="20"/>
  <c r="T30"/>
  <c r="N30"/>
  <c r="O30"/>
  <c r="J32"/>
  <c r="K31"/>
  <c r="L31"/>
  <c r="M31"/>
  <c r="S31"/>
  <c r="C23"/>
  <c r="D22"/>
  <c r="F22"/>
  <c r="E22"/>
  <c r="C29" i="21"/>
  <c r="N29"/>
  <c r="N28"/>
  <c r="N31" i="20"/>
  <c r="O31"/>
  <c r="T31"/>
  <c r="C24"/>
  <c r="D23"/>
  <c r="E23"/>
  <c r="J33"/>
  <c r="K32"/>
  <c r="L32"/>
  <c r="M32"/>
  <c r="S32"/>
  <c r="N32"/>
  <c r="O32"/>
  <c r="C25"/>
  <c r="D24"/>
  <c r="F24"/>
  <c r="E24"/>
  <c r="J34"/>
  <c r="K33"/>
  <c r="L33"/>
  <c r="M33"/>
  <c r="S33"/>
  <c r="F23"/>
  <c r="T32"/>
  <c r="N33"/>
  <c r="O33"/>
  <c r="C26"/>
  <c r="D25"/>
  <c r="F25"/>
  <c r="E25"/>
  <c r="J35"/>
  <c r="K34"/>
  <c r="L34"/>
  <c r="M34"/>
  <c r="S34"/>
  <c r="T33"/>
  <c r="N34"/>
  <c r="O34"/>
  <c r="C27"/>
  <c r="D26"/>
  <c r="F26"/>
  <c r="E26"/>
  <c r="J36"/>
  <c r="K35"/>
  <c r="L35"/>
  <c r="M35"/>
  <c r="S35"/>
  <c r="T34"/>
  <c r="N35"/>
  <c r="O35"/>
  <c r="C28"/>
  <c r="D27"/>
  <c r="F27"/>
  <c r="E27"/>
  <c r="J37"/>
  <c r="K36"/>
  <c r="L36"/>
  <c r="M36"/>
  <c r="S36"/>
  <c r="T35"/>
  <c r="N36"/>
  <c r="O36"/>
  <c r="C29"/>
  <c r="D28"/>
  <c r="F28"/>
  <c r="E28"/>
  <c r="J38"/>
  <c r="K37"/>
  <c r="L37"/>
  <c r="M37"/>
  <c r="S37"/>
  <c r="T36"/>
  <c r="N37"/>
  <c r="O37"/>
  <c r="C30"/>
  <c r="D29"/>
  <c r="F29"/>
  <c r="E29"/>
  <c r="J39"/>
  <c r="K38"/>
  <c r="L38"/>
  <c r="M38"/>
  <c r="S38"/>
  <c r="T37"/>
  <c r="N38"/>
  <c r="O38"/>
  <c r="C31"/>
  <c r="D30"/>
  <c r="F30"/>
  <c r="E30"/>
  <c r="J40"/>
  <c r="K39"/>
  <c r="L39"/>
  <c r="M39"/>
  <c r="S39"/>
  <c r="T38"/>
  <c r="N39"/>
  <c r="O39"/>
  <c r="C32"/>
  <c r="D31"/>
  <c r="F31"/>
  <c r="E31"/>
  <c r="J41"/>
  <c r="K40"/>
  <c r="L40"/>
  <c r="M40"/>
  <c r="S40"/>
  <c r="T39"/>
  <c r="N40"/>
  <c r="O40"/>
  <c r="C33"/>
  <c r="D32"/>
  <c r="F32"/>
  <c r="E32"/>
  <c r="J42"/>
  <c r="K41"/>
  <c r="L41"/>
  <c r="M41"/>
  <c r="S41"/>
  <c r="T40"/>
  <c r="N41"/>
  <c r="O41"/>
  <c r="C34"/>
  <c r="D33"/>
  <c r="F33"/>
  <c r="E33"/>
  <c r="J43"/>
  <c r="K42"/>
  <c r="L42"/>
  <c r="M42"/>
  <c r="S42"/>
  <c r="T41"/>
  <c r="N42"/>
  <c r="O42"/>
  <c r="C35"/>
  <c r="D34"/>
  <c r="F34"/>
  <c r="E34"/>
  <c r="J44"/>
  <c r="K43"/>
  <c r="L43"/>
  <c r="M43"/>
  <c r="S43"/>
  <c r="T42"/>
  <c r="N43"/>
  <c r="O43"/>
  <c r="C36"/>
  <c r="D35"/>
  <c r="E35"/>
  <c r="J45"/>
  <c r="K44"/>
  <c r="L44"/>
  <c r="M44"/>
  <c r="S44"/>
  <c r="T43"/>
  <c r="F35"/>
  <c r="N44"/>
  <c r="O44"/>
  <c r="C37"/>
  <c r="D36"/>
  <c r="E36"/>
  <c r="J46"/>
  <c r="K45"/>
  <c r="L45"/>
  <c r="M45"/>
  <c r="S45"/>
  <c r="T44"/>
  <c r="N45"/>
  <c r="O45"/>
  <c r="F36"/>
  <c r="C38"/>
  <c r="D37"/>
  <c r="E37"/>
  <c r="J47"/>
  <c r="K46"/>
  <c r="L46"/>
  <c r="M46"/>
  <c r="S46"/>
  <c r="T45"/>
  <c r="N46"/>
  <c r="O46"/>
  <c r="F37"/>
  <c r="C39"/>
  <c r="D38"/>
  <c r="E38"/>
  <c r="J48"/>
  <c r="K47"/>
  <c r="L47"/>
  <c r="M47"/>
  <c r="S47"/>
  <c r="T46"/>
  <c r="F38"/>
  <c r="N47"/>
  <c r="O47"/>
  <c r="C40"/>
  <c r="D39"/>
  <c r="E39"/>
  <c r="J49"/>
  <c r="K48"/>
  <c r="L48"/>
  <c r="M48"/>
  <c r="S48"/>
  <c r="T47"/>
  <c r="F39"/>
  <c r="N48"/>
  <c r="O48"/>
  <c r="C41"/>
  <c r="D40"/>
  <c r="E40"/>
  <c r="J50"/>
  <c r="K49"/>
  <c r="L49"/>
  <c r="M49"/>
  <c r="S49"/>
  <c r="T48"/>
  <c r="N49"/>
  <c r="O49"/>
  <c r="F40"/>
  <c r="C42"/>
  <c r="D41"/>
  <c r="E41"/>
  <c r="J51"/>
  <c r="K50"/>
  <c r="L50"/>
  <c r="M50"/>
  <c r="S50"/>
  <c r="T49"/>
  <c r="F41"/>
  <c r="N50"/>
  <c r="O50"/>
  <c r="C43"/>
  <c r="D42"/>
  <c r="F42"/>
  <c r="E42"/>
  <c r="J52"/>
  <c r="K51"/>
  <c r="L51"/>
  <c r="M51"/>
  <c r="S51"/>
  <c r="T50"/>
  <c r="N51"/>
  <c r="O51"/>
  <c r="C44"/>
  <c r="D43"/>
  <c r="F43"/>
  <c r="E43"/>
  <c r="J53"/>
  <c r="K52"/>
  <c r="L52"/>
  <c r="M52"/>
  <c r="S52"/>
  <c r="T51"/>
  <c r="N52"/>
  <c r="O52"/>
  <c r="C45"/>
  <c r="D44"/>
  <c r="F44"/>
  <c r="E44"/>
  <c r="J54"/>
  <c r="K53"/>
  <c r="L53"/>
  <c r="M53"/>
  <c r="S53"/>
  <c r="T52"/>
  <c r="N53"/>
  <c r="O53"/>
  <c r="C46"/>
  <c r="D45"/>
  <c r="F45"/>
  <c r="E45"/>
  <c r="J55"/>
  <c r="K54"/>
  <c r="L54"/>
  <c r="M54"/>
  <c r="S54"/>
  <c r="T53"/>
  <c r="N54"/>
  <c r="O54"/>
  <c r="C47"/>
  <c r="D46"/>
  <c r="F46"/>
  <c r="E46"/>
  <c r="J56"/>
  <c r="K55"/>
  <c r="L55"/>
  <c r="M55"/>
  <c r="N55"/>
  <c r="O55"/>
  <c r="S55"/>
  <c r="T54"/>
  <c r="C48"/>
  <c r="D47"/>
  <c r="F47"/>
  <c r="E47"/>
  <c r="J57"/>
  <c r="K56"/>
  <c r="L56"/>
  <c r="M56"/>
  <c r="S56"/>
  <c r="T55"/>
  <c r="N56"/>
  <c r="O56"/>
  <c r="C49"/>
  <c r="D48"/>
  <c r="F48"/>
  <c r="E48"/>
  <c r="J58"/>
  <c r="K57"/>
  <c r="L57"/>
  <c r="M57"/>
  <c r="S57"/>
  <c r="T56"/>
  <c r="N57"/>
  <c r="O57"/>
  <c r="C50"/>
  <c r="D49"/>
  <c r="F49"/>
  <c r="E49"/>
  <c r="J59"/>
  <c r="K58"/>
  <c r="L58"/>
  <c r="M58"/>
  <c r="S58"/>
  <c r="T57"/>
  <c r="N58"/>
  <c r="O58"/>
  <c r="C51"/>
  <c r="D50"/>
  <c r="F50"/>
  <c r="E50"/>
  <c r="J60"/>
  <c r="K59"/>
  <c r="L59"/>
  <c r="M59"/>
  <c r="S59"/>
  <c r="T58"/>
  <c r="N59"/>
  <c r="O59"/>
  <c r="C52"/>
  <c r="D51"/>
  <c r="F51"/>
  <c r="E51"/>
  <c r="J61"/>
  <c r="K60"/>
  <c r="L60"/>
  <c r="M60"/>
  <c r="N60"/>
  <c r="O60"/>
  <c r="S60"/>
  <c r="T59"/>
  <c r="C53"/>
  <c r="D52"/>
  <c r="F52"/>
  <c r="E52"/>
  <c r="J62"/>
  <c r="K61"/>
  <c r="L61"/>
  <c r="M61"/>
  <c r="S61"/>
  <c r="T60"/>
  <c r="N61"/>
  <c r="O61"/>
  <c r="C54"/>
  <c r="D53"/>
  <c r="F53"/>
  <c r="E53"/>
  <c r="J63"/>
  <c r="K62"/>
  <c r="L62"/>
  <c r="M62"/>
  <c r="N62"/>
  <c r="O62"/>
  <c r="S62"/>
  <c r="T61"/>
  <c r="D54"/>
  <c r="E54"/>
  <c r="J64"/>
  <c r="K63"/>
  <c r="L63"/>
  <c r="M63"/>
  <c r="S63"/>
  <c r="T62"/>
  <c r="F6" i="1"/>
  <c r="C13" i="10"/>
  <c r="J2"/>
  <c r="O2"/>
  <c r="J3"/>
  <c r="O3"/>
  <c r="J4"/>
  <c r="O4"/>
  <c r="J5"/>
  <c r="O5"/>
  <c r="J6"/>
  <c r="O6"/>
  <c r="J7"/>
  <c r="O7"/>
  <c r="C8"/>
  <c r="D13"/>
  <c r="G13"/>
  <c r="J8"/>
  <c r="O8"/>
  <c r="J9"/>
  <c r="O9"/>
  <c r="J10"/>
  <c r="O10"/>
  <c r="J11"/>
  <c r="O11"/>
  <c r="J12"/>
  <c r="O12"/>
  <c r="E13"/>
  <c r="F13"/>
  <c r="J13"/>
  <c r="O13"/>
  <c r="C14"/>
  <c r="D14"/>
  <c r="G14"/>
  <c r="E14"/>
  <c r="B15"/>
  <c r="B16"/>
  <c r="E15"/>
  <c r="E16"/>
  <c r="E17"/>
  <c r="S6" i="2"/>
  <c r="R3"/>
  <c r="R9"/>
  <c r="T9"/>
  <c r="S9"/>
  <c r="V9"/>
  <c r="R10"/>
  <c r="T10"/>
  <c r="S10"/>
  <c r="V10"/>
  <c r="AD10"/>
  <c r="AE10"/>
  <c r="AF10"/>
  <c r="AG10"/>
  <c r="AH10"/>
  <c r="AI10"/>
  <c r="AJ10"/>
  <c r="R11"/>
  <c r="T11"/>
  <c r="S11"/>
  <c r="V11"/>
  <c r="AC11"/>
  <c r="AG11"/>
  <c r="J12"/>
  <c r="K12"/>
  <c r="R12"/>
  <c r="T12"/>
  <c r="S12"/>
  <c r="V12"/>
  <c r="I13"/>
  <c r="G13"/>
  <c r="J13"/>
  <c r="K13"/>
  <c r="R13"/>
  <c r="T13"/>
  <c r="S13"/>
  <c r="V13"/>
  <c r="I14"/>
  <c r="I15"/>
  <c r="H28"/>
  <c r="H27"/>
  <c r="C28"/>
  <c r="C29"/>
  <c r="K31" i="15"/>
  <c r="AD11" i="2"/>
  <c r="AC12"/>
  <c r="AI12"/>
  <c r="AJ12"/>
  <c r="AI11"/>
  <c r="AJ11"/>
  <c r="F14" i="10"/>
  <c r="AE12" i="2"/>
  <c r="AD12"/>
  <c r="AC13"/>
  <c r="AF13"/>
  <c r="AF12"/>
  <c r="AD13"/>
  <c r="AC14"/>
  <c r="AF14"/>
  <c r="AG13"/>
  <c r="AE13"/>
  <c r="AI13"/>
  <c r="AJ13"/>
  <c r="AG14"/>
  <c r="AE14"/>
  <c r="AI14"/>
  <c r="AH13"/>
  <c r="AH14"/>
  <c r="H12"/>
  <c r="L13"/>
  <c r="H13"/>
  <c r="C16" i="10"/>
  <c r="B17"/>
  <c r="I16" i="2"/>
  <c r="J15"/>
  <c r="R4"/>
  <c r="AJ14"/>
  <c r="AC15"/>
  <c r="AE11"/>
  <c r="AH11"/>
  <c r="C15" i="10"/>
  <c r="AD14" i="2"/>
  <c r="AG12"/>
  <c r="AH12"/>
  <c r="J14"/>
  <c r="AF11"/>
  <c r="N63" i="20"/>
  <c r="O63"/>
  <c r="F54"/>
  <c r="J65"/>
  <c r="K64"/>
  <c r="L64"/>
  <c r="M64"/>
  <c r="S64"/>
  <c r="T63"/>
  <c r="H14" i="2"/>
  <c r="L14"/>
  <c r="L15"/>
  <c r="K14"/>
  <c r="K15"/>
  <c r="D15" i="10"/>
  <c r="G15"/>
  <c r="F15"/>
  <c r="U11" i="2"/>
  <c r="W11"/>
  <c r="U10"/>
  <c r="W10"/>
  <c r="X10"/>
  <c r="U9"/>
  <c r="W9"/>
  <c r="X9"/>
  <c r="U12"/>
  <c r="W12"/>
  <c r="U13"/>
  <c r="W13"/>
  <c r="X13"/>
  <c r="D16" i="10"/>
  <c r="G16"/>
  <c r="F16"/>
  <c r="C17"/>
  <c r="B18"/>
  <c r="AF15" i="2"/>
  <c r="AD15"/>
  <c r="AC16"/>
  <c r="AI15"/>
  <c r="AJ15"/>
  <c r="AG15"/>
  <c r="AH15"/>
  <c r="AE15"/>
  <c r="I17"/>
  <c r="J16"/>
  <c r="N64" i="20"/>
  <c r="O64"/>
  <c r="J66"/>
  <c r="K65"/>
  <c r="L65"/>
  <c r="M65"/>
  <c r="S65"/>
  <c r="T64"/>
  <c r="I18" i="2"/>
  <c r="J17"/>
  <c r="B19" i="10"/>
  <c r="C18"/>
  <c r="X11" i="2"/>
  <c r="K16"/>
  <c r="L16"/>
  <c r="AF16"/>
  <c r="AD16"/>
  <c r="AC17"/>
  <c r="AI16"/>
  <c r="AJ16"/>
  <c r="AG16"/>
  <c r="AH16"/>
  <c r="AE16"/>
  <c r="D17" i="10"/>
  <c r="G17"/>
  <c r="F17"/>
  <c r="X12" i="2"/>
  <c r="T65" i="20"/>
  <c r="N65"/>
  <c r="O65"/>
  <c r="J67"/>
  <c r="K66"/>
  <c r="L66"/>
  <c r="M66"/>
  <c r="S66"/>
  <c r="AC18" i="2"/>
  <c r="AI17"/>
  <c r="AG17"/>
  <c r="AE17"/>
  <c r="AJ17"/>
  <c r="AF17"/>
  <c r="AD17"/>
  <c r="I19"/>
  <c r="J18"/>
  <c r="K17"/>
  <c r="B20" i="10"/>
  <c r="C19"/>
  <c r="M19"/>
  <c r="N19"/>
  <c r="L17" i="2"/>
  <c r="F18" i="10"/>
  <c r="D18"/>
  <c r="G18"/>
  <c r="N66" i="20"/>
  <c r="O66"/>
  <c r="T66"/>
  <c r="J68"/>
  <c r="K67"/>
  <c r="L67"/>
  <c r="M67"/>
  <c r="S67"/>
  <c r="N67"/>
  <c r="O67"/>
  <c r="B21" i="10"/>
  <c r="C20"/>
  <c r="M20"/>
  <c r="N20"/>
  <c r="I20" i="2"/>
  <c r="J19"/>
  <c r="D19" i="10"/>
  <c r="G19"/>
  <c r="F19"/>
  <c r="K18" i="2"/>
  <c r="L19"/>
  <c r="AE18"/>
  <c r="AF18"/>
  <c r="AD18"/>
  <c r="AC19"/>
  <c r="AG18"/>
  <c r="AH18"/>
  <c r="AI18"/>
  <c r="AJ18"/>
  <c r="L18"/>
  <c r="AH17"/>
  <c r="T67" i="20"/>
  <c r="J69"/>
  <c r="K68"/>
  <c r="L68"/>
  <c r="M68"/>
  <c r="S68"/>
  <c r="I21" i="2"/>
  <c r="J20"/>
  <c r="AE19"/>
  <c r="AF19"/>
  <c r="AD19"/>
  <c r="AC20"/>
  <c r="AG19"/>
  <c r="AH19"/>
  <c r="AI19"/>
  <c r="AJ19"/>
  <c r="K19"/>
  <c r="C21" i="10"/>
  <c r="D21"/>
  <c r="G21"/>
  <c r="M21"/>
  <c r="N21"/>
  <c r="B22"/>
  <c r="D20"/>
  <c r="G20"/>
  <c r="F20"/>
  <c r="T68" i="20"/>
  <c r="N68"/>
  <c r="O68"/>
  <c r="K69"/>
  <c r="L69"/>
  <c r="M69"/>
  <c r="S69"/>
  <c r="I22" i="2"/>
  <c r="J21"/>
  <c r="C22" i="10"/>
  <c r="D22"/>
  <c r="G22"/>
  <c r="B23"/>
  <c r="M22"/>
  <c r="N22"/>
  <c r="AE20" i="2"/>
  <c r="AG20"/>
  <c r="AH20"/>
  <c r="AF20"/>
  <c r="AD20"/>
  <c r="AC21"/>
  <c r="AI20"/>
  <c r="AJ20"/>
  <c r="K20"/>
  <c r="L21"/>
  <c r="L20"/>
  <c r="N69" i="20"/>
  <c r="O69"/>
  <c r="T69"/>
  <c r="I23" i="2"/>
  <c r="J22"/>
  <c r="K21"/>
  <c r="AG21"/>
  <c r="AE21"/>
  <c r="AF21"/>
  <c r="AD21"/>
  <c r="AC22"/>
  <c r="AI21"/>
  <c r="AJ21"/>
  <c r="C23" i="10"/>
  <c r="D23"/>
  <c r="G23"/>
  <c r="B24"/>
  <c r="I24" i="2"/>
  <c r="J23"/>
  <c r="L23"/>
  <c r="AH21"/>
  <c r="K22"/>
  <c r="C24" i="10"/>
  <c r="D24"/>
  <c r="G24"/>
  <c r="B25"/>
  <c r="AF22" i="2"/>
  <c r="AD22"/>
  <c r="AC23"/>
  <c r="AI22"/>
  <c r="AJ22"/>
  <c r="AG22"/>
  <c r="AH22"/>
  <c r="AE22"/>
  <c r="L22"/>
  <c r="I25"/>
  <c r="J24"/>
  <c r="K23"/>
  <c r="AG23"/>
  <c r="AI23"/>
  <c r="AJ23"/>
  <c r="AE23"/>
  <c r="AF23"/>
  <c r="AD23"/>
  <c r="AC24"/>
  <c r="C25" i="10"/>
  <c r="D25"/>
  <c r="G25"/>
  <c r="B26"/>
  <c r="B27"/>
  <c r="C26"/>
  <c r="D26"/>
  <c r="G26"/>
  <c r="I26" i="2"/>
  <c r="J25"/>
  <c r="AH23"/>
  <c r="AC25"/>
  <c r="AG24"/>
  <c r="AI24"/>
  <c r="AJ24"/>
  <c r="AE24"/>
  <c r="AF24"/>
  <c r="AD24"/>
  <c r="K24"/>
  <c r="L25"/>
  <c r="L24"/>
  <c r="C27" i="10"/>
  <c r="D27"/>
  <c r="G27"/>
  <c r="B28"/>
  <c r="AG25" i="2"/>
  <c r="AI25"/>
  <c r="AE25"/>
  <c r="AF25"/>
  <c r="AD25"/>
  <c r="AC26"/>
  <c r="AJ25"/>
  <c r="I27"/>
  <c r="J26"/>
  <c r="K25"/>
  <c r="L26"/>
  <c r="AH24"/>
  <c r="B29" i="10"/>
  <c r="C28"/>
  <c r="D28"/>
  <c r="G28"/>
  <c r="K26" i="2"/>
  <c r="AH25"/>
  <c r="J27"/>
  <c r="I28"/>
  <c r="AG26"/>
  <c r="AI26"/>
  <c r="AJ26"/>
  <c r="AE26"/>
  <c r="AD26"/>
  <c r="AF26"/>
  <c r="AC27"/>
  <c r="AE27"/>
  <c r="AG27"/>
  <c r="AH27"/>
  <c r="AC28"/>
  <c r="AD27"/>
  <c r="AF27"/>
  <c r="AI27"/>
  <c r="AJ27"/>
  <c r="B30" i="10"/>
  <c r="C29"/>
  <c r="D29"/>
  <c r="G29"/>
  <c r="AH26" i="2"/>
  <c r="K27"/>
  <c r="I29"/>
  <c r="J28"/>
  <c r="L27"/>
  <c r="K28"/>
  <c r="L29"/>
  <c r="J29"/>
  <c r="I30"/>
  <c r="AD28"/>
  <c r="AJ28"/>
  <c r="AF28"/>
  <c r="AG28"/>
  <c r="AI28"/>
  <c r="AC29"/>
  <c r="AE28"/>
  <c r="C30" i="10"/>
  <c r="D30"/>
  <c r="G30"/>
  <c r="B31"/>
  <c r="L28" i="2"/>
  <c r="B32" i="10"/>
  <c r="C31"/>
  <c r="D31"/>
  <c r="G31"/>
  <c r="AF29" i="2"/>
  <c r="AD29"/>
  <c r="AG29"/>
  <c r="AH29"/>
  <c r="AJ29"/>
  <c r="AI29"/>
  <c r="AE29"/>
  <c r="AC30"/>
  <c r="K29"/>
  <c r="I31"/>
  <c r="J30"/>
  <c r="AH28"/>
  <c r="K30"/>
  <c r="AE30"/>
  <c r="AG30"/>
  <c r="AD30"/>
  <c r="AF30"/>
  <c r="AC31"/>
  <c r="AI30"/>
  <c r="AJ30"/>
  <c r="C32" i="10"/>
  <c r="D32"/>
  <c r="G32"/>
  <c r="B33"/>
  <c r="I32" i="2"/>
  <c r="J31"/>
  <c r="L30"/>
  <c r="K31"/>
  <c r="L32"/>
  <c r="L31"/>
  <c r="C33" i="10"/>
  <c r="D33"/>
  <c r="G33"/>
  <c r="B34"/>
  <c r="I33" i="2"/>
  <c r="J32"/>
  <c r="AD31"/>
  <c r="AE31"/>
  <c r="AF31"/>
  <c r="AG31"/>
  <c r="AH31"/>
  <c r="AC32"/>
  <c r="AI31"/>
  <c r="AJ31"/>
  <c r="AH30"/>
  <c r="AG32"/>
  <c r="AH32"/>
  <c r="AD32"/>
  <c r="AE32"/>
  <c r="AC33"/>
  <c r="AJ32"/>
  <c r="AF32"/>
  <c r="AI32"/>
  <c r="C34" i="10"/>
  <c r="D34"/>
  <c r="G34"/>
  <c r="B35"/>
  <c r="J33" i="2"/>
  <c r="I34"/>
  <c r="K32"/>
  <c r="L33"/>
  <c r="C35" i="10"/>
  <c r="D35"/>
  <c r="G35"/>
  <c r="B36"/>
  <c r="K33" i="2"/>
  <c r="J34"/>
  <c r="L34"/>
  <c r="I35"/>
  <c r="AD33"/>
  <c r="AC34"/>
  <c r="AF33"/>
  <c r="AG33"/>
  <c r="AJ33"/>
  <c r="AI33"/>
  <c r="AE33"/>
  <c r="C36" i="10"/>
  <c r="D36"/>
  <c r="G36"/>
  <c r="B37"/>
  <c r="AH33" i="2"/>
  <c r="J35"/>
  <c r="I36"/>
  <c r="L35"/>
  <c r="K34"/>
  <c r="AI34"/>
  <c r="AJ34"/>
  <c r="AG34"/>
  <c r="AE34"/>
  <c r="AD34"/>
  <c r="AF34"/>
  <c r="AC35"/>
  <c r="I37"/>
  <c r="J36"/>
  <c r="AH34"/>
  <c r="AC36"/>
  <c r="AI35"/>
  <c r="AD35"/>
  <c r="AE35"/>
  <c r="AF35"/>
  <c r="AG35"/>
  <c r="AJ35"/>
  <c r="C37" i="10"/>
  <c r="D37"/>
  <c r="G37"/>
  <c r="B38"/>
  <c r="K35" i="2"/>
  <c r="L36"/>
  <c r="C38" i="10"/>
  <c r="D38"/>
  <c r="G38"/>
  <c r="B39"/>
  <c r="J37" i="2"/>
  <c r="I38"/>
  <c r="AH35"/>
  <c r="K36"/>
  <c r="L37"/>
  <c r="AF36"/>
  <c r="AG36"/>
  <c r="AH36"/>
  <c r="AC37"/>
  <c r="AI36"/>
  <c r="AJ36"/>
  <c r="AD36"/>
  <c r="AE36"/>
  <c r="AD37"/>
  <c r="AF37"/>
  <c r="AG37"/>
  <c r="AI37"/>
  <c r="AJ37"/>
  <c r="AC38"/>
  <c r="AE37"/>
  <c r="C39" i="10"/>
  <c r="D39"/>
  <c r="G39"/>
  <c r="B40"/>
  <c r="K37" i="2"/>
  <c r="J38"/>
  <c r="L38"/>
  <c r="I39"/>
  <c r="I40"/>
  <c r="J39"/>
  <c r="B41" i="10"/>
  <c r="C40"/>
  <c r="D40"/>
  <c r="G40"/>
  <c r="AI38" i="2"/>
  <c r="AE38"/>
  <c r="AC39"/>
  <c r="AF38"/>
  <c r="AD38"/>
  <c r="AG38"/>
  <c r="AH38"/>
  <c r="AJ38"/>
  <c r="L39"/>
  <c r="K38"/>
  <c r="AH37"/>
  <c r="I41"/>
  <c r="J40"/>
  <c r="K39"/>
  <c r="AC40"/>
  <c r="AF39"/>
  <c r="AD39"/>
  <c r="AI39"/>
  <c r="AJ39"/>
  <c r="AE39"/>
  <c r="AG39"/>
  <c r="C41" i="10"/>
  <c r="D41"/>
  <c r="G41"/>
  <c r="B42"/>
  <c r="C42"/>
  <c r="D42"/>
  <c r="G42"/>
  <c r="B43"/>
  <c r="J41" i="2"/>
  <c r="I42"/>
  <c r="AE40"/>
  <c r="AG40"/>
  <c r="AC41"/>
  <c r="AD40"/>
  <c r="AF40"/>
  <c r="AI40"/>
  <c r="AJ40"/>
  <c r="K40"/>
  <c r="L41"/>
  <c r="AH39"/>
  <c r="L40"/>
  <c r="C43" i="10"/>
  <c r="D43"/>
  <c r="G43"/>
  <c r="B44"/>
  <c r="K41" i="2"/>
  <c r="AD41"/>
  <c r="AF41"/>
  <c r="AI41"/>
  <c r="AG41"/>
  <c r="AE41"/>
  <c r="AC42"/>
  <c r="AJ41"/>
  <c r="J42"/>
  <c r="L42"/>
  <c r="I43"/>
  <c r="AH40"/>
  <c r="C44" i="10"/>
  <c r="D44"/>
  <c r="G44"/>
  <c r="B45"/>
  <c r="I44" i="2"/>
  <c r="J43"/>
  <c r="AG42"/>
  <c r="AH42"/>
  <c r="AJ42"/>
  <c r="AI42"/>
  <c r="AE42"/>
  <c r="AC43"/>
  <c r="AF42"/>
  <c r="AD42"/>
  <c r="K42"/>
  <c r="L43"/>
  <c r="AH41"/>
  <c r="AC44"/>
  <c r="AF43"/>
  <c r="AD43"/>
  <c r="AI43"/>
  <c r="AJ43"/>
  <c r="AE43"/>
  <c r="AG43"/>
  <c r="B46" i="10"/>
  <c r="C45"/>
  <c r="D45"/>
  <c r="G45"/>
  <c r="I45" i="2"/>
  <c r="J44"/>
  <c r="K43"/>
  <c r="L44"/>
  <c r="J45"/>
  <c r="I46"/>
  <c r="AE44"/>
  <c r="AC45"/>
  <c r="AD44"/>
  <c r="AF44"/>
  <c r="AJ44"/>
  <c r="AI44"/>
  <c r="AG44"/>
  <c r="AH44"/>
  <c r="AH43"/>
  <c r="K44"/>
  <c r="C46" i="10"/>
  <c r="D46"/>
  <c r="G46"/>
  <c r="B47"/>
  <c r="K45" i="2"/>
  <c r="L46"/>
  <c r="I47"/>
  <c r="J46"/>
  <c r="C47" i="10"/>
  <c r="D47"/>
  <c r="G47"/>
  <c r="B48"/>
  <c r="AD45" i="2"/>
  <c r="AF45"/>
  <c r="AG45"/>
  <c r="AI45"/>
  <c r="AJ45"/>
  <c r="AC46"/>
  <c r="AE45"/>
  <c r="L45"/>
  <c r="C48" i="10"/>
  <c r="D48"/>
  <c r="G48"/>
  <c r="B49"/>
  <c r="AH45" i="2"/>
  <c r="J47"/>
  <c r="I48"/>
  <c r="AE46"/>
  <c r="AC47"/>
  <c r="AF46"/>
  <c r="AD46"/>
  <c r="AG46"/>
  <c r="AI46"/>
  <c r="AJ46"/>
  <c r="K46"/>
  <c r="L47"/>
  <c r="B50" i="10"/>
  <c r="C49"/>
  <c r="D49"/>
  <c r="G49"/>
  <c r="AC48" i="2"/>
  <c r="AF47"/>
  <c r="AD47"/>
  <c r="AI47"/>
  <c r="AJ47"/>
  <c r="AE47"/>
  <c r="AG47"/>
  <c r="AH47"/>
  <c r="AH46"/>
  <c r="I49"/>
  <c r="J48"/>
  <c r="K47"/>
  <c r="L48"/>
  <c r="C50" i="10"/>
  <c r="D50"/>
  <c r="G50"/>
  <c r="B51"/>
  <c r="J49" i="2"/>
  <c r="I50"/>
  <c r="K48"/>
  <c r="L49"/>
  <c r="AE48"/>
  <c r="AC49"/>
  <c r="AD48"/>
  <c r="AF48"/>
  <c r="AJ48"/>
  <c r="AI48"/>
  <c r="AG48"/>
  <c r="AH48"/>
  <c r="C51" i="10"/>
  <c r="D51"/>
  <c r="G51"/>
  <c r="B52"/>
  <c r="K49" i="2"/>
  <c r="AD49"/>
  <c r="AF49"/>
  <c r="AG49"/>
  <c r="AI49"/>
  <c r="AJ49"/>
  <c r="AC50"/>
  <c r="AE49"/>
  <c r="J50"/>
  <c r="I51"/>
  <c r="B53" i="10"/>
  <c r="C52"/>
  <c r="D52"/>
  <c r="G52"/>
  <c r="I52" i="2"/>
  <c r="J51"/>
  <c r="AE50"/>
  <c r="AC51"/>
  <c r="AF50"/>
  <c r="AD50"/>
  <c r="AG50"/>
  <c r="AH50"/>
  <c r="AJ50"/>
  <c r="AI50"/>
  <c r="K50"/>
  <c r="L51"/>
  <c r="AH49"/>
  <c r="L50"/>
  <c r="B54" i="10"/>
  <c r="C53"/>
  <c r="D53"/>
  <c r="G53"/>
  <c r="AE51" i="2"/>
  <c r="AC52"/>
  <c r="AF51"/>
  <c r="AD51"/>
  <c r="AJ51"/>
  <c r="AI51"/>
  <c r="AG51"/>
  <c r="AH51"/>
  <c r="I53"/>
  <c r="J52"/>
  <c r="K51"/>
  <c r="L52"/>
  <c r="C54" i="10"/>
  <c r="D54"/>
  <c r="G54"/>
  <c r="B55"/>
  <c r="J53" i="2"/>
  <c r="I54"/>
  <c r="K52"/>
  <c r="L53"/>
  <c r="AE52"/>
  <c r="AG52"/>
  <c r="AC53"/>
  <c r="AD52"/>
  <c r="AF52"/>
  <c r="AI52"/>
  <c r="AJ52"/>
  <c r="AD53"/>
  <c r="AE53"/>
  <c r="AF53"/>
  <c r="AG53"/>
  <c r="AJ53"/>
  <c r="AC54"/>
  <c r="AI53"/>
  <c r="C55" i="10"/>
  <c r="D55"/>
  <c r="G55"/>
  <c r="B56"/>
  <c r="K53" i="2"/>
  <c r="J54"/>
  <c r="L54"/>
  <c r="I55"/>
  <c r="AH52"/>
  <c r="B57" i="10"/>
  <c r="C56"/>
  <c r="D56"/>
  <c r="G56"/>
  <c r="I56" i="2"/>
  <c r="J55"/>
  <c r="AE54"/>
  <c r="AC55"/>
  <c r="AF54"/>
  <c r="AD54"/>
  <c r="AJ54"/>
  <c r="AG54"/>
  <c r="AH54"/>
  <c r="AI54"/>
  <c r="K54"/>
  <c r="L55"/>
  <c r="AH53"/>
  <c r="B58" i="10"/>
  <c r="C57"/>
  <c r="D57"/>
  <c r="G57"/>
  <c r="AF55" i="2"/>
  <c r="AD55"/>
  <c r="AI55"/>
  <c r="AJ55"/>
  <c r="AG55"/>
  <c r="AH55"/>
  <c r="AE55"/>
  <c r="AC56"/>
  <c r="I57"/>
  <c r="J56"/>
  <c r="L56"/>
  <c r="K55"/>
  <c r="I58"/>
  <c r="J57"/>
  <c r="L57"/>
  <c r="AE56"/>
  <c r="AG56"/>
  <c r="AC57"/>
  <c r="AI56"/>
  <c r="AJ56"/>
  <c r="AD56"/>
  <c r="AF56"/>
  <c r="C58" i="10"/>
  <c r="D58"/>
  <c r="G58"/>
  <c r="B59"/>
  <c r="K56" i="2"/>
  <c r="J58"/>
  <c r="I59"/>
  <c r="K57"/>
  <c r="AD57"/>
  <c r="AF57"/>
  <c r="AG57"/>
  <c r="AI57"/>
  <c r="AJ57"/>
  <c r="AC58"/>
  <c r="AE57"/>
  <c r="B60" i="10"/>
  <c r="C59"/>
  <c r="D59"/>
  <c r="G59"/>
  <c r="AH56" i="2"/>
  <c r="L59"/>
  <c r="K58"/>
  <c r="I60"/>
  <c r="J59"/>
  <c r="AI58"/>
  <c r="AJ58"/>
  <c r="AG58"/>
  <c r="AH58"/>
  <c r="AE58"/>
  <c r="AC59"/>
  <c r="AF58"/>
  <c r="AD58"/>
  <c r="C60" i="10"/>
  <c r="D60"/>
  <c r="G60"/>
  <c r="B61"/>
  <c r="AH57" i="2"/>
  <c r="L58"/>
  <c r="C61" i="10"/>
  <c r="D61"/>
  <c r="G61"/>
  <c r="B62"/>
  <c r="AE59" i="2"/>
  <c r="AG59"/>
  <c r="AC60"/>
  <c r="AD59"/>
  <c r="AF59"/>
  <c r="AI59"/>
  <c r="AJ59"/>
  <c r="I61"/>
  <c r="J60"/>
  <c r="K59"/>
  <c r="L60"/>
  <c r="AJ60"/>
  <c r="AF60"/>
  <c r="AI60"/>
  <c r="AG60"/>
  <c r="AC61"/>
  <c r="AD60"/>
  <c r="AE60"/>
  <c r="C62" i="10"/>
  <c r="D62"/>
  <c r="G62"/>
  <c r="B63"/>
  <c r="K60" i="2"/>
  <c r="J61"/>
  <c r="I62"/>
  <c r="AH59"/>
  <c r="K61"/>
  <c r="J62"/>
  <c r="L62"/>
  <c r="I63"/>
  <c r="C63" i="10"/>
  <c r="D63"/>
  <c r="G63"/>
  <c r="B64"/>
  <c r="AF61" i="2"/>
  <c r="AD61"/>
  <c r="AI61"/>
  <c r="AJ61"/>
  <c r="AG61"/>
  <c r="AH61"/>
  <c r="AE61"/>
  <c r="AC62"/>
  <c r="L61"/>
  <c r="AH60"/>
  <c r="C64" i="10"/>
  <c r="D64"/>
  <c r="G64"/>
  <c r="B65"/>
  <c r="AI62" i="2"/>
  <c r="AE62"/>
  <c r="AG62"/>
  <c r="AH62"/>
  <c r="AJ62"/>
  <c r="AC63"/>
  <c r="AF62"/>
  <c r="AD62"/>
  <c r="K62"/>
  <c r="I64"/>
  <c r="J63"/>
  <c r="K63"/>
  <c r="B66" i="10"/>
  <c r="C65"/>
  <c r="D65"/>
  <c r="G65"/>
  <c r="AD63" i="2"/>
  <c r="AF63"/>
  <c r="AI63"/>
  <c r="AJ63"/>
  <c r="AG63"/>
  <c r="AE63"/>
  <c r="AC64"/>
  <c r="L63"/>
  <c r="I65"/>
  <c r="J64"/>
  <c r="J65"/>
  <c r="I66"/>
  <c r="AH63"/>
  <c r="K64"/>
  <c r="L65"/>
  <c r="L64"/>
  <c r="AC65"/>
  <c r="AD64"/>
  <c r="AE64"/>
  <c r="AJ64"/>
  <c r="AF64"/>
  <c r="AI64"/>
  <c r="AG64"/>
  <c r="AH64"/>
  <c r="C66" i="10"/>
  <c r="D66"/>
  <c r="G66"/>
  <c r="B67"/>
  <c r="K65" i="2"/>
  <c r="J66"/>
  <c r="L66"/>
  <c r="I67"/>
  <c r="AI65"/>
  <c r="AE65"/>
  <c r="AC66"/>
  <c r="AF65"/>
  <c r="AD65"/>
  <c r="AG65"/>
  <c r="AH65"/>
  <c r="AJ65"/>
  <c r="C67" i="10"/>
  <c r="D67"/>
  <c r="G67"/>
  <c r="B68"/>
  <c r="B69"/>
  <c r="C68"/>
  <c r="D68"/>
  <c r="G68"/>
  <c r="AE66" i="2"/>
  <c r="AC67"/>
  <c r="AF66"/>
  <c r="AD66"/>
  <c r="AG66"/>
  <c r="AI66"/>
  <c r="AJ66"/>
  <c r="K66"/>
  <c r="I68"/>
  <c r="J67"/>
  <c r="K67"/>
  <c r="AJ67"/>
  <c r="AI67"/>
  <c r="AG67"/>
  <c r="AE67"/>
  <c r="AC68"/>
  <c r="AD67"/>
  <c r="AF67"/>
  <c r="B70" i="10"/>
  <c r="C69"/>
  <c r="D69"/>
  <c r="G69"/>
  <c r="L67" i="2"/>
  <c r="I69"/>
  <c r="J68"/>
  <c r="AH66"/>
  <c r="J69"/>
  <c r="I70"/>
  <c r="AH67"/>
  <c r="K68"/>
  <c r="L69"/>
  <c r="L68"/>
  <c r="AG68"/>
  <c r="AI68"/>
  <c r="AJ68"/>
  <c r="AC69"/>
  <c r="AE68"/>
  <c r="AD68"/>
  <c r="AF68"/>
  <c r="B71" i="10"/>
  <c r="C70"/>
  <c r="D70"/>
  <c r="G70"/>
  <c r="K69" i="2"/>
  <c r="L70"/>
  <c r="C71" i="10"/>
  <c r="D71"/>
  <c r="G71"/>
  <c r="B72"/>
  <c r="AC70" i="2"/>
  <c r="AE69"/>
  <c r="AD69"/>
  <c r="AF69"/>
  <c r="AG69"/>
  <c r="AH69"/>
  <c r="AI69"/>
  <c r="AJ69"/>
  <c r="J70"/>
  <c r="I71"/>
  <c r="AH68"/>
  <c r="J71"/>
  <c r="I72"/>
  <c r="AE70"/>
  <c r="AC71"/>
  <c r="AF70"/>
  <c r="AD70"/>
  <c r="AG70"/>
  <c r="AI70"/>
  <c r="AJ70"/>
  <c r="K70"/>
  <c r="L71"/>
  <c r="C72" i="10"/>
  <c r="D72"/>
  <c r="G72"/>
  <c r="B73"/>
  <c r="C73"/>
  <c r="D73"/>
  <c r="G73"/>
  <c r="B74"/>
  <c r="AE71" i="2"/>
  <c r="AG71"/>
  <c r="AC72"/>
  <c r="AD71"/>
  <c r="AF71"/>
  <c r="AI71"/>
  <c r="AJ71"/>
  <c r="K71"/>
  <c r="I73"/>
  <c r="J72"/>
  <c r="AH70"/>
  <c r="AC73"/>
  <c r="AE72"/>
  <c r="AD72"/>
  <c r="AF72"/>
  <c r="AG72"/>
  <c r="AH72"/>
  <c r="AI72"/>
  <c r="AJ72"/>
  <c r="C74" i="10"/>
  <c r="D74"/>
  <c r="G74"/>
  <c r="B75"/>
  <c r="K72" i="2"/>
  <c r="L72"/>
  <c r="I74"/>
  <c r="J73"/>
  <c r="AH71"/>
  <c r="J74"/>
  <c r="I75"/>
  <c r="B76" i="10"/>
  <c r="C75"/>
  <c r="D75"/>
  <c r="G75"/>
  <c r="AJ73" i="2"/>
  <c r="AG73"/>
  <c r="AI73"/>
  <c r="AD73"/>
  <c r="AE73"/>
  <c r="AF73"/>
  <c r="AC74"/>
  <c r="K73"/>
  <c r="L74"/>
  <c r="L73"/>
  <c r="K74"/>
  <c r="L75"/>
  <c r="I76"/>
  <c r="J75"/>
  <c r="AH73"/>
  <c r="AE74"/>
  <c r="AC75"/>
  <c r="AF74"/>
  <c r="AD74"/>
  <c r="AJ74"/>
  <c r="AG74"/>
  <c r="AI74"/>
  <c r="C76" i="10"/>
  <c r="D76"/>
  <c r="G76"/>
  <c r="B77"/>
  <c r="C77"/>
  <c r="D77"/>
  <c r="G77"/>
  <c r="B78"/>
  <c r="AI75" i="2"/>
  <c r="AE75"/>
  <c r="AG75"/>
  <c r="AH75"/>
  <c r="AC76"/>
  <c r="AJ75"/>
  <c r="AD75"/>
  <c r="AF75"/>
  <c r="I77"/>
  <c r="J76"/>
  <c r="L76"/>
  <c r="AH74"/>
  <c r="K75"/>
  <c r="I78"/>
  <c r="J77"/>
  <c r="AD76"/>
  <c r="AE76"/>
  <c r="AF76"/>
  <c r="AG76"/>
  <c r="AC77"/>
  <c r="AI76"/>
  <c r="AJ76"/>
  <c r="C78" i="10"/>
  <c r="D78"/>
  <c r="G78"/>
  <c r="B79"/>
  <c r="K76" i="2"/>
  <c r="L77"/>
  <c r="J78"/>
  <c r="I79"/>
  <c r="K77"/>
  <c r="C79" i="10"/>
  <c r="D79"/>
  <c r="G79"/>
  <c r="B80"/>
  <c r="AG77" i="2"/>
  <c r="AI77"/>
  <c r="AE77"/>
  <c r="AC78"/>
  <c r="AF77"/>
  <c r="AD77"/>
  <c r="AJ77"/>
  <c r="AH76"/>
  <c r="B81" i="10"/>
  <c r="C80"/>
  <c r="D80"/>
  <c r="G80"/>
  <c r="I80" i="2"/>
  <c r="J79"/>
  <c r="AH77"/>
  <c r="K78"/>
  <c r="L79"/>
  <c r="AF78"/>
  <c r="AD78"/>
  <c r="AI78"/>
  <c r="AE78"/>
  <c r="AG78"/>
  <c r="AJ78"/>
  <c r="AC79"/>
  <c r="L78"/>
  <c r="B82" i="10"/>
  <c r="C81"/>
  <c r="D81"/>
  <c r="G81"/>
  <c r="AE79" i="2"/>
  <c r="AC80"/>
  <c r="AD79"/>
  <c r="AF79"/>
  <c r="AJ79"/>
  <c r="AI79"/>
  <c r="AG79"/>
  <c r="AH79"/>
  <c r="I81"/>
  <c r="J80"/>
  <c r="K79"/>
  <c r="L80"/>
  <c r="AH78"/>
  <c r="C82" i="10"/>
  <c r="D82"/>
  <c r="G82"/>
  <c r="B83"/>
  <c r="I82" i="2"/>
  <c r="J81"/>
  <c r="K80"/>
  <c r="L81"/>
  <c r="AI80"/>
  <c r="AG80"/>
  <c r="AH80"/>
  <c r="AC81"/>
  <c r="AD80"/>
  <c r="AE80"/>
  <c r="AJ80"/>
  <c r="AF80"/>
  <c r="AD81"/>
  <c r="AE81"/>
  <c r="AF81"/>
  <c r="AG81"/>
  <c r="AJ81"/>
  <c r="AC82"/>
  <c r="AI81"/>
  <c r="C83" i="10"/>
  <c r="D83"/>
  <c r="G83"/>
  <c r="B84"/>
  <c r="J82" i="2"/>
  <c r="I83"/>
  <c r="K81"/>
  <c r="L82"/>
  <c r="C84" i="10"/>
  <c r="D84"/>
  <c r="G84"/>
  <c r="B85"/>
  <c r="K82" i="2"/>
  <c r="AF82"/>
  <c r="AD82"/>
  <c r="AJ82"/>
  <c r="AI82"/>
  <c r="AG82"/>
  <c r="AH82"/>
  <c r="AE82"/>
  <c r="AC83"/>
  <c r="J83"/>
  <c r="I84"/>
  <c r="AH81"/>
  <c r="I85"/>
  <c r="J84"/>
  <c r="C85" i="10"/>
  <c r="D85"/>
  <c r="G85"/>
  <c r="B86"/>
  <c r="AI83" i="2"/>
  <c r="AJ83"/>
  <c r="AE83"/>
  <c r="AG83"/>
  <c r="AF83"/>
  <c r="AC84"/>
  <c r="AD83"/>
  <c r="K83"/>
  <c r="L84"/>
  <c r="L83"/>
  <c r="AC85"/>
  <c r="AI84"/>
  <c r="AD84"/>
  <c r="AJ84"/>
  <c r="AE84"/>
  <c r="AF84"/>
  <c r="AG84"/>
  <c r="AH84"/>
  <c r="J85"/>
  <c r="I86"/>
  <c r="K84"/>
  <c r="L85"/>
  <c r="C86" i="10"/>
  <c r="D86"/>
  <c r="G86"/>
  <c r="B87"/>
  <c r="AH83" i="2"/>
  <c r="C87" i="10"/>
  <c r="D87"/>
  <c r="G87"/>
  <c r="B88"/>
  <c r="J86" i="2"/>
  <c r="I87"/>
  <c r="AJ85"/>
  <c r="AG85"/>
  <c r="AH85"/>
  <c r="AI85"/>
  <c r="AE85"/>
  <c r="AC86"/>
  <c r="AF85"/>
  <c r="AD85"/>
  <c r="K85"/>
  <c r="L86"/>
  <c r="K86"/>
  <c r="AG86"/>
  <c r="AH86"/>
  <c r="AI86"/>
  <c r="AJ86"/>
  <c r="AE86"/>
  <c r="AC87"/>
  <c r="AF86"/>
  <c r="AD86"/>
  <c r="B89" i="10"/>
  <c r="C88"/>
  <c r="D88"/>
  <c r="G88"/>
  <c r="J87" i="2"/>
  <c r="L87"/>
  <c r="I88"/>
  <c r="AI87"/>
  <c r="AJ87"/>
  <c r="AG87"/>
  <c r="AH87"/>
  <c r="AE87"/>
  <c r="AC88"/>
  <c r="AD87"/>
  <c r="AF87"/>
  <c r="I89"/>
  <c r="J88"/>
  <c r="C89" i="10"/>
  <c r="D89"/>
  <c r="G89"/>
  <c r="B90"/>
  <c r="K87" i="2"/>
  <c r="L88"/>
  <c r="C90" i="10"/>
  <c r="D90"/>
  <c r="G90"/>
  <c r="B91"/>
  <c r="K88" i="2"/>
  <c r="I90"/>
  <c r="J89"/>
  <c r="AC89"/>
  <c r="AE88"/>
  <c r="AD88"/>
  <c r="AJ88"/>
  <c r="AI88"/>
  <c r="AF88"/>
  <c r="AG88"/>
  <c r="AH88"/>
  <c r="J90"/>
  <c r="I91"/>
  <c r="K89"/>
  <c r="C91" i="10"/>
  <c r="D91"/>
  <c r="G91"/>
  <c r="B92"/>
  <c r="AE89" i="2"/>
  <c r="AC90"/>
  <c r="AF89"/>
  <c r="AD89"/>
  <c r="AG89"/>
  <c r="AI89"/>
  <c r="AJ89"/>
  <c r="L89"/>
  <c r="K90"/>
  <c r="C92" i="10"/>
  <c r="D92"/>
  <c r="G92"/>
  <c r="B93"/>
  <c r="I92" i="2"/>
  <c r="J91"/>
  <c r="AE90"/>
  <c r="AG90"/>
  <c r="AC91"/>
  <c r="AF90"/>
  <c r="AD90"/>
  <c r="AI90"/>
  <c r="AJ90"/>
  <c r="AH89"/>
  <c r="L90"/>
  <c r="J92"/>
  <c r="I93"/>
  <c r="AC92"/>
  <c r="AD91"/>
  <c r="AF91"/>
  <c r="AI91"/>
  <c r="AJ91"/>
  <c r="AE91"/>
  <c r="AG91"/>
  <c r="AH91"/>
  <c r="K91"/>
  <c r="L91"/>
  <c r="C93" i="10"/>
  <c r="D93"/>
  <c r="G93"/>
  <c r="B94"/>
  <c r="AH90" i="2"/>
  <c r="C94" i="10"/>
  <c r="D94"/>
  <c r="G94"/>
  <c r="B95"/>
  <c r="I94" i="2"/>
  <c r="J93"/>
  <c r="L93"/>
  <c r="K92"/>
  <c r="L92"/>
  <c r="AC93"/>
  <c r="AE92"/>
  <c r="AD92"/>
  <c r="AI92"/>
  <c r="AJ92"/>
  <c r="AF92"/>
  <c r="AG92"/>
  <c r="B96" i="10"/>
  <c r="C95"/>
  <c r="D95"/>
  <c r="G95"/>
  <c r="I95" i="2"/>
  <c r="J94"/>
  <c r="AH92"/>
  <c r="AG93"/>
  <c r="AH93"/>
  <c r="AI93"/>
  <c r="AE93"/>
  <c r="AJ93"/>
  <c r="AC94"/>
  <c r="AF93"/>
  <c r="AD93"/>
  <c r="K93"/>
  <c r="L94"/>
  <c r="C96" i="10"/>
  <c r="D96"/>
  <c r="G96"/>
  <c r="B97"/>
  <c r="J95" i="2"/>
  <c r="I96"/>
  <c r="AE94"/>
  <c r="AC95"/>
  <c r="AF94"/>
  <c r="AD94"/>
  <c r="AJ94"/>
  <c r="AG94"/>
  <c r="AI94"/>
  <c r="K94"/>
  <c r="L95"/>
  <c r="AI95"/>
  <c r="AJ95"/>
  <c r="AE95"/>
  <c r="AG95"/>
  <c r="AF95"/>
  <c r="AC96"/>
  <c r="AD95"/>
  <c r="C97" i="10"/>
  <c r="D97"/>
  <c r="G97"/>
  <c r="B98"/>
  <c r="AH94" i="2"/>
  <c r="K95"/>
  <c r="J96"/>
  <c r="I97"/>
  <c r="K96"/>
  <c r="AC97"/>
  <c r="AI96"/>
  <c r="AD96"/>
  <c r="AJ96"/>
  <c r="AE96"/>
  <c r="AF96"/>
  <c r="AG96"/>
  <c r="AH96"/>
  <c r="C98" i="10"/>
  <c r="D98"/>
  <c r="G98"/>
  <c r="B99"/>
  <c r="J97" i="2"/>
  <c r="L97"/>
  <c r="I98"/>
  <c r="AH95"/>
  <c r="L96"/>
  <c r="C99" i="10"/>
  <c r="D99"/>
  <c r="G99"/>
  <c r="B100"/>
  <c r="AC98" i="2"/>
  <c r="AE97"/>
  <c r="AD97"/>
  <c r="AF97"/>
  <c r="AG97"/>
  <c r="AH97"/>
  <c r="AI97"/>
  <c r="AJ97"/>
  <c r="I99"/>
  <c r="J98"/>
  <c r="K97"/>
  <c r="L98"/>
  <c r="B101" i="10"/>
  <c r="C100"/>
  <c r="D100"/>
  <c r="G100"/>
  <c r="K98" i="2"/>
  <c r="AJ98"/>
  <c r="AI98"/>
  <c r="AG98"/>
  <c r="AH98"/>
  <c r="AE98"/>
  <c r="AC99"/>
  <c r="AF98"/>
  <c r="AD98"/>
  <c r="I100"/>
  <c r="J99"/>
  <c r="AI99"/>
  <c r="AJ99"/>
  <c r="AE99"/>
  <c r="AG99"/>
  <c r="AF99"/>
  <c r="AC100"/>
  <c r="AD99"/>
  <c r="C101" i="10"/>
  <c r="D101"/>
  <c r="G101"/>
  <c r="B102"/>
  <c r="K99" i="2"/>
  <c r="J100"/>
  <c r="K100"/>
  <c r="I101"/>
  <c r="L99"/>
  <c r="I102"/>
  <c r="J101"/>
  <c r="C102" i="10"/>
  <c r="D102"/>
  <c r="G102"/>
  <c r="B103"/>
  <c r="AE100" i="2"/>
  <c r="AF100"/>
  <c r="AG100"/>
  <c r="AC101"/>
  <c r="AI100"/>
  <c r="AJ100"/>
  <c r="AD100"/>
  <c r="L100"/>
  <c r="AH99"/>
  <c r="L101"/>
  <c r="K101"/>
  <c r="I103"/>
  <c r="J102"/>
  <c r="L102"/>
  <c r="AF101"/>
  <c r="AD101"/>
  <c r="AG101"/>
  <c r="AI101"/>
  <c r="AJ101"/>
  <c r="AE101"/>
  <c r="AC102"/>
  <c r="C103" i="10"/>
  <c r="D103"/>
  <c r="G103"/>
  <c r="B104"/>
  <c r="AH100" i="2"/>
  <c r="B105" i="10"/>
  <c r="C104"/>
  <c r="D104"/>
  <c r="G104"/>
  <c r="K102" i="2"/>
  <c r="AI102"/>
  <c r="AJ102"/>
  <c r="AE102"/>
  <c r="AG102"/>
  <c r="AC103"/>
  <c r="AF102"/>
  <c r="AD102"/>
  <c r="J103"/>
  <c r="I104"/>
  <c r="AH101"/>
  <c r="AE103"/>
  <c r="AG103"/>
  <c r="AI103"/>
  <c r="AC104"/>
  <c r="AJ103"/>
  <c r="AD103"/>
  <c r="AF103"/>
  <c r="AH102"/>
  <c r="J104"/>
  <c r="I105"/>
  <c r="C105" i="10"/>
  <c r="D105"/>
  <c r="G105"/>
  <c r="B106"/>
  <c r="K103" i="2"/>
  <c r="L103"/>
  <c r="K104"/>
  <c r="AH103"/>
  <c r="I106"/>
  <c r="J105"/>
  <c r="L104"/>
  <c r="C106" i="10"/>
  <c r="D106"/>
  <c r="G106"/>
  <c r="B107"/>
  <c r="AC105" i="2"/>
  <c r="AI104"/>
  <c r="AJ104"/>
  <c r="AD104"/>
  <c r="AE104"/>
  <c r="AF104"/>
  <c r="AG104"/>
  <c r="K105"/>
  <c r="L105"/>
  <c r="AH104"/>
  <c r="AG105"/>
  <c r="AH105"/>
  <c r="AI105"/>
  <c r="AJ105"/>
  <c r="AE105"/>
  <c r="AC106"/>
  <c r="AF105"/>
  <c r="AD105"/>
  <c r="C107" i="10"/>
  <c r="D107"/>
  <c r="G107"/>
  <c r="B108"/>
  <c r="I107" i="2"/>
  <c r="J106"/>
  <c r="L106"/>
  <c r="B109" i="10"/>
  <c r="C108"/>
  <c r="D108"/>
  <c r="G108"/>
  <c r="I108" i="2"/>
  <c r="J107"/>
  <c r="K106"/>
  <c r="L107"/>
  <c r="AF106"/>
  <c r="AD106"/>
  <c r="AI106"/>
  <c r="AJ106"/>
  <c r="AE106"/>
  <c r="AG106"/>
  <c r="AC107"/>
  <c r="C109" i="10"/>
  <c r="D109"/>
  <c r="G109"/>
  <c r="B110"/>
  <c r="AI107" i="2"/>
  <c r="AF107"/>
  <c r="AG107"/>
  <c r="AH107"/>
  <c r="AC108"/>
  <c r="AE107"/>
  <c r="AD107"/>
  <c r="AJ107"/>
  <c r="J108"/>
  <c r="I109"/>
  <c r="AH106"/>
  <c r="K107"/>
  <c r="K108"/>
  <c r="AG108"/>
  <c r="AI108"/>
  <c r="AC109"/>
  <c r="AE108"/>
  <c r="AJ108"/>
  <c r="AF108"/>
  <c r="AD108"/>
  <c r="B111" i="10"/>
  <c r="C110"/>
  <c r="D110"/>
  <c r="G110"/>
  <c r="I110" i="2"/>
  <c r="J109"/>
  <c r="L109"/>
  <c r="L108"/>
  <c r="C111" i="10"/>
  <c r="D111"/>
  <c r="G111"/>
  <c r="B112"/>
  <c r="C112"/>
  <c r="D112"/>
  <c r="G112"/>
  <c r="AH108" i="2"/>
  <c r="K109"/>
  <c r="AI109"/>
  <c r="AE109"/>
  <c r="AG109"/>
  <c r="AJ109"/>
  <c r="AC110"/>
  <c r="AF109"/>
  <c r="AD109"/>
  <c r="I111"/>
  <c r="J110"/>
  <c r="I112"/>
  <c r="J111"/>
  <c r="K110"/>
  <c r="AD110"/>
  <c r="AF110"/>
  <c r="AJ110"/>
  <c r="AI110"/>
  <c r="AG110"/>
  <c r="AH110"/>
  <c r="AE110"/>
  <c r="AC111"/>
  <c r="L110"/>
  <c r="AH109"/>
  <c r="K111"/>
  <c r="AE111"/>
  <c r="AG111"/>
  <c r="AJ111"/>
  <c r="AC112"/>
  <c r="AI111"/>
  <c r="AD111"/>
  <c r="AF111"/>
  <c r="J112"/>
  <c r="I113"/>
  <c r="L111"/>
  <c r="K112"/>
  <c r="AD112"/>
  <c r="AE112"/>
  <c r="AI112"/>
  <c r="AJ112"/>
  <c r="AF112"/>
  <c r="AG112"/>
  <c r="AH112"/>
  <c r="AC113"/>
  <c r="L112"/>
  <c r="I114"/>
  <c r="J113"/>
  <c r="L113"/>
  <c r="AH111"/>
  <c r="I115"/>
  <c r="J114"/>
  <c r="AF113"/>
  <c r="AD113"/>
  <c r="AJ113"/>
  <c r="AG113"/>
  <c r="AH113"/>
  <c r="AI113"/>
  <c r="AE113"/>
  <c r="AC114"/>
  <c r="K113"/>
  <c r="AD114"/>
  <c r="AG114"/>
  <c r="AH114"/>
  <c r="AI114"/>
  <c r="AE114"/>
  <c r="AF114"/>
  <c r="AJ114"/>
  <c r="AC115"/>
  <c r="K114"/>
  <c r="L115"/>
  <c r="L114"/>
  <c r="I116"/>
  <c r="J115"/>
  <c r="J116"/>
  <c r="I117"/>
  <c r="AE115"/>
  <c r="AG115"/>
  <c r="AH115"/>
  <c r="AC116"/>
  <c r="AI115"/>
  <c r="AJ115"/>
  <c r="AD115"/>
  <c r="AF115"/>
  <c r="K115"/>
  <c r="K116"/>
  <c r="AD116"/>
  <c r="AE116"/>
  <c r="AI116"/>
  <c r="AJ116"/>
  <c r="AF116"/>
  <c r="AG116"/>
  <c r="AH116"/>
  <c r="AC117"/>
  <c r="I118"/>
  <c r="J117"/>
  <c r="L117"/>
  <c r="L116"/>
  <c r="AJ117"/>
  <c r="AG117"/>
  <c r="AH117"/>
  <c r="AI117"/>
  <c r="AE117"/>
  <c r="AC118"/>
  <c r="AF117"/>
  <c r="AD117"/>
  <c r="I119"/>
  <c r="J118"/>
  <c r="K117"/>
  <c r="K118"/>
  <c r="AI118"/>
  <c r="AG118"/>
  <c r="AE118"/>
  <c r="AC119"/>
  <c r="AD118"/>
  <c r="AF118"/>
  <c r="AJ118"/>
  <c r="I120"/>
  <c r="J119"/>
  <c r="L119"/>
  <c r="L118"/>
  <c r="J120"/>
  <c r="K120"/>
  <c r="I121"/>
  <c r="AI119"/>
  <c r="AJ119"/>
  <c r="AE119"/>
  <c r="AF119"/>
  <c r="AG119"/>
  <c r="AC120"/>
  <c r="AD119"/>
  <c r="K119"/>
  <c r="AH118"/>
  <c r="I122"/>
  <c r="J121"/>
  <c r="L120"/>
  <c r="AH119"/>
  <c r="AD120"/>
  <c r="AG120"/>
  <c r="AH120"/>
  <c r="AE120"/>
  <c r="AI120"/>
  <c r="AJ120"/>
  <c r="AF120"/>
  <c r="AC121"/>
  <c r="I123"/>
  <c r="J122"/>
  <c r="L121"/>
  <c r="K121"/>
  <c r="AF121"/>
  <c r="AI121"/>
  <c r="AJ121"/>
  <c r="AC122"/>
  <c r="AE121"/>
  <c r="AD121"/>
  <c r="AG121"/>
  <c r="L123"/>
  <c r="K122"/>
  <c r="J123"/>
  <c r="I124"/>
  <c r="AH121"/>
  <c r="AE122"/>
  <c r="AF122"/>
  <c r="AG122"/>
  <c r="AC123"/>
  <c r="AJ122"/>
  <c r="AD122"/>
  <c r="AI122"/>
  <c r="L122"/>
  <c r="AE123"/>
  <c r="AI123"/>
  <c r="AJ123"/>
  <c r="AF123"/>
  <c r="AG123"/>
  <c r="AH123"/>
  <c r="AD123"/>
  <c r="AC124"/>
  <c r="K123"/>
  <c r="L124"/>
  <c r="J124"/>
  <c r="I125"/>
  <c r="AH122"/>
  <c r="K124"/>
  <c r="L125"/>
  <c r="I126"/>
  <c r="J125"/>
  <c r="AG124"/>
  <c r="AH124"/>
  <c r="AC125"/>
  <c r="AD124"/>
  <c r="AE124"/>
  <c r="AI124"/>
  <c r="AJ124"/>
  <c r="AF124"/>
  <c r="AD125"/>
  <c r="AG125"/>
  <c r="AJ125"/>
  <c r="AI125"/>
  <c r="AF125"/>
  <c r="AE125"/>
  <c r="AC126"/>
  <c r="I127"/>
  <c r="J126"/>
  <c r="K125"/>
  <c r="K126"/>
  <c r="AH125"/>
  <c r="AI126"/>
  <c r="AG126"/>
  <c r="AH126"/>
  <c r="AF126"/>
  <c r="AD126"/>
  <c r="AE126"/>
  <c r="AJ126"/>
  <c r="L126"/>
  <c r="I128"/>
  <c r="J128"/>
  <c r="K128"/>
  <c r="J127"/>
  <c r="L127"/>
  <c r="L128"/>
  <c r="C30"/>
  <c r="K127"/>
</calcChain>
</file>

<file path=xl/comments1.xml><?xml version="1.0" encoding="utf-8"?>
<comments xmlns="http://schemas.openxmlformats.org/spreadsheetml/2006/main">
  <authors>
    <author>John Sperry</author>
  </authors>
  <commentList>
    <comment ref="I17" authorId="0">
      <text>
        <r>
          <rPr>
            <b/>
            <sz val="8"/>
            <color indexed="81"/>
            <rFont val="Tahoma"/>
            <family val="2"/>
          </rPr>
          <t>John Sperry:</t>
        </r>
        <r>
          <rPr>
            <sz val="8"/>
            <color indexed="81"/>
            <rFont val="Tahoma"/>
            <family val="2"/>
          </rPr>
          <t xml:space="preserve">
maximum plant hydraulic  conductance. Expressed in kg hr-1 MPa-1 m-2 trunk basal area. A parameter that can be tuned to best match non-stressed data. Alternatively it can be estimated from allometry and xylem anatomy</t>
        </r>
      </text>
    </comment>
    <comment ref="M17" authorId="0">
      <text>
        <r>
          <rPr>
            <b/>
            <sz val="8"/>
            <color indexed="81"/>
            <rFont val="Tahoma"/>
            <family val="2"/>
          </rPr>
          <t>John Sperry:</t>
        </r>
        <r>
          <rPr>
            <sz val="8"/>
            <color indexed="81"/>
            <rFont val="Tahoma"/>
            <family val="2"/>
          </rPr>
          <t xml:space="preserve">
VPD where E saturates for plants in wet soil conditions. Default is to set this at 1 kPa, which seems to work for many situations. This parameter can be important when E is limited by GMAX, a situation that can happen when D is low, soil is moist, and plants are very resistant to cavitation.</t>
        </r>
      </text>
    </comment>
    <comment ref="Q17" authorId="0">
      <text>
        <r>
          <rPr>
            <b/>
            <sz val="8"/>
            <color indexed="81"/>
            <rFont val="Tahoma"/>
            <family val="2"/>
          </rPr>
          <t>John Sperry:</t>
        </r>
        <r>
          <rPr>
            <sz val="8"/>
            <color indexed="81"/>
            <rFont val="Tahoma"/>
            <family val="2"/>
          </rPr>
          <t xml:space="preserve">
used to convert D from kPa to mole fraction</t>
        </r>
      </text>
    </comment>
    <comment ref="A18" authorId="0">
      <text>
        <r>
          <rPr>
            <b/>
            <sz val="8"/>
            <color indexed="81"/>
            <rFont val="Tahoma"/>
            <family val="2"/>
          </rPr>
          <t>John Sperry:</t>
        </r>
        <r>
          <rPr>
            <sz val="8"/>
            <color indexed="81"/>
            <rFont val="Tahoma"/>
            <family val="2"/>
          </rPr>
          <t xml:space="preserve">
maximum conductances for weibull function</t>
        </r>
      </text>
    </comment>
    <comment ref="M18" authorId="0">
      <text>
        <r>
          <rPr>
            <b/>
            <sz val="8"/>
            <color indexed="81"/>
            <rFont val="Tahoma"/>
            <family val="2"/>
          </rPr>
          <t>John Sperry:</t>
        </r>
        <r>
          <rPr>
            <sz val="8"/>
            <color indexed="81"/>
            <rFont val="Tahoma"/>
            <family val="2"/>
          </rPr>
          <t xml:space="preserve">
model computes this from "Dlim"...the higher is Dlim, the lower is Gmax. Only occasionally will modeled G reach GMAX (only for very low D and moist soil and very cavitation-resistant species)</t>
        </r>
      </text>
    </comment>
    <comment ref="K19" authorId="0">
      <text>
        <r>
          <rPr>
            <b/>
            <sz val="8"/>
            <color indexed="81"/>
            <rFont val="Tahoma"/>
            <family val="2"/>
          </rPr>
          <t>John Sperry:</t>
        </r>
        <r>
          <rPr>
            <sz val="8"/>
            <color indexed="81"/>
            <rFont val="Tahoma"/>
            <family val="2"/>
          </rPr>
          <t xml:space="preserve">
use "n" if cavitation is permanent. Use "y" if refilling is perfect...meaning zero vulnerability curve hysteresis.</t>
        </r>
      </text>
    </comment>
    <comment ref="A20" authorId="0">
      <text>
        <r>
          <rPr>
            <b/>
            <sz val="8"/>
            <color indexed="81"/>
            <rFont val="Tahoma"/>
            <family val="2"/>
          </rPr>
          <t>John Sperry:</t>
        </r>
        <r>
          <rPr>
            <sz val="8"/>
            <color indexed="81"/>
            <rFont val="Tahoma"/>
            <family val="2"/>
          </rPr>
          <t xml:space="preserve">
see  "root and xylem worksheet" for finding weibull b's and c's from P50 and P98 values</t>
        </r>
      </text>
    </comment>
    <comment ref="I20" authorId="0">
      <text>
        <r>
          <rPr>
            <b/>
            <sz val="8"/>
            <color indexed="81"/>
            <rFont val="Tahoma"/>
            <family val="2"/>
          </rPr>
          <t>John Sperry:</t>
        </r>
        <r>
          <rPr>
            <sz val="8"/>
            <color indexed="81"/>
            <rFont val="Tahoma"/>
            <family val="2"/>
          </rPr>
          <t xml:space="preserve">
This parameter controls the rhizosphere limititation on water uptake. It is the average % resistance in the rhizosphere over a uniform dry-down to pcrit. A higher % means less absorbing root area, and a greater rhizosphere limitation. Values above 10% begin to reduce E. </t>
        </r>
      </text>
    </comment>
    <comment ref="L20" authorId="0">
      <text>
        <r>
          <rPr>
            <b/>
            <sz val="8"/>
            <color indexed="81"/>
            <rFont val="Tahoma"/>
            <family val="2"/>
          </rPr>
          <t>John Sperry:</t>
        </r>
        <r>
          <rPr>
            <sz val="8"/>
            <color indexed="81"/>
            <rFont val="Tahoma"/>
            <family val="2"/>
          </rPr>
          <t xml:space="preserve">
maximum radius of root spread per maximum root depth; used to estimate transport distances to layers</t>
        </r>
      </text>
    </comment>
    <comment ref="A22" authorId="0">
      <text>
        <r>
          <rPr>
            <b/>
            <sz val="8"/>
            <color indexed="81"/>
            <rFont val="Tahoma"/>
            <family val="2"/>
          </rPr>
          <t>John Sperry:</t>
        </r>
        <r>
          <rPr>
            <sz val="8"/>
            <color indexed="81"/>
            <rFont val="Tahoma"/>
            <family val="2"/>
          </rPr>
          <t xml:space="preserve">
user must input % resistance for stem, leaf, and root system under fully wet soil conditions (assume negligible resistance for wet soil). Tyree and Sack review says an average leaf is around 25% of whole plant; since below ground is often about 50%, this leaves 25% for the stem and 50% for the root default settings.</t>
        </r>
      </text>
    </comment>
    <comment ref="K22" authorId="0">
      <text>
        <r>
          <rPr>
            <b/>
            <sz val="8"/>
            <color indexed="81"/>
            <rFont val="Tahoma"/>
            <family val="2"/>
          </rPr>
          <t>John Sperry:</t>
        </r>
        <r>
          <rPr>
            <sz val="8"/>
            <color indexed="81"/>
            <rFont val="Tahoma"/>
            <family val="2"/>
          </rPr>
          <t xml:space="preserve">
root depth parameter in root fraction = 1-beta^depth equation. See "root and xylem worksheet" for place to fiddle with Beta's to see what depths they correspond to.</t>
        </r>
      </text>
    </comment>
    <comment ref="A23" authorId="0">
      <text>
        <r>
          <rPr>
            <b/>
            <sz val="8"/>
            <color indexed="81"/>
            <rFont val="Tahoma"/>
            <family val="2"/>
          </rPr>
          <t>John Sperry:</t>
        </r>
        <r>
          <rPr>
            <sz val="8"/>
            <color indexed="81"/>
            <rFont val="Tahoma"/>
            <family val="2"/>
          </rPr>
          <t xml:space="preserve">
pcrits for stem and leaf are computed from their vulnerability curves, and taken as the pressure causing conductance to fall to plant kmax/2000 (i.e., to a very small value).</t>
        </r>
      </text>
    </comment>
    <comment ref="K23" authorId="0">
      <text>
        <r>
          <rPr>
            <b/>
            <sz val="8"/>
            <color indexed="81"/>
            <rFont val="Tahoma"/>
            <family val="2"/>
          </rPr>
          <t>John Sperry:</t>
        </r>
        <r>
          <rPr>
            <sz val="8"/>
            <color indexed="81"/>
            <rFont val="Tahoma"/>
            <family val="2"/>
          </rPr>
          <t xml:space="preserve">
number of layers, up to 5. More layers, the slower the model, but the more accurate if it's being run coupled with soil infiltration. Use 1 layer if running the model from predawns</t>
        </r>
      </text>
    </comment>
    <comment ref="A24" authorId="0">
      <text>
        <r>
          <rPr>
            <b/>
            <sz val="8"/>
            <color indexed="81"/>
            <rFont val="Tahoma"/>
            <family val="2"/>
          </rPr>
          <t>John Sperry:</t>
        </r>
        <r>
          <rPr>
            <sz val="8"/>
            <color indexed="81"/>
            <rFont val="Tahoma"/>
            <family val="2"/>
          </rPr>
          <t xml:space="preserve">
this column below is just for reference...not used by program</t>
        </r>
      </text>
    </comment>
    <comment ref="B24" authorId="0">
      <text>
        <r>
          <rPr>
            <sz val="8"/>
            <color indexed="81"/>
            <rFont val="Tahoma"/>
            <family val="2"/>
          </rPr>
          <t>Computed by the model from aspect ratio, assuming conductances are inversely related to transport distances.</t>
        </r>
      </text>
    </comment>
    <comment ref="D24" authorId="0">
      <text>
        <r>
          <rPr>
            <b/>
            <sz val="8"/>
            <color indexed="81"/>
            <rFont val="Tahoma"/>
            <family val="2"/>
          </rPr>
          <t>John Sperry:</t>
        </r>
        <r>
          <rPr>
            <sz val="8"/>
            <color indexed="81"/>
            <rFont val="Tahoma"/>
            <family val="2"/>
          </rPr>
          <t xml:space="preserve">
see "van genuchten" sheet for alpha values for different soils</t>
        </r>
      </text>
    </comment>
    <comment ref="E24" authorId="0">
      <text>
        <r>
          <rPr>
            <b/>
            <sz val="8"/>
            <color indexed="81"/>
            <rFont val="Tahoma"/>
            <family val="2"/>
          </rPr>
          <t>John Sperry:</t>
        </r>
        <r>
          <rPr>
            <sz val="8"/>
            <color indexed="81"/>
            <rFont val="Tahoma"/>
            <family val="2"/>
          </rPr>
          <t xml:space="preserve">
see "van genuchten" sheet for n values for different soils</t>
        </r>
      </text>
    </comment>
    <comment ref="F24" authorId="0">
      <text>
        <r>
          <rPr>
            <b/>
            <sz val="8"/>
            <color indexed="81"/>
            <rFont val="Tahoma"/>
            <family val="2"/>
          </rPr>
          <t>John Sperry:</t>
        </r>
        <r>
          <rPr>
            <sz val="8"/>
            <color indexed="81"/>
            <rFont val="Tahoma"/>
            <family val="2"/>
          </rPr>
          <t xml:space="preserve">
saturated soil conductivity converted to conductance using root radius and rhizosphere and amount of roots in layer. Units are kg hr-1MPa-1m-2 basal area of trunk(s).</t>
        </r>
      </text>
    </comment>
    <comment ref="G24" authorId="0">
      <text>
        <r>
          <rPr>
            <b/>
            <sz val="8"/>
            <color indexed="81"/>
            <rFont val="Tahoma"/>
            <family val="2"/>
          </rPr>
          <t>John Sperry:</t>
        </r>
        <r>
          <rPr>
            <sz val="8"/>
            <color indexed="81"/>
            <rFont val="Tahoma"/>
            <family val="2"/>
          </rPr>
          <t xml:space="preserve">
Pcrit for rhizosphere failure. If layers are all the same soil, and if the same amount of roots are in each layer, this should approximate the target Pcrit rhizosphere entered for "min pcrit rhizo". Otherwise, there will be variation between layers. Pcrit is taken as pressure at 1/2000th of plant kmax</t>
        </r>
      </text>
    </comment>
    <comment ref="H24" authorId="0">
      <text>
        <r>
          <rPr>
            <b/>
            <sz val="8"/>
            <color indexed="81"/>
            <rFont val="Tahoma"/>
            <family val="2"/>
          </rPr>
          <t>John Sperry:</t>
        </r>
        <r>
          <rPr>
            <sz val="8"/>
            <color indexed="81"/>
            <rFont val="Tahoma"/>
            <family val="2"/>
          </rPr>
          <t xml:space="preserve">
maximum k for root system feeding each soil layer; units in kg/hr/MPa/m2 of basal trunk area</t>
        </r>
      </text>
    </comment>
    <comment ref="I24" authorId="0">
      <text>
        <r>
          <rPr>
            <b/>
            <sz val="8"/>
            <color indexed="81"/>
            <rFont val="Tahoma"/>
            <family val="2"/>
          </rPr>
          <t>John Sperry:</t>
        </r>
        <r>
          <rPr>
            <sz val="8"/>
            <color indexed="81"/>
            <rFont val="Tahoma"/>
            <family val="2"/>
          </rPr>
          <t xml:space="preserve">
pcrit for root vulnerability curve...taken when k of roots in layer is 1/2000th of plant kmax</t>
        </r>
      </text>
    </comment>
    <comment ref="K24" authorId="0">
      <text>
        <r>
          <rPr>
            <b/>
            <sz val="8"/>
            <color indexed="81"/>
            <rFont val="Tahoma"/>
            <family val="2"/>
          </rPr>
          <t>John Sperry:</t>
        </r>
        <r>
          <rPr>
            <sz val="8"/>
            <color indexed="81"/>
            <rFont val="Tahoma"/>
            <family val="2"/>
          </rPr>
          <t xml:space="preserve">
Computed by model assuming equal root biomass in each layer</t>
        </r>
      </text>
    </comment>
    <comment ref="A32" authorId="0">
      <text>
        <r>
          <rPr>
            <b/>
            <sz val="8"/>
            <color indexed="81"/>
            <rFont val="Tahoma"/>
            <family val="2"/>
          </rPr>
          <t>John Sperry:</t>
        </r>
        <r>
          <rPr>
            <sz val="8"/>
            <color indexed="81"/>
            <rFont val="Tahoma"/>
            <family val="2"/>
          </rPr>
          <t xml:space="preserve">
Midday D input</t>
        </r>
      </text>
    </comment>
    <comment ref="B32" authorId="0">
      <text>
        <r>
          <rPr>
            <b/>
            <sz val="8"/>
            <color indexed="81"/>
            <rFont val="Tahoma"/>
            <family val="2"/>
          </rPr>
          <t>John Sperry:</t>
        </r>
        <r>
          <rPr>
            <sz val="8"/>
            <color indexed="81"/>
            <rFont val="Tahoma"/>
            <family val="2"/>
          </rPr>
          <t xml:space="preserve">
water potential of soil layers. When driving the model with predawns, use 1 layer and input predawns in "layer 1" column</t>
        </r>
      </text>
    </comment>
    <comment ref="G32" authorId="0">
      <text>
        <r>
          <rPr>
            <b/>
            <sz val="8"/>
            <color indexed="81"/>
            <rFont val="Tahoma"/>
            <family val="2"/>
          </rPr>
          <t>John Sperry:</t>
        </r>
        <r>
          <rPr>
            <sz val="8"/>
            <color indexed="81"/>
            <rFont val="Tahoma"/>
            <family val="2"/>
          </rPr>
          <t xml:space="preserve">
predawn xylem pressure computed from root and soil layer profile</t>
        </r>
      </text>
    </comment>
    <comment ref="H32" authorId="0">
      <text>
        <r>
          <rPr>
            <b/>
            <sz val="8"/>
            <color indexed="81"/>
            <rFont val="Tahoma"/>
            <family val="2"/>
          </rPr>
          <t>John Sperry:</t>
        </r>
        <r>
          <rPr>
            <sz val="8"/>
            <color indexed="81"/>
            <rFont val="Tahoma"/>
            <family val="2"/>
          </rPr>
          <t xml:space="preserve">
midday xylem pressure computed from midday E</t>
        </r>
      </text>
    </comment>
    <comment ref="I32" authorId="0">
      <text>
        <r>
          <rPr>
            <b/>
            <sz val="8"/>
            <color indexed="81"/>
            <rFont val="Tahoma"/>
            <family val="2"/>
          </rPr>
          <t>John Sperry:</t>
        </r>
        <r>
          <rPr>
            <sz val="8"/>
            <color indexed="81"/>
            <rFont val="Tahoma"/>
            <family val="2"/>
          </rPr>
          <t xml:space="preserve">
Midday E in kg/hr/m2 basal area computed from stomatal control routine and D</t>
        </r>
      </text>
    </comment>
    <comment ref="J32" authorId="0">
      <text>
        <r>
          <rPr>
            <b/>
            <sz val="8"/>
            <color indexed="81"/>
            <rFont val="Tahoma"/>
            <family val="2"/>
          </rPr>
          <t>John Sperry:</t>
        </r>
        <r>
          <rPr>
            <sz val="8"/>
            <color indexed="81"/>
            <rFont val="Tahoma"/>
            <family val="2"/>
          </rPr>
          <t xml:space="preserve">
canopy diffusive conductance in kg/hr/basal area computed from stomatal control routine</t>
        </r>
      </text>
    </comment>
    <comment ref="K32" authorId="0">
      <text>
        <r>
          <rPr>
            <b/>
            <sz val="8"/>
            <color indexed="81"/>
            <rFont val="Tahoma"/>
            <family val="2"/>
          </rPr>
          <t>John Sperry:</t>
        </r>
        <r>
          <rPr>
            <sz val="8"/>
            <color indexed="81"/>
            <rFont val="Tahoma"/>
            <family val="2"/>
          </rPr>
          <t xml:space="preserve">
Pcrit of the entire soil-leaf system</t>
        </r>
      </text>
    </comment>
    <comment ref="L32" authorId="0">
      <text>
        <r>
          <rPr>
            <b/>
            <sz val="8"/>
            <color indexed="81"/>
            <rFont val="Tahoma"/>
            <family val="2"/>
          </rPr>
          <t>John Sperry:</t>
        </r>
        <r>
          <rPr>
            <sz val="8"/>
            <color indexed="81"/>
            <rFont val="Tahoma"/>
            <family val="2"/>
          </rPr>
          <t xml:space="preserve">
maximum steady-state E allowed by hydraulic properties, kg/hr/basal area</t>
        </r>
      </text>
    </comment>
    <comment ref="M32" authorId="0">
      <text>
        <r>
          <rPr>
            <b/>
            <sz val="8"/>
            <color indexed="81"/>
            <rFont val="Tahoma"/>
            <family val="2"/>
          </rPr>
          <t>John Sperry:</t>
        </r>
        <r>
          <rPr>
            <sz val="8"/>
            <color indexed="81"/>
            <rFont val="Tahoma"/>
            <family val="2"/>
          </rPr>
          <t xml:space="preserve">
xylem pressure at midday at distal end of stem network</t>
        </r>
      </text>
    </comment>
    <comment ref="N32" authorId="0">
      <text>
        <r>
          <rPr>
            <b/>
            <sz val="8"/>
            <color indexed="81"/>
            <rFont val="Tahoma"/>
            <family val="2"/>
          </rPr>
          <t>John Sperry:</t>
        </r>
        <r>
          <rPr>
            <sz val="8"/>
            <color indexed="81"/>
            <rFont val="Tahoma"/>
            <family val="2"/>
          </rPr>
          <t xml:space="preserve">
xylem pressure at midday at root crown</t>
        </r>
      </text>
    </comment>
    <comment ref="O32" authorId="0">
      <text>
        <r>
          <rPr>
            <b/>
            <sz val="8"/>
            <color indexed="81"/>
            <rFont val="Tahoma"/>
            <family val="2"/>
          </rPr>
          <t>John Sperry:</t>
        </r>
        <r>
          <rPr>
            <sz val="8"/>
            <color indexed="81"/>
            <rFont val="Tahoma"/>
            <family val="2"/>
          </rPr>
          <t xml:space="preserve">
hydraulic conductance of stem network at midday in kg/hr/MPa/m2 basal area</t>
        </r>
      </text>
    </comment>
    <comment ref="Q32" authorId="0">
      <text>
        <r>
          <rPr>
            <b/>
            <sz val="8"/>
            <color indexed="81"/>
            <rFont val="Tahoma"/>
            <family val="2"/>
          </rPr>
          <t>John Sperry:</t>
        </r>
        <r>
          <rPr>
            <sz val="8"/>
            <color indexed="81"/>
            <rFont val="Tahoma"/>
            <family val="2"/>
          </rPr>
          <t xml:space="preserve">
hydraulic conductance of soil-leaf system at midday</t>
        </r>
      </text>
    </comment>
    <comment ref="R32" authorId="0">
      <text>
        <r>
          <rPr>
            <b/>
            <sz val="8"/>
            <color indexed="81"/>
            <rFont val="Tahoma"/>
            <family val="2"/>
          </rPr>
          <t>John Sperry:</t>
        </r>
        <r>
          <rPr>
            <sz val="8"/>
            <color indexed="81"/>
            <rFont val="Tahoma"/>
            <family val="2"/>
          </rPr>
          <t xml:space="preserve">
hydraulic conductance of the xylem portion of the flow path (root+stem+leaf)</t>
        </r>
      </text>
    </comment>
    <comment ref="S32" authorId="0">
      <text>
        <r>
          <rPr>
            <b/>
            <sz val="8"/>
            <color indexed="81"/>
            <rFont val="Tahoma"/>
            <family val="2"/>
          </rPr>
          <t>John Sperry:</t>
        </r>
        <r>
          <rPr>
            <sz val="8"/>
            <color indexed="81"/>
            <rFont val="Tahoma"/>
            <family val="2"/>
          </rPr>
          <t xml:space="preserve">
"root k" columns give hydraulic conductance of root system xylem at midday for each layer</t>
        </r>
      </text>
    </comment>
    <comment ref="X32" authorId="0">
      <text>
        <r>
          <rPr>
            <b/>
            <sz val="8"/>
            <color indexed="81"/>
            <rFont val="Tahoma"/>
            <family val="2"/>
          </rPr>
          <t>John Sperry:</t>
        </r>
        <r>
          <rPr>
            <sz val="8"/>
            <color indexed="81"/>
            <rFont val="Tahoma"/>
            <family val="2"/>
          </rPr>
          <t xml:space="preserve">
total root system k at midday</t>
        </r>
      </text>
    </comment>
    <comment ref="Z32" authorId="0">
      <text>
        <r>
          <rPr>
            <b/>
            <sz val="8"/>
            <color indexed="81"/>
            <rFont val="Tahoma"/>
            <family val="2"/>
          </rPr>
          <t>John Sperry:</t>
        </r>
        <r>
          <rPr>
            <sz val="8"/>
            <color indexed="81"/>
            <rFont val="Tahoma"/>
            <family val="2"/>
          </rPr>
          <t xml:space="preserve">
next columns give midday rate of water uptake from each root layer in kg/hr; these should sum to equal midday E</t>
        </r>
      </text>
    </comment>
    <comment ref="AD32" authorId="0">
      <text>
        <r>
          <rPr>
            <b/>
            <sz val="8"/>
            <color indexed="81"/>
            <rFont val="Tahoma"/>
            <family val="2"/>
          </rPr>
          <t>John Sperry:</t>
        </r>
        <r>
          <rPr>
            <sz val="8"/>
            <color indexed="81"/>
            <rFont val="Tahoma"/>
            <family val="2"/>
          </rPr>
          <t xml:space="preserve">
this is supposed to indicate where the system failure is INITIATED at Ecrit...whether in leaf xylem or belowground</t>
        </r>
      </text>
    </comment>
    <comment ref="AE32" authorId="0">
      <text>
        <r>
          <rPr>
            <b/>
            <sz val="8"/>
            <color indexed="81"/>
            <rFont val="Tahoma"/>
            <family val="2"/>
          </rPr>
          <t>John Sperry:</t>
        </r>
        <r>
          <rPr>
            <sz val="8"/>
            <color indexed="81"/>
            <rFont val="Tahoma"/>
            <family val="2"/>
          </rPr>
          <t xml:space="preserve">
this is supposed to record when and what root layers have lost 100% conductance</t>
        </r>
      </text>
    </comment>
  </commentList>
</comments>
</file>

<file path=xl/sharedStrings.xml><?xml version="1.0" encoding="utf-8"?>
<sst xmlns="http://schemas.openxmlformats.org/spreadsheetml/2006/main" count="2343" uniqueCount="421">
  <si>
    <t>weibull b</t>
  </si>
  <si>
    <t>weibull c</t>
  </si>
  <si>
    <t>WEIBULL PARAMETERS</t>
  </si>
  <si>
    <t>root elements</t>
  </si>
  <si>
    <t>stem element</t>
  </si>
  <si>
    <t>leaf element</t>
  </si>
  <si>
    <t>MPa</t>
  </si>
  <si>
    <t>LAYERS</t>
  </si>
  <si>
    <t>% ROOT KSAT</t>
  </si>
  <si>
    <t>VanGenucht alpha</t>
  </si>
  <si>
    <t>Van Genucht n</t>
  </si>
  <si>
    <t>PLANT PARAMETERS</t>
  </si>
  <si>
    <t>rhizo pcrit</t>
  </si>
  <si>
    <t>root pcrit</t>
  </si>
  <si>
    <t>pcrit stem and leaf</t>
  </si>
  <si>
    <t>leaf</t>
  </si>
  <si>
    <t>root uptake</t>
  </si>
  <si>
    <t>failspot</t>
  </si>
  <si>
    <t>layerfailures</t>
  </si>
  <si>
    <t>% resistance at ksat</t>
  </si>
  <si>
    <t>kmax for weibull</t>
  </si>
  <si>
    <t>rhizosphere kmax</t>
  </si>
  <si>
    <t>k stem</t>
  </si>
  <si>
    <t>k leaf</t>
  </si>
  <si>
    <t>k plant</t>
  </si>
  <si>
    <t>root k</t>
  </si>
  <si>
    <t>tot root k</t>
  </si>
  <si>
    <t>kg hr-1 MPa-1 m-2 basal area</t>
  </si>
  <si>
    <t>Ksat in kg hr-1MPa-1m-1</t>
  </si>
  <si>
    <t>n</t>
  </si>
  <si>
    <t>p layer 1 (MPa)</t>
  </si>
  <si>
    <t>p layer 2 (MPa)</t>
  </si>
  <si>
    <t>p layer 3 (MPa)</t>
  </si>
  <si>
    <t>p layer 4 (MPa)</t>
  </si>
  <si>
    <t>p layer 5 (MPa)</t>
  </si>
  <si>
    <t>Pleaf PD (MPa)</t>
  </si>
  <si>
    <t>Pleaf MD (MPa)</t>
  </si>
  <si>
    <t>Pcrit (MPa)</t>
  </si>
  <si>
    <t>Pstem (MPa)</t>
  </si>
  <si>
    <t>Proot (MPa)</t>
  </si>
  <si>
    <t>k's in kg hr-1 MPa m-2 basal area</t>
  </si>
  <si>
    <t># soil layers</t>
  </si>
  <si>
    <t>(5 max)</t>
  </si>
  <si>
    <t>root Beta</t>
  </si>
  <si>
    <t>(0-1); root fraction = 1-B^(depth in cm)</t>
  </si>
  <si>
    <t>layer depth(m)</t>
  </si>
  <si>
    <t>soil Kmax</t>
  </si>
  <si>
    <t>Root worksheet</t>
  </si>
  <si>
    <t>beta</t>
  </si>
  <si>
    <t>dmax</t>
  </si>
  <si>
    <t>layers</t>
  </si>
  <si>
    <t>layer</t>
  </si>
  <si>
    <t>depth (m)</t>
  </si>
  <si>
    <t>fraction</t>
  </si>
  <si>
    <t>Weibull worksheet</t>
  </si>
  <si>
    <t>enter b and c</t>
  </si>
  <si>
    <t>enter P50 and P98, solve for b and c</t>
  </si>
  <si>
    <t>b</t>
  </si>
  <si>
    <t>c</t>
  </si>
  <si>
    <t>P50</t>
  </si>
  <si>
    <t>P98</t>
  </si>
  <si>
    <t>van Genuchten functions</t>
  </si>
  <si>
    <t>theta s</t>
  </si>
  <si>
    <t>theta r</t>
  </si>
  <si>
    <t>theta</t>
  </si>
  <si>
    <t>alpha</t>
  </si>
  <si>
    <t>Y (MPa)</t>
  </si>
  <si>
    <t>K/Ks</t>
  </si>
  <si>
    <t>m</t>
  </si>
  <si>
    <t>Sand</t>
  </si>
  <si>
    <t>alpha cm-1</t>
  </si>
  <si>
    <t>loamy sand</t>
  </si>
  <si>
    <t>sandy loam</t>
  </si>
  <si>
    <t>silt</t>
  </si>
  <si>
    <t>silt loam</t>
  </si>
  <si>
    <t>sandy clay loam</t>
  </si>
  <si>
    <t>clay loam</t>
  </si>
  <si>
    <t>silty clay loam</t>
  </si>
  <si>
    <t>clay</t>
  </si>
  <si>
    <t>Ksat cm hr-1</t>
  </si>
  <si>
    <t>theta sat</t>
  </si>
  <si>
    <t>theta residual</t>
  </si>
  <si>
    <t>from Leij, Alves van Genuchten, 1996</t>
  </si>
  <si>
    <t>alpha MPa-1</t>
  </si>
  <si>
    <t xml:space="preserve">silty clay </t>
  </si>
  <si>
    <t>Y(cm)</t>
  </si>
  <si>
    <t>INPUT CELLS IN YELLOW</t>
  </si>
  <si>
    <t>OPTIONAL INPUTS IN ORANGE</t>
  </si>
  <si>
    <t>E canopy kg hr-1 m-2 basal area)</t>
  </si>
  <si>
    <t>Ecrit (kg hr-1 m-2 basal area)</t>
  </si>
  <si>
    <t>OR</t>
  </si>
  <si>
    <t>kPa</t>
  </si>
  <si>
    <t>atmospheric P</t>
  </si>
  <si>
    <t>D, MD (kPa)</t>
  </si>
  <si>
    <t>G canopy (kg hr-1 m-2 basal area)</t>
  </si>
  <si>
    <t>Gmax</t>
  </si>
  <si>
    <t xml:space="preserve"> </t>
  </si>
  <si>
    <t>P</t>
  </si>
  <si>
    <t>K</t>
  </si>
  <si>
    <t>Kact</t>
  </si>
  <si>
    <t>Kmax</t>
  </si>
  <si>
    <t>REFILLING?</t>
  </si>
  <si>
    <t>Y/N</t>
  </si>
  <si>
    <t>KMAX of plant</t>
  </si>
  <si>
    <t>DLIM</t>
  </si>
  <si>
    <t>D at wet E limit</t>
  </si>
  <si>
    <t>root kmax</t>
  </si>
  <si>
    <t>kxylem</t>
  </si>
  <si>
    <t>USE POSITIVE VALUES FOR ALL XYLEM PRESSURES AND WATER POTENTIALS</t>
  </si>
  <si>
    <t>FOR DETAILS SEE COMMENTS FOR INDIVIDUAL CELLS</t>
  </si>
  <si>
    <t>aspect r</t>
  </si>
  <si>
    <t>thickness</t>
  </si>
  <si>
    <t>surface r</t>
  </si>
  <si>
    <t>surface v</t>
  </si>
  <si>
    <t>m3</t>
  </si>
  <si>
    <t>cm</t>
  </si>
  <si>
    <t>width</t>
  </si>
  <si>
    <t>vert length</t>
  </si>
  <si>
    <t>trans L</t>
  </si>
  <si>
    <t>rel t length</t>
  </si>
  <si>
    <t>root aspect r</t>
  </si>
  <si>
    <t>max spread/max depth</t>
  </si>
  <si>
    <t>width/depth</t>
  </si>
  <si>
    <t>aspect ratio</t>
  </si>
  <si>
    <t>avg % rhizo r</t>
  </si>
  <si>
    <t>mean</t>
  </si>
  <si>
    <t>k loss*P</t>
  </si>
  <si>
    <t>b'</t>
  </si>
  <si>
    <t>c'</t>
  </si>
  <si>
    <t>P^c'</t>
  </si>
  <si>
    <t>A-Ci parameters:</t>
  </si>
  <si>
    <t>A</t>
  </si>
  <si>
    <t>Leaf T parameters</t>
  </si>
  <si>
    <t>air temp</t>
  </si>
  <si>
    <t>C</t>
  </si>
  <si>
    <t>Rabs</t>
  </si>
  <si>
    <t>wind speed</t>
  </si>
  <si>
    <t>m s-2</t>
  </si>
  <si>
    <t>w m-2</t>
  </si>
  <si>
    <t>leaf width</t>
  </si>
  <si>
    <t>mol mol-1</t>
  </si>
  <si>
    <t>PAR pfd</t>
  </si>
  <si>
    <t>umol m-2 s-1</t>
  </si>
  <si>
    <t>Vmax</t>
  </si>
  <si>
    <t>Kc</t>
  </si>
  <si>
    <t>Ko</t>
  </si>
  <si>
    <t>Rd</t>
  </si>
  <si>
    <t>Ca</t>
  </si>
  <si>
    <t>Pa</t>
  </si>
  <si>
    <t>emissivity</t>
  </si>
  <si>
    <t>long wave</t>
  </si>
  <si>
    <t>La:Ba</t>
  </si>
  <si>
    <t>leaf area per basal area m2 m-2</t>
  </si>
  <si>
    <t>colimitation shape factor</t>
  </si>
  <si>
    <t>P, MPa</t>
  </si>
  <si>
    <t>E, mmol m-2s-1</t>
  </si>
  <si>
    <t>Gw, mmol m-2s-1</t>
  </si>
  <si>
    <t>A, umol m-2s-1</t>
  </si>
  <si>
    <t>plus carbon</t>
  </si>
  <si>
    <t>Leaf air vpd, kPa</t>
  </si>
  <si>
    <t>ci, Pa</t>
  </si>
  <si>
    <t>mmol m-2 s-1 leaf area</t>
  </si>
  <si>
    <t xml:space="preserve">Collatz et al. version </t>
  </si>
  <si>
    <t>see also Campbell and Norman</t>
  </si>
  <si>
    <t>Cheeseman Eqns</t>
  </si>
  <si>
    <t>at 25C</t>
  </si>
  <si>
    <t>Q10</t>
  </si>
  <si>
    <t>leaf temp</t>
  </si>
  <si>
    <t>I</t>
  </si>
  <si>
    <t>irradiance, umol m-2 s-1</t>
  </si>
  <si>
    <t>absorbtivity of the leaf for PAR, a fraction</t>
  </si>
  <si>
    <t>alpha, quantum yield of electron transport = 0.3 mol mol-1</t>
  </si>
  <si>
    <t>atmospheric pressure</t>
  </si>
  <si>
    <t>max quantum efficiency...CO2 per quantum absorbed</t>
  </si>
  <si>
    <t>theta, curvature of light response curve, = 0.9</t>
  </si>
  <si>
    <t>Jmax</t>
  </si>
  <si>
    <t>PAR PFD umol m-2s-2</t>
  </si>
  <si>
    <t>J, actual rate of electron transport</t>
  </si>
  <si>
    <t>CP</t>
  </si>
  <si>
    <t>CO2 compensation point, Pa</t>
  </si>
  <si>
    <t>light compensation point, Pa</t>
  </si>
  <si>
    <t>O</t>
  </si>
  <si>
    <t>pressure of O2, Pa</t>
  </si>
  <si>
    <t>oxygen concentration, pa</t>
  </si>
  <si>
    <t>MM constant, Pa</t>
  </si>
  <si>
    <t>CO2/O2 RUBisco specificity ratio</t>
  </si>
  <si>
    <t>Vmax, umol m-2s-1,  uncorrected for high temp</t>
  </si>
  <si>
    <t>Vcmax</t>
  </si>
  <si>
    <t>Kc, MM, Pa</t>
  </si>
  <si>
    <t>respiration rate, umol m-2s-1</t>
  </si>
  <si>
    <t>ko, MM, Pa</t>
  </si>
  <si>
    <t>J</t>
  </si>
  <si>
    <t>theta, shape factor, 0.98</t>
  </si>
  <si>
    <t>C, Pa</t>
  </si>
  <si>
    <t>A1</t>
  </si>
  <si>
    <t>A2</t>
  </si>
  <si>
    <t>day respiration, umol m-2s-1</t>
  </si>
  <si>
    <t>"a" in Vm high temp response, J/mol</t>
  </si>
  <si>
    <t>"b in high temp Vm response, J mol-1K-1</t>
  </si>
  <si>
    <t>universal gas constant, J mol-1K-1</t>
  </si>
  <si>
    <t>vmax, corrected for high temp</t>
  </si>
  <si>
    <t>Rday, umol m-2 s-1, corrected for high T</t>
  </si>
  <si>
    <t>C, umol/mol</t>
  </si>
  <si>
    <t>Je</t>
  </si>
  <si>
    <t>Jc</t>
  </si>
  <si>
    <t>An</t>
  </si>
  <si>
    <t>Ha, J mol-1, activation energy for Jmax temp dependence Leunig 2002</t>
  </si>
  <si>
    <t>Hd, J mol-1,deactivation energy, Jmax</t>
  </si>
  <si>
    <t>Sv, entropy term, J mol-1K-1</t>
  </si>
  <si>
    <t>C term in Leunig eqn</t>
  </si>
  <si>
    <t>multiplier in Leunig eqn</t>
  </si>
  <si>
    <t>Jmax corrected for temperature</t>
  </si>
  <si>
    <t>Jmax at 25C, potential rate of electron transport, umol m-2s-1, assumed = 1.67*Vmax at 25C</t>
  </si>
  <si>
    <t>Ha, J mol-1, activation energy for vmax temp dependence Leunig 2002</t>
  </si>
  <si>
    <t>Hd, J mol-1,deactivation energy, vmax</t>
  </si>
  <si>
    <t>Sv, entropy term for vmax, J mol-1K-1</t>
  </si>
  <si>
    <t>Vmax corrected for temperature</t>
  </si>
  <si>
    <t>temperature dependence of vmax and jmax from Leuning 2002</t>
  </si>
  <si>
    <t>quantum yield e trans</t>
  </si>
  <si>
    <t>umol m-2 s-1, at 25C; Leunig T response</t>
  </si>
  <si>
    <t>umol m-2 s-1 at 25C; Leunig T response</t>
  </si>
  <si>
    <t>Jmax, coupled to Vmax</t>
  </si>
  <si>
    <t>Ha-vmax</t>
  </si>
  <si>
    <t>Hd-vmax</t>
  </si>
  <si>
    <t>sv-vmax</t>
  </si>
  <si>
    <t>J mol-1</t>
  </si>
  <si>
    <t>Jmol-1</t>
  </si>
  <si>
    <t>Jmol-1K-1</t>
  </si>
  <si>
    <t>Ha-jmax</t>
  </si>
  <si>
    <t>Hd-jmax</t>
  </si>
  <si>
    <t>sv-jmax</t>
  </si>
  <si>
    <t>Collatz et al. version, but with Je from Jmax formulation (Medlyn 2002)</t>
  </si>
  <si>
    <t>kmax</t>
  </si>
  <si>
    <t>D</t>
  </si>
  <si>
    <t>p layer 2</t>
  </si>
  <si>
    <t>p layer 3</t>
  </si>
  <si>
    <t>p layer 4</t>
  </si>
  <si>
    <t>Predawn, MPa</t>
  </si>
  <si>
    <t>leaftempt</t>
  </si>
  <si>
    <t>pcrit, MPa</t>
  </si>
  <si>
    <t>Ecrit</t>
  </si>
  <si>
    <t>Pstem, MPa</t>
  </si>
  <si>
    <t>kroot tot</t>
  </si>
  <si>
    <t>vmax</t>
  </si>
  <si>
    <t>%</t>
  </si>
  <si>
    <t>D responses...Gmax coupled to Vmax</t>
  </si>
  <si>
    <t>b=2</t>
  </si>
  <si>
    <t>vmax =150</t>
  </si>
  <si>
    <t>vmax = 25</t>
  </si>
  <si>
    <t>b=1</t>
  </si>
  <si>
    <t>b=3</t>
  </si>
  <si>
    <t>vmax = 150, b=2</t>
  </si>
  <si>
    <t>Gm(Vm)</t>
  </si>
  <si>
    <t>hydraulic</t>
  </si>
  <si>
    <t>vmax=150</t>
  </si>
  <si>
    <t>Psoil</t>
  </si>
  <si>
    <t>vmax = 25, b=2</t>
  </si>
  <si>
    <t>gmax</t>
  </si>
  <si>
    <t>Ta = 30C</t>
  </si>
  <si>
    <t>vmax 100</t>
  </si>
  <si>
    <t>vmax 100 hydraulic</t>
  </si>
  <si>
    <t>b=2c=2</t>
  </si>
  <si>
    <t>vm100 hydraulic</t>
  </si>
  <si>
    <t>b=2c=1</t>
  </si>
  <si>
    <t>vm100</t>
  </si>
  <si>
    <t>deda</t>
  </si>
  <si>
    <t>root</t>
  </si>
  <si>
    <t>vmax=150,c=3 b=2</t>
  </si>
  <si>
    <t>vm = 100, b=2 c=3</t>
  </si>
  <si>
    <t>vm=100, b=1 c=3</t>
  </si>
  <si>
    <t>vm 100 b=3 c=3</t>
  </si>
  <si>
    <t>vm100 b=2c=2</t>
  </si>
  <si>
    <t>vm100 b=2c=2h</t>
  </si>
  <si>
    <t>vm100b=2c=1</t>
  </si>
  <si>
    <t>vm100b=2c=1h</t>
  </si>
  <si>
    <t>vmax 100 hyd</t>
  </si>
  <si>
    <t>Tair</t>
  </si>
  <si>
    <t>G response</t>
  </si>
  <si>
    <t>Pcan response</t>
  </si>
  <si>
    <t>Amax</t>
  </si>
  <si>
    <t>T leaf</t>
  </si>
  <si>
    <t xml:space="preserve">CO2 response by D, at optimal Kmax, Gmax unlimited </t>
  </si>
  <si>
    <t>Anet</t>
  </si>
  <si>
    <t>rh</t>
  </si>
  <si>
    <t>BB</t>
  </si>
  <si>
    <t>Gw mol</t>
  </si>
  <si>
    <t>Ci, umol mol-1</t>
  </si>
  <si>
    <t>BBL</t>
  </si>
  <si>
    <t>Gw, mol</t>
  </si>
  <si>
    <t>Arh/ca</t>
  </si>
  <si>
    <t>A/(cs-comp)</t>
  </si>
  <si>
    <t>BBL-umol/mol</t>
  </si>
  <si>
    <t>umol/mol</t>
  </si>
  <si>
    <t>The CO2 data</t>
  </si>
  <si>
    <t>Opt</t>
  </si>
  <si>
    <t>D response</t>
  </si>
  <si>
    <t xml:space="preserve">soil </t>
  </si>
  <si>
    <t>soil, vuln</t>
  </si>
  <si>
    <t>soil, vm 150</t>
  </si>
  <si>
    <t>d, vm 150</t>
  </si>
  <si>
    <t>Pa, M-M constant at 25C, Bernacchi T response</t>
  </si>
  <si>
    <t>Comp. Point</t>
  </si>
  <si>
    <t>Pa, at 25C, Bernacchi T response</t>
  </si>
  <si>
    <t xml:space="preserve"> Jc,Je from Medlyn 2002</t>
  </si>
  <si>
    <t>temp dependence of Ko, Kc, CP from Bernacchi et al. 2001</t>
  </si>
  <si>
    <t>temp dependence of vmax and jmax from Leuning 2002</t>
  </si>
  <si>
    <t>Kc, Pa</t>
  </si>
  <si>
    <t>Ko, Pa</t>
  </si>
  <si>
    <t>Compensation point, Pa</t>
  </si>
  <si>
    <t>p layer 5</t>
  </si>
  <si>
    <t>vmax 150, optimization</t>
  </si>
  <si>
    <t>vmax 150, hydraulic</t>
  </si>
  <si>
    <t>Go</t>
  </si>
  <si>
    <t>Do</t>
  </si>
  <si>
    <t>a'</t>
  </si>
  <si>
    <t>r2</t>
  </si>
  <si>
    <t>vmax 25, optimization</t>
  </si>
  <si>
    <t>Fig. 4a,b</t>
  </si>
  <si>
    <t>Fig. 4c,d</t>
  </si>
  <si>
    <t>vmax 100, 2/3, optimization</t>
  </si>
  <si>
    <t>vmax 100, 2/3, hydraulic</t>
  </si>
  <si>
    <t>vmax 100, 1,3, optimization</t>
  </si>
  <si>
    <t>vmax 100, 1/3, hydraulic</t>
  </si>
  <si>
    <t>vmax 100, 3,3, optimization</t>
  </si>
  <si>
    <t>vmax 100, 3/3, hydraulic</t>
  </si>
  <si>
    <t>vmax 100, 2,1, optimization</t>
  </si>
  <si>
    <t>vmax 100, 2/1, hydraulic</t>
  </si>
  <si>
    <t>average of y&lt;y&gt;</t>
  </si>
  <si>
    <t>deg. of freedom</t>
  </si>
  <si>
    <t>std. err of Y est</t>
  </si>
  <si>
    <t>avg de/da</t>
  </si>
  <si>
    <t>avg deda</t>
  </si>
  <si>
    <t>Fig. 6a,b</t>
  </si>
  <si>
    <t>Fig. 6c,d</t>
  </si>
  <si>
    <t>% GW</t>
  </si>
  <si>
    <t>%P</t>
  </si>
  <si>
    <t>USE THIS DATA SET</t>
  </si>
  <si>
    <t>FIG 7a,b</t>
  </si>
  <si>
    <t>Fig. 7 c,d</t>
  </si>
  <si>
    <t>% G</t>
  </si>
  <si>
    <t>CO2 ONLY: Ps = 0, Light, T, constant; fit each D independently</t>
  </si>
  <si>
    <t>comp pt</t>
  </si>
  <si>
    <t>(ca-cp)</t>
  </si>
  <si>
    <t>A/(ca-ci)</t>
  </si>
  <si>
    <t>Gw BBL</t>
  </si>
  <si>
    <t>D Only, Psoil = 0, refit for each Pa or Ta or Vmax</t>
  </si>
  <si>
    <t>(Data from Fig. 7, sorted by D)</t>
  </si>
  <si>
    <t>(These are data from Fig. 7, sorted by Ca)</t>
  </si>
  <si>
    <t>These are data from Fig. 4</t>
  </si>
  <si>
    <t>(fig. 4c, vmax 100, 2/3)</t>
  </si>
  <si>
    <t>(vmax, 1/3)</t>
  </si>
  <si>
    <t>(vmax 100, 3/3)</t>
  </si>
  <si>
    <t>(vmax 100, 2,1)</t>
  </si>
  <si>
    <t xml:space="preserve">TEMPERATURE RESPONSE (Ps = 0, Dl held constant; data from Fig. 5a </t>
  </si>
  <si>
    <t>LIGHT RESPONSE (Fig. 5a data)</t>
  </si>
  <si>
    <t>SOIL RESPONSE (data from Fig. 6)</t>
  </si>
  <si>
    <t>Soil Response with Vmax downregulated (to optimum at Psoil)</t>
  </si>
  <si>
    <t>Predawn</t>
  </si>
  <si>
    <t>vmax = 150, T = 25C, D=1, kmax = 638</t>
  </si>
  <si>
    <t>vmax25</t>
  </si>
  <si>
    <t>Gw, no adjustment</t>
  </si>
  <si>
    <t>less than 0.01...</t>
  </si>
  <si>
    <t>extra closure</t>
  </si>
  <si>
    <t>kept near 28</t>
  </si>
  <si>
    <t>gw</t>
  </si>
  <si>
    <t>bbl</t>
  </si>
  <si>
    <t>gw bbl</t>
  </si>
  <si>
    <t>sd</t>
  </si>
  <si>
    <t>Fig. 7 simulations</t>
  </si>
  <si>
    <t>Fig. 4 simulations</t>
  </si>
  <si>
    <t>All simulations</t>
  </si>
  <si>
    <t>T=30C</t>
  </si>
  <si>
    <t>2,3</t>
  </si>
  <si>
    <t>gw/gwdeda</t>
  </si>
  <si>
    <t>deda fixed</t>
  </si>
  <si>
    <t>Fig. 6, soil response</t>
  </si>
  <si>
    <t>no deda large enough...failure</t>
  </si>
  <si>
    <t>deda constant</t>
  </si>
  <si>
    <t>BBL fits</t>
  </si>
  <si>
    <r>
      <t>r</t>
    </r>
    <r>
      <rPr>
        <vertAlign val="superscript"/>
        <sz val="10"/>
        <rFont val="Arial"/>
        <family val="2"/>
      </rPr>
      <t>2</t>
    </r>
  </si>
  <si>
    <t>Fig. 4, n=6</t>
  </si>
  <si>
    <t>Fig. 7, n=11</t>
  </si>
  <si>
    <t>27.5(0.37)</t>
  </si>
  <si>
    <t>0.213(0.0054)</t>
  </si>
  <si>
    <t>Do, kPa</t>
  </si>
  <si>
    <t>Go (mol s-1m-2)</t>
  </si>
  <si>
    <t>0.0673(0.00127)</t>
  </si>
  <si>
    <t>0.99968 (0.000038)</t>
  </si>
  <si>
    <t>0.99738(0.000065)</t>
  </si>
  <si>
    <t>14.0(0.91)</t>
  </si>
  <si>
    <t>0.64(0.067)</t>
  </si>
  <si>
    <t>0.036(0.0063)</t>
  </si>
  <si>
    <t>DL response</t>
  </si>
  <si>
    <t>0.988(0.0038)</t>
  </si>
  <si>
    <t>36.00790(0.00093)</t>
  </si>
  <si>
    <t>0.126(0.0037)</t>
  </si>
  <si>
    <t>0.110(0.0038)</t>
  </si>
  <si>
    <t>Q response: Fig. 5, n=1</t>
  </si>
  <si>
    <t>T response: Fig. 5, n=1</t>
  </si>
  <si>
    <t>Ca response: Fig. 7, n=5</t>
  </si>
  <si>
    <t xml:space="preserve">Ps response: Fig. 6, n = </t>
  </si>
  <si>
    <t>0.9416(0.0026)</t>
  </si>
  <si>
    <t>260(165)</t>
  </si>
  <si>
    <t>0.09(0.034)</t>
  </si>
  <si>
    <t xml:space="preserve"> _0.0132(0.00212)</t>
  </si>
  <si>
    <t>Leuning's values:</t>
  </si>
  <si>
    <t>vmax 25, hydraulic</t>
  </si>
  <si>
    <t>% Gw</t>
  </si>
  <si>
    <t>%Pc</t>
  </si>
  <si>
    <t>vm 100, Ta 30</t>
  </si>
  <si>
    <t>Ta 25</t>
  </si>
  <si>
    <t>Ps = 0 MPa</t>
  </si>
  <si>
    <t>Gw</t>
  </si>
  <si>
    <t>DL</t>
  </si>
  <si>
    <t>optimization</t>
  </si>
  <si>
    <t>constant de/da</t>
  </si>
  <si>
    <t>psoil = -0.75</t>
  </si>
  <si>
    <t>psoil = -1.5 MPa</t>
  </si>
  <si>
    <t>panel A</t>
  </si>
  <si>
    <t>Panel B</t>
  </si>
  <si>
    <t>Panel C</t>
  </si>
</sst>
</file>

<file path=xl/styles.xml><?xml version="1.0" encoding="utf-8"?>
<styleSheet xmlns="http://schemas.openxmlformats.org/spreadsheetml/2006/main">
  <numFmts count="1">
    <numFmt numFmtId="164" formatCode="0.000"/>
  </numFmts>
  <fonts count="1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u/>
      <sz val="10"/>
      <color indexed="12"/>
      <name val="Arial"/>
      <family val="2"/>
    </font>
    <font>
      <sz val="8"/>
      <color indexed="81"/>
      <name val="Tahoma"/>
      <family val="2"/>
    </font>
    <font>
      <b/>
      <sz val="8"/>
      <color indexed="81"/>
      <name val="Tahoma"/>
      <family val="2"/>
    </font>
    <font>
      <sz val="12"/>
      <color indexed="8"/>
      <name val="Calibri"/>
      <family val="2"/>
    </font>
    <font>
      <sz val="10"/>
      <name val="Arial"/>
      <family val="2"/>
    </font>
    <font>
      <sz val="10"/>
      <name val="Arial"/>
      <family val="2"/>
    </font>
    <font>
      <sz val="10"/>
      <name val="Arial"/>
      <family val="2"/>
    </font>
    <font>
      <u/>
      <sz val="10"/>
      <color indexed="12"/>
      <name val="Arial"/>
      <family val="2"/>
    </font>
    <font>
      <sz val="11"/>
      <color theme="1"/>
      <name val="Calibri"/>
      <family val="2"/>
      <scheme val="minor"/>
    </font>
    <font>
      <vertAlign val="superscript"/>
      <sz val="10"/>
      <name val="Arial"/>
      <family val="2"/>
    </font>
  </fonts>
  <fills count="6">
    <fill>
      <patternFill patternType="none"/>
    </fill>
    <fill>
      <patternFill patternType="gray125"/>
    </fill>
    <fill>
      <patternFill patternType="solid">
        <fgColor indexed="31"/>
        <bgColor indexed="64"/>
      </patternFill>
    </fill>
    <fill>
      <patternFill patternType="solid">
        <fgColor indexed="26"/>
        <bgColor indexed="64"/>
      </patternFill>
    </fill>
    <fill>
      <patternFill patternType="solid">
        <fgColor indexed="47"/>
        <bgColor indexed="64"/>
      </patternFill>
    </fill>
    <fill>
      <patternFill patternType="solid">
        <fgColor indexed="43"/>
        <bgColor indexed="64"/>
      </patternFill>
    </fill>
  </fills>
  <borders count="1">
    <border>
      <left/>
      <right/>
      <top/>
      <bottom/>
      <diagonal/>
    </border>
  </borders>
  <cellStyleXfs count="17">
    <xf numFmtId="0" fontId="0" fillId="0" borderId="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1" fillId="0" borderId="0"/>
    <xf numFmtId="0" fontId="10" fillId="0" borderId="0"/>
    <xf numFmtId="0" fontId="14" fillId="0" borderId="0"/>
    <xf numFmtId="0" fontId="10" fillId="0" borderId="0"/>
    <xf numFmtId="0" fontId="12" fillId="0" borderId="0"/>
    <xf numFmtId="0" fontId="10" fillId="0" borderId="0"/>
    <xf numFmtId="0" fontId="10" fillId="0" borderId="0"/>
    <xf numFmtId="0" fontId="9" fillId="0" borderId="0"/>
    <xf numFmtId="0" fontId="4" fillId="0" borderId="0"/>
    <xf numFmtId="0" fontId="2" fillId="0" borderId="0"/>
    <xf numFmtId="0" fontId="2" fillId="0" borderId="0"/>
  </cellStyleXfs>
  <cellXfs count="33">
    <xf numFmtId="0" fontId="0" fillId="0" borderId="0" xfId="0"/>
    <xf numFmtId="0" fontId="0" fillId="0" borderId="0" xfId="0" applyFill="1" applyBorder="1" applyAlignment="1"/>
    <xf numFmtId="0" fontId="0" fillId="0" borderId="0" xfId="0" applyAlignment="1"/>
    <xf numFmtId="2" fontId="0" fillId="0" borderId="0" xfId="0" applyNumberFormat="1"/>
    <xf numFmtId="0" fontId="0" fillId="0" borderId="0" xfId="0" applyFill="1"/>
    <xf numFmtId="0" fontId="9" fillId="2" borderId="0" xfId="13" applyFill="1"/>
    <xf numFmtId="0" fontId="0" fillId="0" borderId="0" xfId="0" applyNumberFormat="1" applyFill="1"/>
    <xf numFmtId="11" fontId="0" fillId="0" borderId="0" xfId="0" applyNumberFormat="1" applyFill="1"/>
    <xf numFmtId="0" fontId="0" fillId="3" borderId="0" xfId="0" applyFill="1"/>
    <xf numFmtId="0" fontId="0" fillId="3" borderId="0" xfId="0" applyFill="1" applyAlignment="1"/>
    <xf numFmtId="0" fontId="0" fillId="4" borderId="0" xfId="0" applyFill="1"/>
    <xf numFmtId="0" fontId="6" fillId="0" borderId="0" xfId="1" applyAlignment="1" applyProtection="1"/>
    <xf numFmtId="11" fontId="0" fillId="0" borderId="0" xfId="0" applyNumberFormat="1"/>
    <xf numFmtId="0" fontId="0" fillId="5" borderId="0" xfId="0" applyFill="1"/>
    <xf numFmtId="164" fontId="0" fillId="0" borderId="0" xfId="0" applyNumberFormat="1"/>
    <xf numFmtId="0" fontId="10" fillId="0" borderId="0" xfId="7"/>
    <xf numFmtId="11" fontId="10" fillId="0" borderId="0" xfId="7" applyNumberFormat="1"/>
    <xf numFmtId="0" fontId="4" fillId="0" borderId="0" xfId="14"/>
    <xf numFmtId="0" fontId="3" fillId="0" borderId="0" xfId="14" applyFont="1"/>
    <xf numFmtId="0" fontId="10" fillId="0" borderId="0" xfId="0" applyFont="1"/>
    <xf numFmtId="0" fontId="0" fillId="0" borderId="0" xfId="0"/>
    <xf numFmtId="0" fontId="0" fillId="0" borderId="0" xfId="0" applyFill="1" applyBorder="1" applyAlignment="1"/>
    <xf numFmtId="0" fontId="0" fillId="0" borderId="0" xfId="0"/>
    <xf numFmtId="0" fontId="0" fillId="0" borderId="0" xfId="0"/>
    <xf numFmtId="0" fontId="0" fillId="0" borderId="0" xfId="0"/>
    <xf numFmtId="0" fontId="0" fillId="0" borderId="0" xfId="0" applyFill="1" applyBorder="1" applyAlignment="1"/>
    <xf numFmtId="0" fontId="0" fillId="0" borderId="0" xfId="0" applyAlignment="1"/>
    <xf numFmtId="0" fontId="0" fillId="0" borderId="0" xfId="0" applyFont="1"/>
    <xf numFmtId="0" fontId="10" fillId="0" borderId="0" xfId="0" applyFont="1" applyFill="1" applyBorder="1" applyAlignment="1"/>
    <xf numFmtId="0" fontId="1" fillId="0" borderId="0" xfId="14" applyFont="1"/>
    <xf numFmtId="0" fontId="0" fillId="0" borderId="0" xfId="0" applyFont="1" applyFill="1" applyBorder="1" applyAlignment="1"/>
    <xf numFmtId="0" fontId="10" fillId="0" borderId="0" xfId="0" applyFont="1" applyAlignment="1"/>
    <xf numFmtId="16" fontId="10" fillId="0" borderId="0" xfId="0" applyNumberFormat="1" applyFont="1"/>
  </cellXfs>
  <cellStyles count="17">
    <cellStyle name="Hyperlink" xfId="1" builtinId="8"/>
    <cellStyle name="Hyperlink 2" xfId="2"/>
    <cellStyle name="Hyperlink 3" xfId="3"/>
    <cellStyle name="Hyperlink 3 2" xfId="4"/>
    <cellStyle name="Hyperlink 3 3" xfId="5"/>
    <cellStyle name="Normal" xfId="0" builtinId="0"/>
    <cellStyle name="Normal 2" xfId="6"/>
    <cellStyle name="Normal 2 2" xfId="7"/>
    <cellStyle name="Normal 3" xfId="8"/>
    <cellStyle name="Normal 3 2" xfId="15"/>
    <cellStyle name="Normal 4" xfId="9"/>
    <cellStyle name="Normal 5" xfId="10"/>
    <cellStyle name="Normal 5 2" xfId="11"/>
    <cellStyle name="Normal 5 3" xfId="12"/>
    <cellStyle name="Normal 6" xfId="14"/>
    <cellStyle name="Normal 6 2" xfId="16"/>
    <cellStyle name="Normal_PJ workshop data file"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xVal>
            <c:numRef>
              <c:f>program!$J$17:$J$36</c:f>
              <c:numCache>
                <c:formatCode>General</c:formatCode>
                <c:ptCount val="20"/>
                <c:pt idx="0">
                  <c:v>499.72101352008644</c:v>
                </c:pt>
                <c:pt idx="1">
                  <c:v>465.9836631823656</c:v>
                </c:pt>
                <c:pt idx="2">
                  <c:v>450.37581325789091</c:v>
                </c:pt>
                <c:pt idx="3">
                  <c:v>421.31824710790039</c:v>
                </c:pt>
                <c:pt idx="4">
                  <c:v>342.44309253077807</c:v>
                </c:pt>
                <c:pt idx="5">
                  <c:v>284.80587811465989</c:v>
                </c:pt>
                <c:pt idx="6">
                  <c:v>241.11238533435682</c:v>
                </c:pt>
                <c:pt idx="7">
                  <c:v>214.79900439089815</c:v>
                </c:pt>
                <c:pt idx="8">
                  <c:v>188.77611000920294</c:v>
                </c:pt>
                <c:pt idx="9">
                  <c:v>173.14579167850161</c:v>
                </c:pt>
                <c:pt idx="10">
                  <c:v>157.82195815543645</c:v>
                </c:pt>
                <c:pt idx="11">
                  <c:v>143.40423619733934</c:v>
                </c:pt>
                <c:pt idx="12">
                  <c:v>135.36810530413015</c:v>
                </c:pt>
                <c:pt idx="13">
                  <c:v>125.93423634485703</c:v>
                </c:pt>
                <c:pt idx="14">
                  <c:v>117.36505180149385</c:v>
                </c:pt>
                <c:pt idx="15">
                  <c:v>110.3895602729133</c:v>
                </c:pt>
                <c:pt idx="16">
                  <c:v>103.44801560349075</c:v>
                </c:pt>
                <c:pt idx="17">
                  <c:v>97.327822483110026</c:v>
                </c:pt>
                <c:pt idx="18">
                  <c:v>93.370043102039816</c:v>
                </c:pt>
                <c:pt idx="19">
                  <c:v>89.125868711652615</c:v>
                </c:pt>
              </c:numCache>
            </c:numRef>
          </c:xVal>
          <c:yVal>
            <c:numRef>
              <c:f>program!$O$38:$O$57</c:f>
              <c:numCache>
                <c:formatCode>General</c:formatCode>
                <c:ptCount val="20"/>
                <c:pt idx="0">
                  <c:v>0.83133478164672847</c:v>
                </c:pt>
                <c:pt idx="1">
                  <c:v>0.82111005783081059</c:v>
                </c:pt>
                <c:pt idx="2">
                  <c:v>0.81576013565063477</c:v>
                </c:pt>
                <c:pt idx="3">
                  <c:v>0.80533504486083984</c:v>
                </c:pt>
                <c:pt idx="4">
                  <c:v>0.76975998878479002</c:v>
                </c:pt>
                <c:pt idx="5">
                  <c:v>0.73488535881042483</c:v>
                </c:pt>
                <c:pt idx="6">
                  <c:v>0.70106043815612795</c:v>
                </c:pt>
                <c:pt idx="7">
                  <c:v>0.67613534927368169</c:v>
                </c:pt>
                <c:pt idx="8">
                  <c:v>0.64773521423339842</c:v>
                </c:pt>
                <c:pt idx="9">
                  <c:v>0.62798528671264653</c:v>
                </c:pt>
                <c:pt idx="10">
                  <c:v>0.60681018829345701</c:v>
                </c:pt>
                <c:pt idx="11">
                  <c:v>0.58491044044494633</c:v>
                </c:pt>
                <c:pt idx="12">
                  <c:v>0.57131047248840328</c:v>
                </c:pt>
                <c:pt idx="13">
                  <c:v>0.55468525886535647</c:v>
                </c:pt>
                <c:pt idx="14">
                  <c:v>0.53858537673950191</c:v>
                </c:pt>
                <c:pt idx="15">
                  <c:v>0.52463526725769039</c:v>
                </c:pt>
                <c:pt idx="16">
                  <c:v>0.51011047363281248</c:v>
                </c:pt>
                <c:pt idx="17">
                  <c:v>0.49663538932800294</c:v>
                </c:pt>
                <c:pt idx="18">
                  <c:v>0.48731060028076173</c:v>
                </c:pt>
                <c:pt idx="19">
                  <c:v>0.47713532447814944</c:v>
                </c:pt>
              </c:numCache>
            </c:numRef>
          </c:yVal>
        </c:ser>
        <c:axId val="165474688"/>
        <c:axId val="163220480"/>
      </c:scatterChart>
      <c:valAx>
        <c:axId val="165474688"/>
        <c:scaling>
          <c:orientation val="minMax"/>
        </c:scaling>
        <c:axPos val="b"/>
        <c:numFmt formatCode="General" sourceLinked="1"/>
        <c:tickLblPos val="nextTo"/>
        <c:crossAx val="163220480"/>
        <c:crosses val="autoZero"/>
        <c:crossBetween val="midCat"/>
      </c:valAx>
      <c:valAx>
        <c:axId val="163220480"/>
        <c:scaling>
          <c:orientation val="minMax"/>
        </c:scaling>
        <c:axPos val="l"/>
        <c:majorGridlines/>
        <c:numFmt formatCode="General" sourceLinked="1"/>
        <c:tickLblPos val="nextTo"/>
        <c:crossAx val="165474688"/>
        <c:crosses val="autoZero"/>
        <c:crossBetween val="midCat"/>
      </c:valAx>
    </c:plotArea>
    <c:legend>
      <c:legendPos val="r"/>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v>vcmax</c:v>
          </c:tx>
          <c:xVal>
            <c:numRef>
              <c:f>'Fig. 6 revised'!$B$94:$B$110</c:f>
              <c:numCache>
                <c:formatCode>General</c:formatCode>
                <c:ptCount val="17"/>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numCache>
            </c:numRef>
          </c:xVal>
          <c:yVal>
            <c:numRef>
              <c:f>'Fig. 6 revised'!$M$94:$M$110</c:f>
              <c:numCache>
                <c:formatCode>General</c:formatCode>
                <c:ptCount val="17"/>
                <c:pt idx="0">
                  <c:v>431.25327869148742</c:v>
                </c:pt>
                <c:pt idx="1">
                  <c:v>359.13029819112637</c:v>
                </c:pt>
                <c:pt idx="2">
                  <c:v>298.20759571953658</c:v>
                </c:pt>
                <c:pt idx="3">
                  <c:v>231.32054007326633</c:v>
                </c:pt>
                <c:pt idx="4">
                  <c:v>179.44191059357513</c:v>
                </c:pt>
                <c:pt idx="5">
                  <c:v>127.21907631458024</c:v>
                </c:pt>
                <c:pt idx="6">
                  <c:v>88.976008585155341</c:v>
                </c:pt>
                <c:pt idx="7">
                  <c:v>58.196452559616652</c:v>
                </c:pt>
                <c:pt idx="8">
                  <c:v>35.358522268206436</c:v>
                </c:pt>
                <c:pt idx="9">
                  <c:v>19.73230691002043</c:v>
                </c:pt>
                <c:pt idx="10">
                  <c:v>10.484497295352579</c:v>
                </c:pt>
                <c:pt idx="11">
                  <c:v>4.9719555391527592</c:v>
                </c:pt>
                <c:pt idx="12">
                  <c:v>1.9172230635185588</c:v>
                </c:pt>
                <c:pt idx="13">
                  <c:v>0.69360191603003585</c:v>
                </c:pt>
                <c:pt idx="14">
                  <c:v>0.16895490422377829</c:v>
                </c:pt>
                <c:pt idx="15">
                  <c:v>4.4871457207819862E-2</c:v>
                </c:pt>
                <c:pt idx="16">
                  <c:v>6.3515981932578723E-3</c:v>
                </c:pt>
              </c:numCache>
            </c:numRef>
          </c:yVal>
        </c:ser>
        <c:ser>
          <c:idx val="1"/>
          <c:order val="1"/>
          <c:tx>
            <c:v>vcmax downregulated</c:v>
          </c:tx>
          <c:xVal>
            <c:numRef>
              <c:f>'Fig. 6 revised'!$B$94:$B$108</c:f>
              <c:numCache>
                <c:formatCode>General</c:formatCode>
                <c:ptCount val="15"/>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numCache>
            </c:numRef>
          </c:xVal>
          <c:yVal>
            <c:numRef>
              <c:f>'Fig. 6 revised'!$F$94:$F$108</c:f>
              <c:numCache>
                <c:formatCode>General</c:formatCode>
                <c:ptCount val="15"/>
                <c:pt idx="0">
                  <c:v>431.25327774108894</c:v>
                </c:pt>
                <c:pt idx="1">
                  <c:v>331.02137486735575</c:v>
                </c:pt>
                <c:pt idx="2">
                  <c:v>253.8202296310476</c:v>
                </c:pt>
                <c:pt idx="3">
                  <c:v>179.00908728968156</c:v>
                </c:pt>
                <c:pt idx="4">
                  <c:v>124.58861262318806</c:v>
                </c:pt>
                <c:pt idx="5">
                  <c:v>80.78472173661784</c:v>
                </c:pt>
                <c:pt idx="6">
                  <c:v>52.759923279998645</c:v>
                </c:pt>
                <c:pt idx="7">
                  <c:v>31.971064053962106</c:v>
                </c:pt>
                <c:pt idx="8">
                  <c:v>17.283106141131725</c:v>
                </c:pt>
                <c:pt idx="9">
                  <c:v>8.6442927430183811</c:v>
                </c:pt>
                <c:pt idx="10">
                  <c:v>4.2366998474729582</c:v>
                </c:pt>
                <c:pt idx="11">
                  <c:v>2.0153272679176375</c:v>
                </c:pt>
                <c:pt idx="12">
                  <c:v>0.77661896401181019</c:v>
                </c:pt>
                <c:pt idx="13">
                  <c:v>0.35225751930279564</c:v>
                </c:pt>
                <c:pt idx="14">
                  <c:v>8.9457037434353737E-2</c:v>
                </c:pt>
              </c:numCache>
            </c:numRef>
          </c:yVal>
        </c:ser>
        <c:axId val="166112640"/>
        <c:axId val="66229376"/>
      </c:scatterChart>
      <c:valAx>
        <c:axId val="166112640"/>
        <c:scaling>
          <c:orientation val="minMax"/>
        </c:scaling>
        <c:axPos val="b"/>
        <c:numFmt formatCode="General" sourceLinked="1"/>
        <c:tickLblPos val="nextTo"/>
        <c:crossAx val="66229376"/>
        <c:crosses val="autoZero"/>
        <c:crossBetween val="midCat"/>
      </c:valAx>
      <c:valAx>
        <c:axId val="66229376"/>
        <c:scaling>
          <c:orientation val="minMax"/>
        </c:scaling>
        <c:axPos val="l"/>
        <c:majorGridlines/>
        <c:numFmt formatCode="General" sourceLinked="1"/>
        <c:tickLblPos val="nextTo"/>
        <c:crossAx val="166112640"/>
        <c:crosses val="autoZero"/>
        <c:crossBetween val="midCat"/>
      </c:valAx>
    </c:plotArea>
    <c:legend>
      <c:legendPos val="r"/>
    </c:legend>
    <c:plotVisOnly val="1"/>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v>vcmax constant</c:v>
          </c:tx>
          <c:xVal>
            <c:numRef>
              <c:f>'Fig. 6 revised'!$B$94:$B$110</c:f>
              <c:numCache>
                <c:formatCode>General</c:formatCode>
                <c:ptCount val="17"/>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numCache>
            </c:numRef>
          </c:xVal>
          <c:yVal>
            <c:numRef>
              <c:f>'Fig. 6 revised'!$O$94:$O$110</c:f>
              <c:numCache>
                <c:formatCode>General</c:formatCode>
                <c:ptCount val="17"/>
                <c:pt idx="0">
                  <c:v>0.90009429202363278</c:v>
                </c:pt>
                <c:pt idx="1">
                  <c:v>1.0347744075807179</c:v>
                </c:pt>
                <c:pt idx="2">
                  <c:v>1.1999602080560583</c:v>
                </c:pt>
                <c:pt idx="3">
                  <c:v>1.3498060462116068</c:v>
                </c:pt>
                <c:pt idx="4">
                  <c:v>1.5448985248697567</c:v>
                </c:pt>
                <c:pt idx="5">
                  <c:v>1.7246100963948425</c:v>
                </c:pt>
                <c:pt idx="6">
                  <c:v>1.9300879418599042</c:v>
                </c:pt>
                <c:pt idx="7">
                  <c:v>2.140203142525559</c:v>
                </c:pt>
                <c:pt idx="8">
                  <c:v>2.344786423187696</c:v>
                </c:pt>
                <c:pt idx="9">
                  <c:v>2.5500266303290262</c:v>
                </c:pt>
                <c:pt idx="10">
                  <c:v>2.7748775982878611</c:v>
                </c:pt>
                <c:pt idx="11">
                  <c:v>3.0000235763038345</c:v>
                </c:pt>
                <c:pt idx="12">
                  <c:v>3.1997104875823239</c:v>
                </c:pt>
                <c:pt idx="13">
                  <c:v>3.4294459648388735</c:v>
                </c:pt>
                <c:pt idx="14">
                  <c:v>3.6150436474362828</c:v>
                </c:pt>
                <c:pt idx="15">
                  <c:v>3.8547124226996345</c:v>
                </c:pt>
                <c:pt idx="16">
                  <c:v>4.054796860078647</c:v>
                </c:pt>
              </c:numCache>
            </c:numRef>
          </c:yVal>
        </c:ser>
        <c:ser>
          <c:idx val="1"/>
          <c:order val="1"/>
          <c:tx>
            <c:v>vcmax downregulated</c:v>
          </c:tx>
          <c:xVal>
            <c:numRef>
              <c:f>'Fig. 6 revised'!$B$94:$B$108</c:f>
              <c:numCache>
                <c:formatCode>General</c:formatCode>
                <c:ptCount val="15"/>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numCache>
            </c:numRef>
          </c:xVal>
          <c:yVal>
            <c:numRef>
              <c:f>'Fig. 6 revised'!$D$94:$D$108</c:f>
              <c:numCache>
                <c:formatCode>General</c:formatCode>
                <c:ptCount val="15"/>
                <c:pt idx="0">
                  <c:v>0.90009429202363278</c:v>
                </c:pt>
                <c:pt idx="1">
                  <c:v>0.98037652875106585</c:v>
                </c:pt>
                <c:pt idx="2">
                  <c:v>1.0996254038061031</c:v>
                </c:pt>
                <c:pt idx="3">
                  <c:v>1.2147589256797391</c:v>
                </c:pt>
                <c:pt idx="4">
                  <c:v>1.368816131124706</c:v>
                </c:pt>
                <c:pt idx="5">
                  <c:v>1.5350967984780235</c:v>
                </c:pt>
                <c:pt idx="6">
                  <c:v>1.7350831568283089</c:v>
                </c:pt>
                <c:pt idx="7">
                  <c:v>1.9401350361966549</c:v>
                </c:pt>
                <c:pt idx="8">
                  <c:v>2.1450776175263342</c:v>
                </c:pt>
                <c:pt idx="9">
                  <c:v>2.3599977375429666</c:v>
                </c:pt>
                <c:pt idx="10">
                  <c:v>2.5898636491219942</c:v>
                </c:pt>
                <c:pt idx="11">
                  <c:v>2.8300094202082513</c:v>
                </c:pt>
                <c:pt idx="12">
                  <c:v>3.0648450008439498</c:v>
                </c:pt>
                <c:pt idx="13">
                  <c:v>3.3247077141956116</c:v>
                </c:pt>
                <c:pt idx="14">
                  <c:v>3.5531284344825678</c:v>
                </c:pt>
              </c:numCache>
            </c:numRef>
          </c:yVal>
        </c:ser>
        <c:axId val="66249856"/>
        <c:axId val="66251392"/>
      </c:scatterChart>
      <c:valAx>
        <c:axId val="66249856"/>
        <c:scaling>
          <c:orientation val="minMax"/>
        </c:scaling>
        <c:axPos val="b"/>
        <c:numFmt formatCode="General" sourceLinked="1"/>
        <c:tickLblPos val="nextTo"/>
        <c:crossAx val="66251392"/>
        <c:crosses val="autoZero"/>
        <c:crossBetween val="midCat"/>
      </c:valAx>
      <c:valAx>
        <c:axId val="66251392"/>
        <c:scaling>
          <c:orientation val="minMax"/>
        </c:scaling>
        <c:axPos val="l"/>
        <c:majorGridlines/>
        <c:numFmt formatCode="General" sourceLinked="1"/>
        <c:tickLblPos val="nextTo"/>
        <c:crossAx val="66249856"/>
        <c:crosses val="autoZero"/>
        <c:crossBetween val="midCat"/>
      </c:valAx>
    </c:plotArea>
    <c:legend>
      <c:legendPos val="r"/>
    </c:legend>
    <c:plotVisOnly val="1"/>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xVal>
            <c:numRef>
              <c:f>'responses to real A'!$F$307:$F$393</c:f>
              <c:numCache>
                <c:formatCode>General</c:formatCode>
                <c:ptCount val="87"/>
                <c:pt idx="0">
                  <c:v>1.089914083480835</c:v>
                </c:pt>
                <c:pt idx="1">
                  <c:v>1.1185052394866943</c:v>
                </c:pt>
                <c:pt idx="2">
                  <c:v>1.0486327409744263</c:v>
                </c:pt>
                <c:pt idx="3">
                  <c:v>1.0127477645874023</c:v>
                </c:pt>
                <c:pt idx="4">
                  <c:v>0.90747839212417603</c:v>
                </c:pt>
                <c:pt idx="5">
                  <c:v>0.85692936182022095</c:v>
                </c:pt>
                <c:pt idx="6">
                  <c:v>0.79040437936782837</c:v>
                </c:pt>
                <c:pt idx="7">
                  <c:v>0.73233973979949951</c:v>
                </c:pt>
                <c:pt idx="8">
                  <c:v>0.69195330142974854</c:v>
                </c:pt>
                <c:pt idx="9">
                  <c:v>0.66469812393188477</c:v>
                </c:pt>
                <c:pt idx="10">
                  <c:v>0.62497061491012573</c:v>
                </c:pt>
                <c:pt idx="11">
                  <c:v>0.61937463283538818</c:v>
                </c:pt>
                <c:pt idx="12">
                  <c:v>0.58471524715423584</c:v>
                </c:pt>
                <c:pt idx="13">
                  <c:v>0.58258742094039917</c:v>
                </c:pt>
                <c:pt idx="14">
                  <c:v>0.57365584373474121</c:v>
                </c:pt>
                <c:pt idx="15">
                  <c:v>0.56265580654144287</c:v>
                </c:pt>
                <c:pt idx="16">
                  <c:v>0.55893844366073608</c:v>
                </c:pt>
                <c:pt idx="17">
                  <c:v>0.5503615140914917</c:v>
                </c:pt>
                <c:pt idx="18">
                  <c:v>0.53870213031768799</c:v>
                </c:pt>
                <c:pt idx="19">
                  <c:v>0.53865581750869751</c:v>
                </c:pt>
                <c:pt idx="21">
                  <c:v>0.7648586630821228</c:v>
                </c:pt>
                <c:pt idx="22">
                  <c:v>0.56741207838058472</c:v>
                </c:pt>
                <c:pt idx="23">
                  <c:v>0.41568693518638611</c:v>
                </c:pt>
                <c:pt idx="24">
                  <c:v>0.30795001983642578</c:v>
                </c:pt>
                <c:pt idx="25">
                  <c:v>0.22587123513221741</c:v>
                </c:pt>
                <c:pt idx="26">
                  <c:v>0.15865586698055267</c:v>
                </c:pt>
                <c:pt idx="27">
                  <c:v>0.12546157836914063</c:v>
                </c:pt>
                <c:pt idx="28">
                  <c:v>0.10209224373102188</c:v>
                </c:pt>
                <c:pt idx="29">
                  <c:v>9.0033829212188721E-2</c:v>
                </c:pt>
                <c:pt idx="30">
                  <c:v>8.791351318359375E-2</c:v>
                </c:pt>
                <c:pt idx="31">
                  <c:v>7.6756283640861511E-2</c:v>
                </c:pt>
                <c:pt idx="32">
                  <c:v>0.13920076191425323</c:v>
                </c:pt>
                <c:pt idx="33">
                  <c:v>5.708351731300354E-2</c:v>
                </c:pt>
                <c:pt idx="34">
                  <c:v>2.0522404462099075E-2</c:v>
                </c:pt>
                <c:pt idx="35">
                  <c:v>6.2011806294322014E-3</c:v>
                </c:pt>
                <c:pt idx="36">
                  <c:v>1.5178107423707843E-3</c:v>
                </c:pt>
                <c:pt idx="37">
                  <c:v>2.0097827655263245E-4</c:v>
                </c:pt>
                <c:pt idx="39">
                  <c:v>0.84941011667251587</c:v>
                </c:pt>
                <c:pt idx="40">
                  <c:v>0.46195137500762939</c:v>
                </c:pt>
                <c:pt idx="41">
                  <c:v>0.22677150368690491</c:v>
                </c:pt>
                <c:pt idx="42">
                  <c:v>0.12668204307556152</c:v>
                </c:pt>
                <c:pt idx="43">
                  <c:v>9.294264018535614E-2</c:v>
                </c:pt>
                <c:pt idx="44">
                  <c:v>6.8630136549472809E-2</c:v>
                </c:pt>
                <c:pt idx="45">
                  <c:v>6.3425265252590179E-2</c:v>
                </c:pt>
                <c:pt idx="46">
                  <c:v>6.7927590571343899E-3</c:v>
                </c:pt>
                <c:pt idx="47">
                  <c:v>6.7927590571343899E-3</c:v>
                </c:pt>
                <c:pt idx="49">
                  <c:v>0.76905924081802368</c:v>
                </c:pt>
                <c:pt idx="50">
                  <c:v>0.56288224458694458</c:v>
                </c:pt>
                <c:pt idx="51">
                  <c:v>0.40932896733283997</c:v>
                </c:pt>
                <c:pt idx="52">
                  <c:v>0.30129298567771912</c:v>
                </c:pt>
                <c:pt idx="53">
                  <c:v>0.21113130450248718</c:v>
                </c:pt>
                <c:pt idx="54">
                  <c:v>0.15654824674129486</c:v>
                </c:pt>
                <c:pt idx="55">
                  <c:v>0.11744129657745361</c:v>
                </c:pt>
                <c:pt idx="56">
                  <c:v>0.10119350254535675</c:v>
                </c:pt>
                <c:pt idx="57">
                  <c:v>9.0380750596523285E-2</c:v>
                </c:pt>
                <c:pt idx="58">
                  <c:v>7.7660523355007172E-2</c:v>
                </c:pt>
                <c:pt idx="59">
                  <c:v>7.7394820749759674E-2</c:v>
                </c:pt>
                <c:pt idx="60">
                  <c:v>7.0872262120246887E-2</c:v>
                </c:pt>
                <c:pt idx="61">
                  <c:v>5.7552989572286606E-2</c:v>
                </c:pt>
                <c:pt idx="62">
                  <c:v>2.0714862272143364E-2</c:v>
                </c:pt>
                <c:pt idx="63">
                  <c:v>6.2635205686092377E-3</c:v>
                </c:pt>
                <c:pt idx="64">
                  <c:v>1.5331908361986279E-3</c:v>
                </c:pt>
                <c:pt idx="65">
                  <c:v>2.0316484733484685E-4</c:v>
                </c:pt>
                <c:pt idx="67">
                  <c:v>0.99230265617370605</c:v>
                </c:pt>
                <c:pt idx="68">
                  <c:v>0.93124806880950928</c:v>
                </c:pt>
                <c:pt idx="69">
                  <c:v>0.88707226514816284</c:v>
                </c:pt>
                <c:pt idx="70">
                  <c:v>0.9108385443687439</c:v>
                </c:pt>
                <c:pt idx="71">
                  <c:v>0.82969504594802856</c:v>
                </c:pt>
                <c:pt idx="72">
                  <c:v>0.7285231351852417</c:v>
                </c:pt>
                <c:pt idx="73">
                  <c:v>0.66978085041046143</c:v>
                </c:pt>
                <c:pt idx="74">
                  <c:v>0.62719506025314331</c:v>
                </c:pt>
                <c:pt idx="75">
                  <c:v>0.59011125564575195</c:v>
                </c:pt>
                <c:pt idx="76">
                  <c:v>0.5760611891746521</c:v>
                </c:pt>
                <c:pt idx="77">
                  <c:v>0.56556206941604614</c:v>
                </c:pt>
                <c:pt idx="78">
                  <c:v>0.52950245141983032</c:v>
                </c:pt>
                <c:pt idx="79">
                  <c:v>0.53132379055023193</c:v>
                </c:pt>
                <c:pt idx="80">
                  <c:v>0.50132215023040771</c:v>
                </c:pt>
                <c:pt idx="81">
                  <c:v>0.49789285659790039</c:v>
                </c:pt>
                <c:pt idx="82">
                  <c:v>0.49331158399581909</c:v>
                </c:pt>
                <c:pt idx="83">
                  <c:v>0.48777621984481812</c:v>
                </c:pt>
                <c:pt idx="84">
                  <c:v>0.48151320219039917</c:v>
                </c:pt>
                <c:pt idx="85">
                  <c:v>0.47612625360488892</c:v>
                </c:pt>
                <c:pt idx="86">
                  <c:v>0.49056392908096313</c:v>
                </c:pt>
              </c:numCache>
            </c:numRef>
          </c:xVal>
          <c:yVal>
            <c:numRef>
              <c:f>'responses to real A'!$E$307:$E$393</c:f>
              <c:numCache>
                <c:formatCode>General</c:formatCode>
                <c:ptCount val="87"/>
                <c:pt idx="0">
                  <c:v>0.87290334701538086</c:v>
                </c:pt>
                <c:pt idx="1">
                  <c:v>0.86890047788619995</c:v>
                </c:pt>
                <c:pt idx="2">
                  <c:v>0.86503815650939941</c:v>
                </c:pt>
                <c:pt idx="3">
                  <c:v>0.86114203929901123</c:v>
                </c:pt>
                <c:pt idx="4">
                  <c:v>0.84217619895935059</c:v>
                </c:pt>
                <c:pt idx="5">
                  <c:v>0.82375472784042358</c:v>
                </c:pt>
                <c:pt idx="6">
                  <c:v>0.80602520704269409</c:v>
                </c:pt>
                <c:pt idx="7">
                  <c:v>0.78877967596054077</c:v>
                </c:pt>
                <c:pt idx="8">
                  <c:v>0.77205741405487061</c:v>
                </c:pt>
                <c:pt idx="9">
                  <c:v>0.75584977865219116</c:v>
                </c:pt>
                <c:pt idx="10">
                  <c:v>0.74031656980514526</c:v>
                </c:pt>
                <c:pt idx="11">
                  <c:v>0.72526538372039795</c:v>
                </c:pt>
                <c:pt idx="12">
                  <c:v>0.71073669195175171</c:v>
                </c:pt>
                <c:pt idx="13">
                  <c:v>0.69692784547805786</c:v>
                </c:pt>
                <c:pt idx="14">
                  <c:v>0.68368566036224365</c:v>
                </c:pt>
                <c:pt idx="15">
                  <c:v>0.67095082998275757</c:v>
                </c:pt>
                <c:pt idx="16">
                  <c:v>0.65897691249847412</c:v>
                </c:pt>
                <c:pt idx="17">
                  <c:v>0.6475989818572998</c:v>
                </c:pt>
                <c:pt idx="18">
                  <c:v>0.63679611682891846</c:v>
                </c:pt>
                <c:pt idx="19">
                  <c:v>0.62651753425598145</c:v>
                </c:pt>
                <c:pt idx="21">
                  <c:v>0.80602520704269409</c:v>
                </c:pt>
                <c:pt idx="22">
                  <c:v>0.74750268459320068</c:v>
                </c:pt>
                <c:pt idx="23">
                  <c:v>0.67620611190795898</c:v>
                </c:pt>
                <c:pt idx="24">
                  <c:v>0.5910603404045105</c:v>
                </c:pt>
                <c:pt idx="25">
                  <c:v>0.49358415603637695</c:v>
                </c:pt>
                <c:pt idx="26">
                  <c:v>0.38503479957580566</c:v>
                </c:pt>
                <c:pt idx="27">
                  <c:v>0.28166317939758301</c:v>
                </c:pt>
                <c:pt idx="28">
                  <c:v>0.20065850019454956</c:v>
                </c:pt>
                <c:pt idx="29">
                  <c:v>0.14810742437839508</c:v>
                </c:pt>
                <c:pt idx="30">
                  <c:v>0.11172289401292801</c:v>
                </c:pt>
                <c:pt idx="31">
                  <c:v>8.7438270449638367E-2</c:v>
                </c:pt>
                <c:pt idx="32">
                  <c:v>7.1204543113708496E-2</c:v>
                </c:pt>
                <c:pt idx="33">
                  <c:v>5.8392118662595749E-2</c:v>
                </c:pt>
                <c:pt idx="34">
                  <c:v>5.1418691873550415E-2</c:v>
                </c:pt>
                <c:pt idx="35">
                  <c:v>4.3775726109743118E-2</c:v>
                </c:pt>
                <c:pt idx="36">
                  <c:v>4.1642606258392334E-2</c:v>
                </c:pt>
                <c:pt idx="37">
                  <c:v>3.9989560842514038E-2</c:v>
                </c:pt>
                <c:pt idx="39">
                  <c:v>0.84276664257049561</c:v>
                </c:pt>
                <c:pt idx="40">
                  <c:v>0.69888120889663696</c:v>
                </c:pt>
                <c:pt idx="41">
                  <c:v>0.50802516937255859</c:v>
                </c:pt>
                <c:pt idx="42">
                  <c:v>0.29741644859313965</c:v>
                </c:pt>
                <c:pt idx="43">
                  <c:v>0.16160736978054047</c:v>
                </c:pt>
                <c:pt idx="44">
                  <c:v>9.6490539610385895E-2</c:v>
                </c:pt>
                <c:pt idx="45">
                  <c:v>6.7539200186729431E-2</c:v>
                </c:pt>
                <c:pt idx="46">
                  <c:v>6.0380090028047562E-2</c:v>
                </c:pt>
                <c:pt idx="47">
                  <c:v>2.2856309078633785E-3</c:v>
                </c:pt>
                <c:pt idx="49">
                  <c:v>0.84959036111831665</c:v>
                </c:pt>
                <c:pt idx="50">
                  <c:v>0.780098557472229</c:v>
                </c:pt>
                <c:pt idx="51">
                  <c:v>0.69735908508300781</c:v>
                </c:pt>
                <c:pt idx="52">
                  <c:v>0.60111874341964722</c:v>
                </c:pt>
                <c:pt idx="53">
                  <c:v>0.49455726146697998</c:v>
                </c:pt>
                <c:pt idx="54">
                  <c:v>0.38160872459411621</c:v>
                </c:pt>
                <c:pt idx="55">
                  <c:v>0.27984941005706787</c:v>
                </c:pt>
                <c:pt idx="56">
                  <c:v>0.20174366235733032</c:v>
                </c:pt>
                <c:pt idx="57">
                  <c:v>0.14983260631561279</c:v>
                </c:pt>
                <c:pt idx="58">
                  <c:v>0.11293911933898926</c:v>
                </c:pt>
                <c:pt idx="59">
                  <c:v>8.7756827473640442E-2</c:v>
                </c:pt>
                <c:pt idx="60">
                  <c:v>7.1539193391799927E-2</c:v>
                </c:pt>
                <c:pt idx="61">
                  <c:v>5.8236744254827499E-2</c:v>
                </c:pt>
                <c:pt idx="62">
                  <c:v>5.1189381629228592E-2</c:v>
                </c:pt>
                <c:pt idx="63">
                  <c:v>4.3536096811294556E-2</c:v>
                </c:pt>
                <c:pt idx="64">
                  <c:v>4.1353784501552582E-2</c:v>
                </c:pt>
                <c:pt idx="65">
                  <c:v>3.9865687489509583E-2</c:v>
                </c:pt>
                <c:pt idx="67">
                  <c:v>0.88202643394470215</c:v>
                </c:pt>
                <c:pt idx="68">
                  <c:v>0.87364077568054199</c:v>
                </c:pt>
                <c:pt idx="69">
                  <c:v>0.86548572778701782</c:v>
                </c:pt>
                <c:pt idx="70">
                  <c:v>0.85945636034011841</c:v>
                </c:pt>
                <c:pt idx="71">
                  <c:v>0.83966249227523804</c:v>
                </c:pt>
                <c:pt idx="72">
                  <c:v>0.8205077052116394</c:v>
                </c:pt>
                <c:pt idx="73">
                  <c:v>0.80172789096832275</c:v>
                </c:pt>
                <c:pt idx="74">
                  <c:v>0.78349041938781738</c:v>
                </c:pt>
                <c:pt idx="75">
                  <c:v>0.76582735776901245</c:v>
                </c:pt>
                <c:pt idx="76">
                  <c:v>0.74873733520507813</c:v>
                </c:pt>
                <c:pt idx="77">
                  <c:v>0.73208886384963989</c:v>
                </c:pt>
                <c:pt idx="78">
                  <c:v>0.71602535247802734</c:v>
                </c:pt>
                <c:pt idx="79">
                  <c:v>0.70072305202484131</c:v>
                </c:pt>
                <c:pt idx="80">
                  <c:v>0.68599593639373779</c:v>
                </c:pt>
                <c:pt idx="81">
                  <c:v>0.67188042402267456</c:v>
                </c:pt>
                <c:pt idx="82">
                  <c:v>0.65854179859161377</c:v>
                </c:pt>
                <c:pt idx="83">
                  <c:v>0.64586758613586426</c:v>
                </c:pt>
                <c:pt idx="84">
                  <c:v>0.63380128145217896</c:v>
                </c:pt>
                <c:pt idx="85">
                  <c:v>0.62244111299514771</c:v>
                </c:pt>
                <c:pt idx="86">
                  <c:v>0.61182725429534912</c:v>
                </c:pt>
              </c:numCache>
            </c:numRef>
          </c:yVal>
        </c:ser>
        <c:axId val="71212032"/>
        <c:axId val="71217920"/>
      </c:scatterChart>
      <c:valAx>
        <c:axId val="71212032"/>
        <c:scaling>
          <c:orientation val="minMax"/>
        </c:scaling>
        <c:axPos val="b"/>
        <c:numFmt formatCode="General" sourceLinked="1"/>
        <c:tickLblPos val="nextTo"/>
        <c:crossAx val="71217920"/>
        <c:crosses val="autoZero"/>
        <c:crossBetween val="midCat"/>
      </c:valAx>
      <c:valAx>
        <c:axId val="71217920"/>
        <c:scaling>
          <c:orientation val="minMax"/>
        </c:scaling>
        <c:axPos val="l"/>
        <c:majorGridlines/>
        <c:numFmt formatCode="General" sourceLinked="1"/>
        <c:tickLblPos val="nextTo"/>
        <c:crossAx val="71212032"/>
        <c:crosses val="autoZero"/>
        <c:crossBetween val="midCat"/>
      </c:valAx>
    </c:plotArea>
    <c:legend>
      <c:legendPos val="r"/>
    </c:legend>
    <c:plotVisOnly val="1"/>
  </c:chart>
  <c:printSettings>
    <c:headerFooter/>
    <c:pageMargins b="0.75000000000000144" l="0.70000000000000062" r="0.70000000000000062" t="0.75000000000000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worksheet'!$D$16:$D$54</c:f>
              <c:numCache>
                <c:formatCode>General</c:formatCode>
                <c:ptCount val="39"/>
                <c:pt idx="0">
                  <c:v>-1</c:v>
                </c:pt>
                <c:pt idx="1">
                  <c:v>0.24054584016967473</c:v>
                </c:pt>
                <c:pt idx="2">
                  <c:v>1.450689750583027</c:v>
                </c:pt>
                <c:pt idx="3">
                  <c:v>2.6315357881994612</c:v>
                </c:pt>
                <c:pt idx="4">
                  <c:v>3.784135190400864</c:v>
                </c:pt>
                <c:pt idx="5">
                  <c:v>4.9094894963589919</c:v>
                </c:pt>
                <c:pt idx="6">
                  <c:v>6.0085534496401518</c:v>
                </c:pt>
                <c:pt idx="7">
                  <c:v>7.0822376997281093</c:v>
                </c:pt>
                <c:pt idx="8">
                  <c:v>8.1314113185316099</c:v>
                </c:pt>
                <c:pt idx="9">
                  <c:v>9.1569041464924101</c:v>
                </c:pt>
                <c:pt idx="10">
                  <c:v>10.159508981604809</c:v>
                </c:pt>
                <c:pt idx="11">
                  <c:v>11.139983623482502</c:v>
                </c:pt>
                <c:pt idx="12">
                  <c:v>12.099052783548716</c:v>
                </c:pt>
                <c:pt idx="13">
                  <c:v>13.037409871468878</c:v>
                </c:pt>
                <c:pt idx="14">
                  <c:v>13.955718667080189</c:v>
                </c:pt>
                <c:pt idx="15">
                  <c:v>14.854614886290021</c:v>
                </c:pt>
                <c:pt idx="16">
                  <c:v>15.734707648706095</c:v>
                </c:pt>
                <c:pt idx="17">
                  <c:v>16.596580854118667</c:v>
                </c:pt>
                <c:pt idx="18">
                  <c:v>17.440794474371263</c:v>
                </c:pt>
                <c:pt idx="19">
                  <c:v>18.267885766626321</c:v>
                </c:pt>
                <c:pt idx="20">
                  <c:v>19.07837041354966</c:v>
                </c:pt>
                <c:pt idx="21">
                  <c:v>19.872743595498413</c:v>
                </c:pt>
                <c:pt idx="22">
                  <c:v>20.651480999396806</c:v>
                </c:pt>
                <c:pt idx="23">
                  <c:v>21.415039768618943</c:v>
                </c:pt>
                <c:pt idx="24">
                  <c:v>22.163859397864194</c:v>
                </c:pt>
                <c:pt idx="25">
                  <c:v>22.898362576706035</c:v>
                </c:pt>
                <c:pt idx="26">
                  <c:v>23.618955985216409</c:v>
                </c:pt>
                <c:pt idx="27">
                  <c:v>24.32603104481225</c:v>
                </c:pt>
                <c:pt idx="28">
                  <c:v>25.019964627237027</c:v>
                </c:pt>
                <c:pt idx="29">
                  <c:v>25.701119724375538</c:v>
                </c:pt>
                <c:pt idx="30">
                  <c:v>26.369846081403221</c:v>
                </c:pt>
                <c:pt idx="31">
                  <c:v>27.026480795590423</c:v>
                </c:pt>
                <c:pt idx="32">
                  <c:v>27.671348882915691</c:v>
                </c:pt>
                <c:pt idx="33">
                  <c:v>28.3047638144891</c:v>
                </c:pt>
                <c:pt idx="34">
                  <c:v>28.927028024645789</c:v>
                </c:pt>
                <c:pt idx="35">
                  <c:v>29.53843339243998</c:v>
                </c:pt>
                <c:pt idx="36">
                  <c:v>30.139261698150062</c:v>
                </c:pt>
                <c:pt idx="37">
                  <c:v>30.72978505629478</c:v>
                </c:pt>
                <c:pt idx="38">
                  <c:v>31.310266326558597</c:v>
                </c:pt>
              </c:numCache>
            </c:numRef>
          </c:yVal>
        </c:ser>
        <c:ser>
          <c:idx val="1"/>
          <c:order val="1"/>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worksheet'!$E$16:$E$54</c:f>
              <c:numCache>
                <c:formatCode>General</c:formatCode>
                <c:ptCount val="39"/>
                <c:pt idx="0">
                  <c:v>-1</c:v>
                </c:pt>
                <c:pt idx="1">
                  <c:v>0.36090130549318089</c:v>
                </c:pt>
                <c:pt idx="2">
                  <c:v>1.5759917568263782</c:v>
                </c:pt>
                <c:pt idx="3">
                  <c:v>2.667513687685013</c:v>
                </c:pt>
                <c:pt idx="4">
                  <c:v>3.6534044639444252</c:v>
                </c:pt>
                <c:pt idx="5">
                  <c:v>4.5482899377798915</c:v>
                </c:pt>
                <c:pt idx="6">
                  <c:v>5.3642149286298757</c:v>
                </c:pt>
                <c:pt idx="7">
                  <c:v>6.1111885118023963</c:v>
                </c:pt>
                <c:pt idx="8">
                  <c:v>6.7975966693122807</c:v>
                </c:pt>
                <c:pt idx="9">
                  <c:v>7.4305184768863288</c:v>
                </c:pt>
                <c:pt idx="10">
                  <c:v>8.0159711488923246</c:v>
                </c:pt>
                <c:pt idx="11">
                  <c:v>8.5591019409942728</c:v>
                </c:pt>
                <c:pt idx="12">
                  <c:v>9.0643398871356169</c:v>
                </c:pt>
                <c:pt idx="13">
                  <c:v>9.535516848143839</c:v>
                </c:pt>
                <c:pt idx="14">
                  <c:v>9.9759648769123945</c:v>
                </c:pt>
                <c:pt idx="15">
                  <c:v>10.388595135442937</c:v>
                </c:pt>
                <c:pt idx="16">
                  <c:v>10.775962316920587</c:v>
                </c:pt>
                <c:pt idx="17">
                  <c:v>11.140317586627287</c:v>
                </c:pt>
                <c:pt idx="18">
                  <c:v>11.483652360004756</c:v>
                </c:pt>
                <c:pt idx="19">
                  <c:v>11.807734716183489</c:v>
                </c:pt>
                <c:pt idx="20">
                  <c:v>12.11413985293429</c:v>
                </c:pt>
                <c:pt idx="21">
                  <c:v>12.404275690388587</c:v>
                </c:pt>
                <c:pt idx="22">
                  <c:v>12.679404501767666</c:v>
                </c:pt>
                <c:pt idx="23">
                  <c:v>12.940661272236872</c:v>
                </c:pt>
                <c:pt idx="24">
                  <c:v>13.189069349076444</c:v>
                </c:pt>
                <c:pt idx="25">
                  <c:v>13.425553838227717</c:v>
                </c:pt>
                <c:pt idx="26">
                  <c:v>13.650953116950026</c:v>
                </c:pt>
                <c:pt idx="27">
                  <c:v>13.866028764585817</c:v>
                </c:pt>
                <c:pt idx="28">
                  <c:v>14.071474159342392</c:v>
                </c:pt>
                <c:pt idx="29">
                  <c:v>14.267921945569482</c:v>
                </c:pt>
                <c:pt idx="30">
                  <c:v>14.455950540958272</c:v>
                </c:pt>
                <c:pt idx="31">
                  <c:v>14.636089824652423</c:v>
                </c:pt>
                <c:pt idx="32">
                  <c:v>14.80882612408517</c:v>
                </c:pt>
                <c:pt idx="33">
                  <c:v>14.974606599379689</c:v>
                </c:pt>
                <c:pt idx="34">
                  <c:v>15.133843108544159</c:v>
                </c:pt>
                <c:pt idx="35">
                  <c:v>15.286915623805488</c:v>
                </c:pt>
                <c:pt idx="36">
                  <c:v>15.434175258740439</c:v>
                </c:pt>
                <c:pt idx="37">
                  <c:v>15.575946956969737</c:v>
                </c:pt>
                <c:pt idx="38">
                  <c:v>15.712531885751627</c:v>
                </c:pt>
              </c:numCache>
            </c:numRef>
          </c:yVal>
        </c:ser>
        <c:ser>
          <c:idx val="2"/>
          <c:order val="2"/>
          <c:xVal>
            <c:numRef>
              <c:f>'A-ci worksheet'!$C$16:$C$54</c:f>
              <c:numCache>
                <c:formatCode>General</c:formatCode>
                <c:ptCount val="39"/>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numCache>
            </c:numRef>
          </c:xVal>
          <c:yVal>
            <c:numRef>
              <c:f>'A-ci worksheet'!$F$16:$F$54</c:f>
              <c:numCache>
                <c:formatCode>General</c:formatCode>
                <c:ptCount val="39"/>
                <c:pt idx="0">
                  <c:v>-1</c:v>
                </c:pt>
                <c:pt idx="1">
                  <c:v>0.24054584016967473</c:v>
                </c:pt>
                <c:pt idx="2">
                  <c:v>1.450689750583027</c:v>
                </c:pt>
                <c:pt idx="3">
                  <c:v>2.6315357881994612</c:v>
                </c:pt>
                <c:pt idx="4">
                  <c:v>3.6534044639444252</c:v>
                </c:pt>
                <c:pt idx="5">
                  <c:v>4.5482899377798915</c:v>
                </c:pt>
                <c:pt idx="6">
                  <c:v>5.3642149286298757</c:v>
                </c:pt>
                <c:pt idx="7">
                  <c:v>6.1111885118023963</c:v>
                </c:pt>
                <c:pt idx="8">
                  <c:v>6.7975966693122807</c:v>
                </c:pt>
                <c:pt idx="9">
                  <c:v>7.4305184768863288</c:v>
                </c:pt>
                <c:pt idx="10">
                  <c:v>8.0159711488923246</c:v>
                </c:pt>
                <c:pt idx="11">
                  <c:v>8.5591019409942728</c:v>
                </c:pt>
                <c:pt idx="12">
                  <c:v>9.0643398871356169</c:v>
                </c:pt>
                <c:pt idx="13">
                  <c:v>9.535516848143839</c:v>
                </c:pt>
                <c:pt idx="14">
                  <c:v>9.9759648769123945</c:v>
                </c:pt>
                <c:pt idx="15">
                  <c:v>10.388595135442937</c:v>
                </c:pt>
                <c:pt idx="16">
                  <c:v>10.775962316920587</c:v>
                </c:pt>
                <c:pt idx="17">
                  <c:v>11.140317586627287</c:v>
                </c:pt>
                <c:pt idx="18">
                  <c:v>11.483652360004756</c:v>
                </c:pt>
                <c:pt idx="19">
                  <c:v>11.807734716183489</c:v>
                </c:pt>
                <c:pt idx="20">
                  <c:v>12.11413985293429</c:v>
                </c:pt>
                <c:pt idx="21">
                  <c:v>12.404275690388587</c:v>
                </c:pt>
                <c:pt idx="22">
                  <c:v>12.679404501767666</c:v>
                </c:pt>
                <c:pt idx="23">
                  <c:v>12.940661272236872</c:v>
                </c:pt>
                <c:pt idx="24">
                  <c:v>13.189069349076444</c:v>
                </c:pt>
                <c:pt idx="25">
                  <c:v>13.425553838227717</c:v>
                </c:pt>
                <c:pt idx="26">
                  <c:v>13.650953116950026</c:v>
                </c:pt>
                <c:pt idx="27">
                  <c:v>13.866028764585817</c:v>
                </c:pt>
                <c:pt idx="28">
                  <c:v>14.071474159342392</c:v>
                </c:pt>
                <c:pt idx="29">
                  <c:v>14.267921945569482</c:v>
                </c:pt>
                <c:pt idx="30">
                  <c:v>14.455950540958272</c:v>
                </c:pt>
                <c:pt idx="31">
                  <c:v>14.636089824652423</c:v>
                </c:pt>
                <c:pt idx="32">
                  <c:v>14.80882612408517</c:v>
                </c:pt>
                <c:pt idx="33">
                  <c:v>14.974606599379689</c:v>
                </c:pt>
                <c:pt idx="34">
                  <c:v>15.133843108544159</c:v>
                </c:pt>
                <c:pt idx="35">
                  <c:v>15.286915623805488</c:v>
                </c:pt>
                <c:pt idx="36">
                  <c:v>15.434175258740439</c:v>
                </c:pt>
                <c:pt idx="37">
                  <c:v>15.575946956969737</c:v>
                </c:pt>
                <c:pt idx="38">
                  <c:v>15.712531885751627</c:v>
                </c:pt>
              </c:numCache>
            </c:numRef>
          </c:yVal>
        </c:ser>
        <c:axId val="65689472"/>
        <c:axId val="65691008"/>
      </c:scatterChart>
      <c:valAx>
        <c:axId val="65689472"/>
        <c:scaling>
          <c:orientation val="minMax"/>
        </c:scaling>
        <c:axPos val="b"/>
        <c:numFmt formatCode="General" sourceLinked="1"/>
        <c:tickLblPos val="nextTo"/>
        <c:crossAx val="65691008"/>
        <c:crosses val="autoZero"/>
        <c:crossBetween val="midCat"/>
      </c:valAx>
      <c:valAx>
        <c:axId val="65691008"/>
        <c:scaling>
          <c:orientation val="minMax"/>
        </c:scaling>
        <c:axPos val="l"/>
        <c:majorGridlines/>
        <c:numFmt formatCode="General" sourceLinked="1"/>
        <c:tickLblPos val="nextTo"/>
        <c:crossAx val="65689472"/>
        <c:crosses val="autoZero"/>
        <c:crossBetween val="midCat"/>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worksheet'!$L$25:$L$120</c:f>
              <c:numCache>
                <c:formatCode>General</c:formatCode>
                <c:ptCount val="96"/>
                <c:pt idx="0">
                  <c:v>3.8251771777093544</c:v>
                </c:pt>
                <c:pt idx="1">
                  <c:v>12.019352165773835</c:v>
                </c:pt>
                <c:pt idx="2">
                  <c:v>19.199022173884941</c:v>
                </c:pt>
                <c:pt idx="3">
                  <c:v>25.541609876129339</c:v>
                </c:pt>
                <c:pt idx="4">
                  <c:v>31.185445223848919</c:v>
                </c:pt>
                <c:pt idx="5">
                  <c:v>36.239970272114206</c:v>
                </c:pt>
                <c:pt idx="6">
                  <c:v>40.792905956706505</c:v>
                </c:pt>
                <c:pt idx="7">
                  <c:v>44.915386130781457</c:v>
                </c:pt>
                <c:pt idx="8">
                  <c:v>48.665701145185508</c:v>
                </c:pt>
                <c:pt idx="9">
                  <c:v>52.092071339501913</c:v>
                </c:pt>
                <c:pt idx="10">
                  <c:v>55.234731582137513</c:v>
                </c:pt>
                <c:pt idx="11">
                  <c:v>58.127518584417004</c:v>
                </c:pt>
                <c:pt idx="12">
                  <c:v>60.799094068793025</c:v>
                </c:pt>
                <c:pt idx="13">
                  <c:v>63.273897663817408</c:v>
                </c:pt>
                <c:pt idx="14">
                  <c:v>65.572896724504332</c:v>
                </c:pt>
                <c:pt idx="15">
                  <c:v>67.714181837106537</c:v>
                </c:pt>
                <c:pt idx="16">
                  <c:v>69.713443831340271</c:v>
                </c:pt>
                <c:pt idx="17">
                  <c:v>71.584358924149015</c:v>
                </c:pt>
                <c:pt idx="18">
                  <c:v>73.3389019949595</c:v>
                </c:pt>
                <c:pt idx="19">
                  <c:v>74.987603166436557</c:v>
                </c:pt>
                <c:pt idx="20">
                  <c:v>76.539759310490979</c:v>
                </c:pt>
                <c:pt idx="21">
                  <c:v>78.003609454988734</c:v>
                </c:pt>
                <c:pt idx="22">
                  <c:v>79.386481080563328</c:v>
                </c:pt>
                <c:pt idx="23">
                  <c:v>80.694912791976833</c:v>
                </c:pt>
                <c:pt idx="24">
                  <c:v>81.934757698515995</c:v>
                </c:pt>
                <c:pt idx="25">
                  <c:v>83.11127095228268</c:v>
                </c:pt>
                <c:pt idx="26">
                  <c:v>84.229184206112052</c:v>
                </c:pt>
                <c:pt idx="27">
                  <c:v>85.292769215993673</c:v>
                </c:pt>
                <c:pt idx="28">
                  <c:v>86.30589239063427</c:v>
                </c:pt>
                <c:pt idx="29">
                  <c:v>87.272061756622506</c:v>
                </c:pt>
                <c:pt idx="30">
                  <c:v>88.194467541595401</c:v>
                </c:pt>
                <c:pt idx="31">
                  <c:v>89.076017364774913</c:v>
                </c:pt>
                <c:pt idx="32">
                  <c:v>89.919366852753726</c:v>
                </c:pt>
                <c:pt idx="33">
                  <c:v>90.726946359650029</c:v>
                </c:pt>
                <c:pt idx="34">
                  <c:v>91.500984357927308</c:v>
                </c:pt>
                <c:pt idx="35">
                  <c:v>92.243527974007506</c:v>
                </c:pt>
                <c:pt idx="36">
                  <c:v>92.956461067179177</c:v>
                </c:pt>
                <c:pt idx="37">
                  <c:v>93.641520187979836</c:v>
                </c:pt>
                <c:pt idx="38">
                  <c:v>94.300308700664957</c:v>
                </c:pt>
                <c:pt idx="39">
                  <c:v>94.934309311539948</c:v>
                </c:pt>
                <c:pt idx="40">
                  <c:v>95.544895209214801</c:v>
                </c:pt>
                <c:pt idx="41">
                  <c:v>96.133339992952301</c:v>
                </c:pt>
                <c:pt idx="42">
                  <c:v>96.70082654018276</c:v>
                </c:pt>
                <c:pt idx="43">
                  <c:v>97.248454943111568</c:v>
                </c:pt>
                <c:pt idx="44">
                  <c:v>97.777249626473392</c:v>
                </c:pt>
              </c:numCache>
            </c:numRef>
          </c:yVal>
        </c:ser>
        <c:ser>
          <c:idx val="1"/>
          <c:order val="1"/>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worksheet'!$M$25:$M$120</c:f>
              <c:numCache>
                <c:formatCode>General</c:formatCode>
                <c:ptCount val="96"/>
                <c:pt idx="0">
                  <c:v>0.80096686386734961</c:v>
                </c:pt>
                <c:pt idx="1">
                  <c:v>2.6532436438404812</c:v>
                </c:pt>
                <c:pt idx="2">
                  <c:v>4.4495410717534245</c:v>
                </c:pt>
                <c:pt idx="3">
                  <c:v>6.1923590761512068</c:v>
                </c:pt>
                <c:pt idx="4">
                  <c:v>7.8840509130459617</c:v>
                </c:pt>
                <c:pt idx="5">
                  <c:v>9.5268337671449856</c:v>
                </c:pt>
                <c:pt idx="6">
                  <c:v>11.122798446695816</c:v>
                </c:pt>
                <c:pt idx="7">
                  <c:v>12.6739182610876</c:v>
                </c:pt>
                <c:pt idx="8">
                  <c:v>14.182057160468045</c:v>
                </c:pt>
                <c:pt idx="9">
                  <c:v>15.648977207970232</c:v>
                </c:pt>
                <c:pt idx="10">
                  <c:v>17.076345447530063</c:v>
                </c:pt>
                <c:pt idx="11">
                  <c:v>18.465740223572933</c:v>
                </c:pt>
                <c:pt idx="12">
                  <c:v>19.818657002937961</c:v>
                </c:pt>
                <c:pt idx="13">
                  <c:v>21.136513744187084</c:v>
                </c:pt>
                <c:pt idx="14">
                  <c:v>22.420655854826194</c:v>
                </c:pt>
                <c:pt idx="15">
                  <c:v>23.67236077287086</c:v>
                </c:pt>
                <c:pt idx="16">
                  <c:v>24.892842205553777</c:v>
                </c:pt>
                <c:pt idx="17">
                  <c:v>26.083254054739022</c:v>
                </c:pt>
                <c:pt idx="18">
                  <c:v>27.244694055730093</c:v>
                </c:pt>
                <c:pt idx="19">
                  <c:v>28.378207153591696</c:v>
                </c:pt>
                <c:pt idx="20">
                  <c:v>29.484788638813292</c:v>
                </c:pt>
                <c:pt idx="21">
                  <c:v>30.565387062091954</c:v>
                </c:pt>
                <c:pt idx="22">
                  <c:v>31.620906946176301</c:v>
                </c:pt>
                <c:pt idx="23">
                  <c:v>32.652211311066779</c:v>
                </c:pt>
                <c:pt idx="24">
                  <c:v>33.660124027389017</c:v>
                </c:pt>
                <c:pt idx="25">
                  <c:v>34.645432011427999</c:v>
                </c:pt>
                <c:pt idx="26">
                  <c:v>35.608887274114089</c:v>
                </c:pt>
                <c:pt idx="27">
                  <c:v>36.551208835173512</c:v>
                </c:pt>
                <c:pt idx="28">
                  <c:v>37.473084512682846</c:v>
                </c:pt>
                <c:pt idx="29">
                  <c:v>38.375172597387952</c:v>
                </c:pt>
                <c:pt idx="30">
                  <c:v>39.25810342035237</c:v>
                </c:pt>
                <c:pt idx="31">
                  <c:v>40.122480821780748</c:v>
                </c:pt>
                <c:pt idx="32">
                  <c:v>40.96888352820983</c:v>
                </c:pt>
                <c:pt idx="33">
                  <c:v>41.797866444667612</c:v>
                </c:pt>
                <c:pt idx="34">
                  <c:v>42.609961867863589</c:v>
                </c:pt>
                <c:pt idx="35">
                  <c:v>43.405680625983507</c:v>
                </c:pt>
                <c:pt idx="36">
                  <c:v>44.185513150217425</c:v>
                </c:pt>
                <c:pt idx="37">
                  <c:v>44.949930482744122</c:v>
                </c:pt>
                <c:pt idx="38">
                  <c:v>45.699385225525027</c:v>
                </c:pt>
                <c:pt idx="39">
                  <c:v>46.43431243392353</c:v>
                </c:pt>
                <c:pt idx="40">
                  <c:v>47.155130458857023</c:v>
                </c:pt>
                <c:pt idx="41">
                  <c:v>47.86224174090696</c:v>
                </c:pt>
                <c:pt idx="42">
                  <c:v>48.556033559554308</c:v>
                </c:pt>
                <c:pt idx="43">
                  <c:v>49.23687874047129</c:v>
                </c:pt>
                <c:pt idx="44">
                  <c:v>49.90513632358337</c:v>
                </c:pt>
              </c:numCache>
            </c:numRef>
          </c:yVal>
        </c:ser>
        <c:ser>
          <c:idx val="2"/>
          <c:order val="2"/>
          <c:xVal>
            <c:numRef>
              <c:f>'A-ci worksheet'!$J$25:$J$120</c:f>
              <c:numCache>
                <c:formatCode>General</c:formatCode>
                <c:ptCount val="96"/>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worksheet'!$N$25:$N$120</c:f>
              <c:numCache>
                <c:formatCode>General</c:formatCode>
                <c:ptCount val="96"/>
                <c:pt idx="0">
                  <c:v>0.79885811631937542</c:v>
                </c:pt>
                <c:pt idx="1">
                  <c:v>2.645775705520879</c:v>
                </c:pt>
                <c:pt idx="2">
                  <c:v>4.4362103038527936</c:v>
                </c:pt>
                <c:pt idx="3">
                  <c:v>6.1726873217389713</c:v>
                </c:pt>
                <c:pt idx="4">
                  <c:v>7.8575840089908979</c:v>
                </c:pt>
                <c:pt idx="5">
                  <c:v>9.4931401631589161</c:v>
                </c:pt>
                <c:pt idx="6">
                  <c:v>11.081467922346246</c:v>
                </c:pt>
                <c:pt idx="7">
                  <c:v>12.624560732525376</c:v>
                </c:pt>
                <c:pt idx="8">
                  <c:v>14.124301569416724</c:v>
                </c:pt>
                <c:pt idx="9">
                  <c:v>15.582470486236861</c:v>
                </c:pt>
                <c:pt idx="10">
                  <c:v>17.000751550933195</c:v>
                </c:pt>
                <c:pt idx="11">
                  <c:v>18.380739229752152</c:v>
                </c:pt>
                <c:pt idx="12">
                  <c:v>19.723944268017988</c:v>
                </c:pt>
                <c:pt idx="13">
                  <c:v>21.031799113725349</c:v>
                </c:pt>
                <c:pt idx="14">
                  <c:v>22.305662924882334</c:v>
                </c:pt>
                <c:pt idx="15">
                  <c:v>23.546826197404364</c:v>
                </c:pt>
                <c:pt idx="16">
                  <c:v>24.756515046687433</c:v>
                </c:pt>
                <c:pt idx="17">
                  <c:v>25.935895172724184</c:v>
                </c:pt>
                <c:pt idx="18">
                  <c:v>27.086075535719591</c:v>
                </c:pt>
                <c:pt idx="19">
                  <c:v>28.208111766569687</c:v>
                </c:pt>
                <c:pt idx="20">
                  <c:v>29.303009334251673</c:v>
                </c:pt>
                <c:pt idx="21">
                  <c:v>30.371726490102883</c:v>
                </c:pt>
                <c:pt idx="22">
                  <c:v>31.41517700711168</c:v>
                </c:pt>
                <c:pt idx="23">
                  <c:v>32.434232730679653</c:v>
                </c:pt>
                <c:pt idx="24">
                  <c:v>33.429725955822001</c:v>
                </c:pt>
                <c:pt idx="25">
                  <c:v>34.402451644429753</c:v>
                </c:pt>
                <c:pt idx="26">
                  <c:v>35.353169495009048</c:v>
                </c:pt>
                <c:pt idx="27">
                  <c:v>36.282605876223336</c:v>
                </c:pt>
                <c:pt idx="28">
                  <c:v>37.19145563458143</c:v>
                </c:pt>
                <c:pt idx="29">
                  <c:v>38.080383785726319</c:v>
                </c:pt>
                <c:pt idx="30">
                  <c:v>38.950027097976445</c:v>
                </c:pt>
                <c:pt idx="31">
                  <c:v>39.800995576043817</c:v>
                </c:pt>
                <c:pt idx="32">
                  <c:v>40.633873852194746</c:v>
                </c:pt>
                <c:pt idx="33">
                  <c:v>41.449222491519734</c:v>
                </c:pt>
                <c:pt idx="34">
                  <c:v>42.247579217437199</c:v>
                </c:pt>
                <c:pt idx="35">
                  <c:v>43.029460063060547</c:v>
                </c:pt>
                <c:pt idx="36">
                  <c:v>43.795360453609135</c:v>
                </c:pt>
                <c:pt idx="37">
                  <c:v>44.545756224633813</c:v>
                </c:pt>
                <c:pt idx="38">
                  <c:v>45.281104580454191</c:v>
                </c:pt>
                <c:pt idx="39">
                  <c:v>46.001844996864371</c:v>
                </c:pt>
                <c:pt idx="40">
                  <c:v>46.708400071851244</c:v>
                </c:pt>
                <c:pt idx="41">
                  <c:v>47.401176327785578</c:v>
                </c:pt>
                <c:pt idx="42">
                  <c:v>48.080564968285806</c:v>
                </c:pt>
                <c:pt idx="43">
                  <c:v>48.746942592713658</c:v>
                </c:pt>
                <c:pt idx="44">
                  <c:v>49.400671871044317</c:v>
                </c:pt>
              </c:numCache>
            </c:numRef>
          </c:yVal>
        </c:ser>
        <c:axId val="65706624"/>
        <c:axId val="65728896"/>
      </c:scatterChart>
      <c:valAx>
        <c:axId val="65706624"/>
        <c:scaling>
          <c:orientation val="minMax"/>
        </c:scaling>
        <c:axPos val="b"/>
        <c:numFmt formatCode="General" sourceLinked="1"/>
        <c:tickLblPos val="nextTo"/>
        <c:crossAx val="65728896"/>
        <c:crosses val="autoZero"/>
        <c:crossBetween val="midCat"/>
      </c:valAx>
      <c:valAx>
        <c:axId val="65728896"/>
        <c:scaling>
          <c:orientation val="minMax"/>
        </c:scaling>
        <c:axPos val="l"/>
        <c:majorGridlines/>
        <c:numFmt formatCode="General" sourceLinked="1"/>
        <c:tickLblPos val="nextTo"/>
        <c:crossAx val="65706624"/>
        <c:crosses val="autoZero"/>
        <c:crossBetween val="midCat"/>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worksheet'!$T$25:$T$69</c:f>
              <c:numCache>
                <c:formatCode>General</c:formatCode>
                <c:ptCount val="45"/>
                <c:pt idx="0">
                  <c:v>0.78851402578930352</c:v>
                </c:pt>
                <c:pt idx="1">
                  <c:v>2.6060919559313604</c:v>
                </c:pt>
                <c:pt idx="2">
                  <c:v>4.3592394926554867</c:v>
                </c:pt>
                <c:pt idx="3">
                  <c:v>6.0488773779875595</c:v>
                </c:pt>
                <c:pt idx="4">
                  <c:v>7.6754112124090863</c:v>
                </c:pt>
                <c:pt idx="5">
                  <c:v>9.2386765939114994</c:v>
                </c:pt>
                <c:pt idx="6">
                  <c:v>10.737895985747565</c:v>
                </c:pt>
                <c:pt idx="7">
                  <c:v>12.171672431755525</c:v>
                </c:pt>
                <c:pt idx="8">
                  <c:v>13.538058706748901</c:v>
                </c:pt>
                <c:pt idx="9">
                  <c:v>14.834748838242653</c:v>
                </c:pt>
                <c:pt idx="10">
                  <c:v>16.059427312659981</c:v>
                </c:pt>
                <c:pt idx="11">
                  <c:v>17.210263151491322</c:v>
                </c:pt>
                <c:pt idx="12">
                  <c:v>18.286453955386456</c:v>
                </c:pt>
                <c:pt idx="13">
                  <c:v>19.288653170571482</c:v>
                </c:pt>
                <c:pt idx="14">
                  <c:v>20.219120925855311</c:v>
                </c:pt>
                <c:pt idx="15">
                  <c:v>21.081546995790521</c:v>
                </c:pt>
                <c:pt idx="16">
                  <c:v>21.88063451268906</c:v>
                </c:pt>
                <c:pt idx="17">
                  <c:v>22.621606456673032</c:v>
                </c:pt>
                <c:pt idx="18">
                  <c:v>23.309773833580117</c:v>
                </c:pt>
                <c:pt idx="19">
                  <c:v>23.950231940845775</c:v>
                </c:pt>
                <c:pt idx="20">
                  <c:v>24.547686977413314</c:v>
                </c:pt>
                <c:pt idx="21">
                  <c:v>25.106383051333214</c:v>
                </c:pt>
                <c:pt idx="22">
                  <c:v>25.630093763726489</c:v>
                </c:pt>
                <c:pt idx="23">
                  <c:v>26.122149313631208</c:v>
                </c:pt>
                <c:pt idx="24">
                  <c:v>26.585479626089121</c:v>
                </c:pt>
                <c:pt idx="25">
                  <c:v>27.022662000104848</c:v>
                </c:pt>
                <c:pt idx="26">
                  <c:v>27.435967230008433</c:v>
                </c:pt>
                <c:pt idx="27">
                  <c:v>27.827401461003568</c:v>
                </c:pt>
                <c:pt idx="28">
                  <c:v>28.198742873607348</c:v>
                </c:pt>
                <c:pt idx="29">
                  <c:v>28.551573223514634</c:v>
                </c:pt>
                <c:pt idx="30">
                  <c:v>28.887304683136506</c:v>
                </c:pt>
                <c:pt idx="31">
                  <c:v>29.207202577916576</c:v>
                </c:pt>
                <c:pt idx="32">
                  <c:v>29.51240462180964</c:v>
                </c:pt>
                <c:pt idx="33">
                  <c:v>29.803937206896308</c:v>
                </c:pt>
                <c:pt idx="34">
                  <c:v>30.082729230929765</c:v>
                </c:pt>
                <c:pt idx="35">
                  <c:v>30.349623872733265</c:v>
                </c:pt>
                <c:pt idx="36">
                  <c:v>30.605388657277715</c:v>
                </c:pt>
                <c:pt idx="37">
                  <c:v>30.850724093046338</c:v>
                </c:pt>
                <c:pt idx="38">
                  <c:v>31.086271114387028</c:v>
                </c:pt>
                <c:pt idx="39">
                  <c:v>31.312617520244242</c:v>
                </c:pt>
                <c:pt idx="40">
                  <c:v>31.530303566815409</c:v>
                </c:pt>
                <c:pt idx="41">
                  <c:v>31.739826844086625</c:v>
                </c:pt>
                <c:pt idx="42">
                  <c:v>31.941646543757905</c:v>
                </c:pt>
                <c:pt idx="43">
                  <c:v>32.136187207809023</c:v>
                </c:pt>
                <c:pt idx="44">
                  <c:v>32.323842032080172</c:v>
                </c:pt>
              </c:numCache>
            </c:numRef>
          </c:yVal>
        </c:ser>
        <c:ser>
          <c:idx val="1"/>
          <c:order val="1"/>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worksheet'!$S$25:$S$69</c:f>
              <c:numCache>
                <c:formatCode>General</c:formatCode>
                <c:ptCount val="45"/>
                <c:pt idx="0">
                  <c:v>1.2878013087120552</c:v>
                </c:pt>
                <c:pt idx="1">
                  <c:v>4.0464890199474874</c:v>
                </c:pt>
                <c:pt idx="2">
                  <c:v>6.4636289334777111</c:v>
                </c:pt>
                <c:pt idx="3">
                  <c:v>8.5989529626936836</c:v>
                </c:pt>
                <c:pt idx="4">
                  <c:v>10.499031889573887</c:v>
                </c:pt>
                <c:pt idx="5">
                  <c:v>12.200710967344566</c:v>
                </c:pt>
                <c:pt idx="6">
                  <c:v>13.733522719769301</c:v>
                </c:pt>
                <c:pt idx="7">
                  <c:v>15.121415388963879</c:v>
                </c:pt>
                <c:pt idx="8">
                  <c:v>16.384013265939654</c:v>
                </c:pt>
                <c:pt idx="9">
                  <c:v>17.537550426541188</c:v>
                </c:pt>
                <c:pt idx="10">
                  <c:v>18.595572522063318</c:v>
                </c:pt>
                <c:pt idx="11">
                  <c:v>19.569471171534921</c:v>
                </c:pt>
                <c:pt idx="12">
                  <c:v>20.468895759015794</c:v>
                </c:pt>
                <c:pt idx="13">
                  <c:v>21.302074239492406</c:v>
                </c:pt>
                <c:pt idx="14">
                  <c:v>22.076065576765139</c:v>
                </c:pt>
                <c:pt idx="15">
                  <c:v>22.796960228757722</c:v>
                </c:pt>
                <c:pt idx="16">
                  <c:v>23.470040740592808</c:v>
                </c:pt>
                <c:pt idx="17">
                  <c:v>24.099911408819224</c:v>
                </c:pt>
                <c:pt idx="18">
                  <c:v>24.690603750065097</c:v>
                </c:pt>
                <c:pt idx="19">
                  <c:v>25.245662882665769</c:v>
                </c:pt>
                <c:pt idx="20">
                  <c:v>25.768218733225282</c:v>
                </c:pt>
                <c:pt idx="21">
                  <c:v>26.261045089825949</c:v>
                </c:pt>
                <c:pt idx="22">
                  <c:v>26.726608854969548</c:v>
                </c:pt>
                <c:pt idx="23">
                  <c:v>27.167111344668001</c:v>
                </c:pt>
                <c:pt idx="24">
                  <c:v>27.584523092951315</c:v>
                </c:pt>
                <c:pt idx="25">
                  <c:v>27.980613322901171</c:v>
                </c:pt>
                <c:pt idx="26">
                  <c:v>28.356975013987622</c:v>
                </c:pt>
                <c:pt idx="27">
                  <c:v>28.715046314745589</c:v>
                </c:pt>
                <c:pt idx="28">
                  <c:v>29.056128907675308</c:v>
                </c:pt>
                <c:pt idx="29">
                  <c:v>29.381403820745412</c:v>
                </c:pt>
                <c:pt idx="30">
                  <c:v>29.691945090303804</c:v>
                </c:pt>
                <c:pt idx="31">
                  <c:v>29.988731608481586</c:v>
                </c:pt>
                <c:pt idx="32">
                  <c:v>30.272657430440798</c:v>
                </c:pt>
                <c:pt idx="33">
                  <c:v>30.544540770101651</c:v>
                </c:pt>
                <c:pt idx="34">
                  <c:v>30.805131875000814</c:v>
                </c:pt>
                <c:pt idx="35">
                  <c:v>31.055119939903076</c:v>
                </c:pt>
                <c:pt idx="36">
                  <c:v>31.295139193327675</c:v>
                </c:pt>
                <c:pt idx="37">
                  <c:v>31.525774270168878</c:v>
                </c:pt>
                <c:pt idx="38">
                  <c:v>31.747564966229763</c:v>
                </c:pt>
                <c:pt idx="39">
                  <c:v>31.961010456066649</c:v>
                </c:pt>
                <c:pt idx="40">
                  <c:v>32.166573043517218</c:v>
                </c:pt>
                <c:pt idx="41">
                  <c:v>32.364681504222752</c:v>
                </c:pt>
                <c:pt idx="42">
                  <c:v>32.555734071005418</c:v>
                </c:pt>
                <c:pt idx="43">
                  <c:v>32.740101105842207</c:v>
                </c:pt>
                <c:pt idx="44">
                  <c:v>32.918127496159933</c:v>
                </c:pt>
              </c:numCache>
            </c:numRef>
          </c:yVal>
        </c:ser>
        <c:ser>
          <c:idx val="2"/>
          <c:order val="2"/>
          <c:marker>
            <c:symbol val="none"/>
          </c:marker>
          <c:xVal>
            <c:numRef>
              <c:f>'A-ci worksheet'!$J$25:$J$69</c:f>
              <c:numCache>
                <c:formatCode>General</c:formatCode>
                <c:ptCount val="45"/>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pt idx="32">
                  <c:v>37</c:v>
                </c:pt>
                <c:pt idx="33">
                  <c:v>38</c:v>
                </c:pt>
                <c:pt idx="34">
                  <c:v>39</c:v>
                </c:pt>
                <c:pt idx="35">
                  <c:v>40</c:v>
                </c:pt>
                <c:pt idx="36">
                  <c:v>41</c:v>
                </c:pt>
                <c:pt idx="37">
                  <c:v>42</c:v>
                </c:pt>
                <c:pt idx="38">
                  <c:v>43</c:v>
                </c:pt>
                <c:pt idx="39">
                  <c:v>44</c:v>
                </c:pt>
                <c:pt idx="40">
                  <c:v>45</c:v>
                </c:pt>
                <c:pt idx="41">
                  <c:v>46</c:v>
                </c:pt>
                <c:pt idx="42">
                  <c:v>47</c:v>
                </c:pt>
                <c:pt idx="43">
                  <c:v>48</c:v>
                </c:pt>
                <c:pt idx="44">
                  <c:v>49</c:v>
                </c:pt>
              </c:numCache>
            </c:numRef>
          </c:xVal>
          <c:yVal>
            <c:numRef>
              <c:f>'A-ci worksheet'!$M$25:$M$69</c:f>
              <c:numCache>
                <c:formatCode>General</c:formatCode>
                <c:ptCount val="45"/>
                <c:pt idx="0">
                  <c:v>0.80096686386734961</c:v>
                </c:pt>
                <c:pt idx="1">
                  <c:v>2.6532436438404812</c:v>
                </c:pt>
                <c:pt idx="2">
                  <c:v>4.4495410717534245</c:v>
                </c:pt>
                <c:pt idx="3">
                  <c:v>6.1923590761512068</c:v>
                </c:pt>
                <c:pt idx="4">
                  <c:v>7.8840509130459617</c:v>
                </c:pt>
                <c:pt idx="5">
                  <c:v>9.5268337671449856</c:v>
                </c:pt>
                <c:pt idx="6">
                  <c:v>11.122798446695816</c:v>
                </c:pt>
                <c:pt idx="7">
                  <c:v>12.6739182610876</c:v>
                </c:pt>
                <c:pt idx="8">
                  <c:v>14.182057160468045</c:v>
                </c:pt>
                <c:pt idx="9">
                  <c:v>15.648977207970232</c:v>
                </c:pt>
                <c:pt idx="10">
                  <c:v>17.076345447530063</c:v>
                </c:pt>
                <c:pt idx="11">
                  <c:v>18.465740223572933</c:v>
                </c:pt>
                <c:pt idx="12">
                  <c:v>19.818657002937961</c:v>
                </c:pt>
                <c:pt idx="13">
                  <c:v>21.136513744187084</c:v>
                </c:pt>
                <c:pt idx="14">
                  <c:v>22.420655854826194</c:v>
                </c:pt>
                <c:pt idx="15">
                  <c:v>23.67236077287086</c:v>
                </c:pt>
                <c:pt idx="16">
                  <c:v>24.892842205553777</c:v>
                </c:pt>
                <c:pt idx="17">
                  <c:v>26.083254054739022</c:v>
                </c:pt>
                <c:pt idx="18">
                  <c:v>27.244694055730093</c:v>
                </c:pt>
                <c:pt idx="19">
                  <c:v>28.378207153591696</c:v>
                </c:pt>
                <c:pt idx="20">
                  <c:v>29.484788638813292</c:v>
                </c:pt>
                <c:pt idx="21">
                  <c:v>30.565387062091954</c:v>
                </c:pt>
                <c:pt idx="22">
                  <c:v>31.620906946176301</c:v>
                </c:pt>
                <c:pt idx="23">
                  <c:v>32.652211311066779</c:v>
                </c:pt>
                <c:pt idx="24">
                  <c:v>33.660124027389017</c:v>
                </c:pt>
                <c:pt idx="25">
                  <c:v>34.645432011427999</c:v>
                </c:pt>
                <c:pt idx="26">
                  <c:v>35.608887274114089</c:v>
                </c:pt>
                <c:pt idx="27">
                  <c:v>36.551208835173512</c:v>
                </c:pt>
                <c:pt idx="28">
                  <c:v>37.473084512682846</c:v>
                </c:pt>
                <c:pt idx="29">
                  <c:v>38.375172597387952</c:v>
                </c:pt>
                <c:pt idx="30">
                  <c:v>39.25810342035237</c:v>
                </c:pt>
                <c:pt idx="31">
                  <c:v>40.122480821780748</c:v>
                </c:pt>
                <c:pt idx="32">
                  <c:v>40.96888352820983</c:v>
                </c:pt>
                <c:pt idx="33">
                  <c:v>41.797866444667612</c:v>
                </c:pt>
                <c:pt idx="34">
                  <c:v>42.609961867863589</c:v>
                </c:pt>
                <c:pt idx="35">
                  <c:v>43.405680625983507</c:v>
                </c:pt>
                <c:pt idx="36">
                  <c:v>44.185513150217425</c:v>
                </c:pt>
                <c:pt idx="37">
                  <c:v>44.949930482744122</c:v>
                </c:pt>
                <c:pt idx="38">
                  <c:v>45.699385225525027</c:v>
                </c:pt>
                <c:pt idx="39">
                  <c:v>46.43431243392353</c:v>
                </c:pt>
                <c:pt idx="40">
                  <c:v>47.155130458857023</c:v>
                </c:pt>
                <c:pt idx="41">
                  <c:v>47.86224174090696</c:v>
                </c:pt>
                <c:pt idx="42">
                  <c:v>48.556033559554308</c:v>
                </c:pt>
                <c:pt idx="43">
                  <c:v>49.23687874047129</c:v>
                </c:pt>
                <c:pt idx="44">
                  <c:v>49.90513632358337</c:v>
                </c:pt>
              </c:numCache>
            </c:numRef>
          </c:yVal>
        </c:ser>
        <c:axId val="338972032"/>
        <c:axId val="338986112"/>
      </c:scatterChart>
      <c:valAx>
        <c:axId val="338972032"/>
        <c:scaling>
          <c:orientation val="minMax"/>
        </c:scaling>
        <c:axPos val="b"/>
        <c:numFmt formatCode="General" sourceLinked="1"/>
        <c:tickLblPos val="nextTo"/>
        <c:crossAx val="338986112"/>
        <c:crosses val="autoZero"/>
        <c:crossBetween val="midCat"/>
      </c:valAx>
      <c:valAx>
        <c:axId val="338986112"/>
        <c:scaling>
          <c:orientation val="minMax"/>
        </c:scaling>
        <c:axPos val="l"/>
        <c:majorGridlines/>
        <c:numFmt formatCode="General" sourceLinked="1"/>
        <c:tickLblPos val="nextTo"/>
        <c:crossAx val="338972032"/>
        <c:crosses val="autoZero"/>
        <c:crossBetween val="midCat"/>
      </c:valAx>
    </c:plotArea>
    <c:legend>
      <c:legendPos val="r"/>
    </c:legend>
    <c:plotVisOnly val="1"/>
  </c:chart>
  <c:printSettings>
    <c:headerFooter/>
    <c:pageMargins b="0.75000000000000555" l="0.70000000000000062" r="0.70000000000000062" t="0.750000000000005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100" b="1" i="0" u="none" strike="noStrike" baseline="0">
                <a:solidFill>
                  <a:srgbClr val="000000"/>
                </a:solidFill>
                <a:latin typeface="Arial"/>
                <a:ea typeface="Arial"/>
                <a:cs typeface="Arial"/>
              </a:defRPr>
            </a:pPr>
            <a:r>
              <a:rPr lang="en-US"/>
              <a:t>E time course</a:t>
            </a:r>
          </a:p>
        </c:rich>
      </c:tx>
      <c:layout>
        <c:manualLayout>
          <c:xMode val="edge"/>
          <c:yMode val="edge"/>
          <c:x val="1.1013215859030839E-2"/>
          <c:y val="1.937984496124031E-2"/>
        </c:manualLayout>
      </c:layout>
      <c:spPr>
        <a:noFill/>
        <a:ln w="25400">
          <a:noFill/>
        </a:ln>
      </c:spPr>
    </c:title>
    <c:plotArea>
      <c:layout>
        <c:manualLayout>
          <c:layoutTarget val="inner"/>
          <c:xMode val="edge"/>
          <c:yMode val="edge"/>
          <c:x val="0.16519841555790679"/>
          <c:y val="0.24806295445340837"/>
          <c:w val="0.7511021294032747"/>
          <c:h val="0.55426566385683051"/>
        </c:manualLayout>
      </c:layout>
      <c:scatterChart>
        <c:scatterStyle val="lineMarker"/>
        <c:ser>
          <c:idx val="0"/>
          <c:order val="0"/>
          <c:tx>
            <c:v>E time course</c:v>
          </c:tx>
          <c:spPr>
            <a:ln w="12700">
              <a:solidFill>
                <a:srgbClr val="000080"/>
              </a:solidFill>
              <a:prstDash val="solid"/>
            </a:ln>
          </c:spPr>
          <c:marker>
            <c:symbol val="diamond"/>
            <c:size val="5"/>
            <c:spPr>
              <a:solidFill>
                <a:srgbClr val="000080"/>
              </a:solidFill>
              <a:ln>
                <a:solidFill>
                  <a:srgbClr val="000080"/>
                </a:solidFill>
                <a:prstDash val="solid"/>
              </a:ln>
            </c:spPr>
          </c:marker>
          <c:yVal>
            <c:numRef>
              <c:f>'[1]0.05'!$J$17:$J$500</c:f>
              <c:numCache>
                <c:formatCode>General</c:formatCode>
                <c:ptCount val="484"/>
                <c:pt idx="0">
                  <c:v>39.100000000000222</c:v>
                </c:pt>
                <c:pt idx="1">
                  <c:v>58.310000000000414</c:v>
                </c:pt>
                <c:pt idx="2">
                  <c:v>73.610000000000568</c:v>
                </c:pt>
                <c:pt idx="3">
                  <c:v>91.970000000000752</c:v>
                </c:pt>
                <c:pt idx="4">
                  <c:v>95.200000000000784</c:v>
                </c:pt>
                <c:pt idx="5">
                  <c:v>84.660000000000679</c:v>
                </c:pt>
                <c:pt idx="6">
                  <c:v>105.40000000000089</c:v>
                </c:pt>
                <c:pt idx="7">
                  <c:v>110.67000000000094</c:v>
                </c:pt>
                <c:pt idx="8">
                  <c:v>112.88000000000096</c:v>
                </c:pt>
                <c:pt idx="9">
                  <c:v>109.48000000000093</c:v>
                </c:pt>
                <c:pt idx="10">
                  <c:v>91.290000000000745</c:v>
                </c:pt>
                <c:pt idx="11">
                  <c:v>71.910000000000551</c:v>
                </c:pt>
                <c:pt idx="12">
                  <c:v>50.490000000000336</c:v>
                </c:pt>
                <c:pt idx="13">
                  <c:v>52.360000000000355</c:v>
                </c:pt>
                <c:pt idx="14">
                  <c:v>50.150000000000333</c:v>
                </c:pt>
                <c:pt idx="15">
                  <c:v>49.810000000000329</c:v>
                </c:pt>
                <c:pt idx="16">
                  <c:v>64.430000000000476</c:v>
                </c:pt>
                <c:pt idx="17">
                  <c:v>69.190000000000524</c:v>
                </c:pt>
                <c:pt idx="18">
                  <c:v>78.710000000000619</c:v>
                </c:pt>
                <c:pt idx="19">
                  <c:v>54.060000000000372</c:v>
                </c:pt>
                <c:pt idx="20">
                  <c:v>50.490000000000336</c:v>
                </c:pt>
                <c:pt idx="21">
                  <c:v>48.450000000000315</c:v>
                </c:pt>
                <c:pt idx="22">
                  <c:v>47.770000000000309</c:v>
                </c:pt>
                <c:pt idx="23">
                  <c:v>46.750000000000298</c:v>
                </c:pt>
                <c:pt idx="24">
                  <c:v>45.90000000000029</c:v>
                </c:pt>
                <c:pt idx="25">
                  <c:v>43.350000000000264</c:v>
                </c:pt>
                <c:pt idx="26">
                  <c:v>42.840000000000259</c:v>
                </c:pt>
                <c:pt idx="27">
                  <c:v>43.350000000000264</c:v>
                </c:pt>
                <c:pt idx="28">
                  <c:v>41.480000000000246</c:v>
                </c:pt>
                <c:pt idx="29">
                  <c:v>39.610000000000227</c:v>
                </c:pt>
                <c:pt idx="30">
                  <c:v>37.230000000000203</c:v>
                </c:pt>
                <c:pt idx="31">
                  <c:v>57.970000000000411</c:v>
                </c:pt>
                <c:pt idx="32">
                  <c:v>29.410000000000128</c:v>
                </c:pt>
                <c:pt idx="33">
                  <c:v>58.82000000000042</c:v>
                </c:pt>
                <c:pt idx="34">
                  <c:v>56.780000000000399</c:v>
                </c:pt>
                <c:pt idx="35">
                  <c:v>24.480000000000079</c:v>
                </c:pt>
                <c:pt idx="36">
                  <c:v>21.760000000000051</c:v>
                </c:pt>
                <c:pt idx="37">
                  <c:v>46.410000000000295</c:v>
                </c:pt>
                <c:pt idx="38">
                  <c:v>17.850000000000001</c:v>
                </c:pt>
                <c:pt idx="39">
                  <c:v>16.149999999999999</c:v>
                </c:pt>
                <c:pt idx="40">
                  <c:v>14.28</c:v>
                </c:pt>
                <c:pt idx="41">
                  <c:v>12.92</c:v>
                </c:pt>
                <c:pt idx="42">
                  <c:v>11.9</c:v>
                </c:pt>
                <c:pt idx="43">
                  <c:v>10.88</c:v>
                </c:pt>
                <c:pt idx="44">
                  <c:v>9.86</c:v>
                </c:pt>
                <c:pt idx="45">
                  <c:v>9.18</c:v>
                </c:pt>
                <c:pt idx="46">
                  <c:v>10.37</c:v>
                </c:pt>
                <c:pt idx="47">
                  <c:v>8.16</c:v>
                </c:pt>
                <c:pt idx="48">
                  <c:v>7.65</c:v>
                </c:pt>
                <c:pt idx="49">
                  <c:v>7.14</c:v>
                </c:pt>
                <c:pt idx="50">
                  <c:v>6.8</c:v>
                </c:pt>
                <c:pt idx="51">
                  <c:v>34.000000000000171</c:v>
                </c:pt>
                <c:pt idx="52">
                  <c:v>20.399999999999999</c:v>
                </c:pt>
                <c:pt idx="53">
                  <c:v>7.82</c:v>
                </c:pt>
                <c:pt idx="54">
                  <c:v>6.8</c:v>
                </c:pt>
                <c:pt idx="55">
                  <c:v>6.29</c:v>
                </c:pt>
                <c:pt idx="56">
                  <c:v>5.95</c:v>
                </c:pt>
                <c:pt idx="57">
                  <c:v>5.61</c:v>
                </c:pt>
                <c:pt idx="58">
                  <c:v>5.27</c:v>
                </c:pt>
                <c:pt idx="59">
                  <c:v>4.93</c:v>
                </c:pt>
                <c:pt idx="60">
                  <c:v>4.76</c:v>
                </c:pt>
                <c:pt idx="61">
                  <c:v>4.42</c:v>
                </c:pt>
                <c:pt idx="62">
                  <c:v>4.25</c:v>
                </c:pt>
                <c:pt idx="63">
                  <c:v>12.24</c:v>
                </c:pt>
                <c:pt idx="64">
                  <c:v>4.42</c:v>
                </c:pt>
                <c:pt idx="65">
                  <c:v>4.08</c:v>
                </c:pt>
                <c:pt idx="66">
                  <c:v>24.65000000000008</c:v>
                </c:pt>
                <c:pt idx="67">
                  <c:v>28.050000000000114</c:v>
                </c:pt>
                <c:pt idx="68">
                  <c:v>12.58</c:v>
                </c:pt>
                <c:pt idx="69">
                  <c:v>6.46</c:v>
                </c:pt>
                <c:pt idx="70">
                  <c:v>19.38</c:v>
                </c:pt>
                <c:pt idx="71">
                  <c:v>5.61</c:v>
                </c:pt>
                <c:pt idx="72">
                  <c:v>4.93</c:v>
                </c:pt>
                <c:pt idx="73">
                  <c:v>4.76</c:v>
                </c:pt>
                <c:pt idx="74">
                  <c:v>4.42</c:v>
                </c:pt>
                <c:pt idx="75">
                  <c:v>4.08</c:v>
                </c:pt>
                <c:pt idx="76">
                  <c:v>3.91</c:v>
                </c:pt>
                <c:pt idx="77">
                  <c:v>3.74</c:v>
                </c:pt>
                <c:pt idx="78">
                  <c:v>3.57</c:v>
                </c:pt>
                <c:pt idx="79">
                  <c:v>3.4</c:v>
                </c:pt>
                <c:pt idx="80">
                  <c:v>3.145</c:v>
                </c:pt>
                <c:pt idx="81">
                  <c:v>3.06</c:v>
                </c:pt>
                <c:pt idx="82">
                  <c:v>2.89</c:v>
                </c:pt>
                <c:pt idx="83">
                  <c:v>2.8050000000000002</c:v>
                </c:pt>
                <c:pt idx="84">
                  <c:v>2.72</c:v>
                </c:pt>
                <c:pt idx="85">
                  <c:v>2.6349999999999998</c:v>
                </c:pt>
                <c:pt idx="86">
                  <c:v>2.5499999999999998</c:v>
                </c:pt>
                <c:pt idx="87">
                  <c:v>2.4649999999999999</c:v>
                </c:pt>
                <c:pt idx="88">
                  <c:v>2.38</c:v>
                </c:pt>
                <c:pt idx="89">
                  <c:v>2.2949999999999999</c:v>
                </c:pt>
                <c:pt idx="90">
                  <c:v>2.21</c:v>
                </c:pt>
                <c:pt idx="91">
                  <c:v>2.125</c:v>
                </c:pt>
                <c:pt idx="92">
                  <c:v>2.125</c:v>
                </c:pt>
                <c:pt idx="93">
                  <c:v>2.04</c:v>
                </c:pt>
                <c:pt idx="94">
                  <c:v>1.9550000000000001</c:v>
                </c:pt>
                <c:pt idx="95">
                  <c:v>13.515000000000052</c:v>
                </c:pt>
                <c:pt idx="96">
                  <c:v>7.3949999999999996</c:v>
                </c:pt>
                <c:pt idx="97">
                  <c:v>3.8250000000000002</c:v>
                </c:pt>
                <c:pt idx="98">
                  <c:v>10.029999999999999</c:v>
                </c:pt>
                <c:pt idx="99">
                  <c:v>7.7350000000000003</c:v>
                </c:pt>
                <c:pt idx="100">
                  <c:v>4.42</c:v>
                </c:pt>
                <c:pt idx="101">
                  <c:v>3.8250000000000002</c:v>
                </c:pt>
                <c:pt idx="102">
                  <c:v>3.4</c:v>
                </c:pt>
                <c:pt idx="103">
                  <c:v>3.145</c:v>
                </c:pt>
                <c:pt idx="104">
                  <c:v>6.97</c:v>
                </c:pt>
                <c:pt idx="105">
                  <c:v>3.74</c:v>
                </c:pt>
                <c:pt idx="106">
                  <c:v>3.3149999999999999</c:v>
                </c:pt>
                <c:pt idx="107">
                  <c:v>3.06</c:v>
                </c:pt>
                <c:pt idx="108">
                  <c:v>2.8050000000000002</c:v>
                </c:pt>
                <c:pt idx="109">
                  <c:v>2.6349999999999998</c:v>
                </c:pt>
                <c:pt idx="110">
                  <c:v>2.5499999999999998</c:v>
                </c:pt>
                <c:pt idx="111">
                  <c:v>14.450000000000061</c:v>
                </c:pt>
                <c:pt idx="112">
                  <c:v>10.795</c:v>
                </c:pt>
                <c:pt idx="113">
                  <c:v>4.59</c:v>
                </c:pt>
                <c:pt idx="114">
                  <c:v>3.8250000000000002</c:v>
                </c:pt>
                <c:pt idx="115">
                  <c:v>3.4</c:v>
                </c:pt>
                <c:pt idx="116">
                  <c:v>3.145</c:v>
                </c:pt>
                <c:pt idx="117">
                  <c:v>2.89</c:v>
                </c:pt>
                <c:pt idx="118">
                  <c:v>2.72</c:v>
                </c:pt>
                <c:pt idx="119">
                  <c:v>2.6349999999999998</c:v>
                </c:pt>
                <c:pt idx="120">
                  <c:v>2.4649999999999999</c:v>
                </c:pt>
                <c:pt idx="121">
                  <c:v>2.38</c:v>
                </c:pt>
                <c:pt idx="122">
                  <c:v>2.2949999999999999</c:v>
                </c:pt>
                <c:pt idx="123">
                  <c:v>5.8650000000000002</c:v>
                </c:pt>
                <c:pt idx="124">
                  <c:v>4.8449999999999998</c:v>
                </c:pt>
                <c:pt idx="125">
                  <c:v>3.3149999999999999</c:v>
                </c:pt>
                <c:pt idx="126">
                  <c:v>2.9750000000000001</c:v>
                </c:pt>
                <c:pt idx="127">
                  <c:v>11.05</c:v>
                </c:pt>
                <c:pt idx="128">
                  <c:v>15.130000000000068</c:v>
                </c:pt>
                <c:pt idx="129">
                  <c:v>7.2249999999999996</c:v>
                </c:pt>
                <c:pt idx="130">
                  <c:v>4.59</c:v>
                </c:pt>
                <c:pt idx="131">
                  <c:v>3.91</c:v>
                </c:pt>
                <c:pt idx="132">
                  <c:v>10.455</c:v>
                </c:pt>
                <c:pt idx="133">
                  <c:v>15.470000000000072</c:v>
                </c:pt>
                <c:pt idx="134">
                  <c:v>6.8</c:v>
                </c:pt>
                <c:pt idx="135">
                  <c:v>4.76</c:v>
                </c:pt>
                <c:pt idx="136">
                  <c:v>4.165</c:v>
                </c:pt>
                <c:pt idx="137">
                  <c:v>3.74</c:v>
                </c:pt>
                <c:pt idx="138">
                  <c:v>3.4</c:v>
                </c:pt>
                <c:pt idx="139">
                  <c:v>3.23</c:v>
                </c:pt>
                <c:pt idx="140">
                  <c:v>3.06</c:v>
                </c:pt>
                <c:pt idx="141">
                  <c:v>2.89</c:v>
                </c:pt>
                <c:pt idx="142">
                  <c:v>2.72</c:v>
                </c:pt>
                <c:pt idx="143">
                  <c:v>19.040000000000106</c:v>
                </c:pt>
                <c:pt idx="144">
                  <c:v>19.125000000000107</c:v>
                </c:pt>
                <c:pt idx="145">
                  <c:v>19.125000000000107</c:v>
                </c:pt>
                <c:pt idx="146">
                  <c:v>17.51000000000009</c:v>
                </c:pt>
                <c:pt idx="147">
                  <c:v>7.99</c:v>
                </c:pt>
                <c:pt idx="148">
                  <c:v>5.5250000000000004</c:v>
                </c:pt>
                <c:pt idx="149">
                  <c:v>4.76</c:v>
                </c:pt>
                <c:pt idx="150">
                  <c:v>4.25</c:v>
                </c:pt>
                <c:pt idx="151">
                  <c:v>3.91</c:v>
                </c:pt>
                <c:pt idx="152">
                  <c:v>3.6549999999999998</c:v>
                </c:pt>
              </c:numCache>
            </c:numRef>
          </c:yVal>
        </c:ser>
        <c:axId val="339031168"/>
        <c:axId val="339033472"/>
      </c:scatterChart>
      <c:valAx>
        <c:axId val="339031168"/>
        <c:scaling>
          <c:orientation val="minMax"/>
          <c:max val="250"/>
          <c:min val="0"/>
        </c:scaling>
        <c:axPos val="b"/>
        <c:title>
          <c:tx>
            <c:rich>
              <a:bodyPr/>
              <a:lstStyle/>
              <a:p>
                <a:pPr>
                  <a:defRPr sz="1100" b="1" i="0" u="none" strike="noStrike" baseline="0">
                    <a:solidFill>
                      <a:srgbClr val="000000"/>
                    </a:solidFill>
                    <a:latin typeface="Arial"/>
                    <a:ea typeface="Arial"/>
                    <a:cs typeface="Arial"/>
                  </a:defRPr>
                </a:pPr>
                <a:r>
                  <a:rPr lang="en-US"/>
                  <a:t>days</a:t>
                </a:r>
              </a:p>
            </c:rich>
          </c:tx>
          <c:layout>
            <c:manualLayout>
              <c:xMode val="edge"/>
              <c:yMode val="edge"/>
              <c:x val="0.5000004624972535"/>
              <c:y val="0.8759722476550974"/>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339033472"/>
        <c:crosses val="autoZero"/>
        <c:crossBetween val="midCat"/>
        <c:majorUnit val="20"/>
      </c:valAx>
      <c:valAx>
        <c:axId val="339033472"/>
        <c:scaling>
          <c:orientation val="minMax"/>
        </c:scaling>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E kg hr-1 m-2</a:t>
                </a:r>
              </a:p>
            </c:rich>
          </c:tx>
          <c:layout>
            <c:manualLayout>
              <c:xMode val="edge"/>
              <c:yMode val="edge"/>
              <c:x val="1.9823788546255793E-2"/>
              <c:y val="0.34108649209546943"/>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339031168"/>
        <c:crosses val="autoZero"/>
        <c:crossBetween val="midCat"/>
      </c:valAx>
      <c:spPr>
        <a:solidFill>
          <a:srgbClr val="C0C0C0"/>
        </a:solidFill>
        <a:ln w="12700">
          <a:solidFill>
            <a:srgbClr val="808080"/>
          </a:solidFill>
          <a:prstDash val="solid"/>
        </a:ln>
      </c:spPr>
    </c:plotArea>
    <c:legend>
      <c:legendPos val="t"/>
      <c:layout>
        <c:manualLayout>
          <c:xMode val="edge"/>
          <c:yMode val="edge"/>
          <c:x val="6.6079295154185022E-2"/>
          <c:y val="6.5891879794095512E-2"/>
          <c:w val="0.25330419600633619"/>
          <c:h val="8.139575576308776E-2"/>
        </c:manualLayout>
      </c:layout>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layout>
        <c:manualLayout>
          <c:xMode val="edge"/>
          <c:yMode val="edge"/>
          <c:x val="0.48093264824948023"/>
          <c:y val="3.6585365853658611E-2"/>
        </c:manualLayout>
      </c:layout>
      <c:spPr>
        <a:noFill/>
        <a:ln w="25400">
          <a:noFill/>
        </a:ln>
      </c:spPr>
      <c:txPr>
        <a:bodyPr/>
        <a:lstStyle/>
        <a:p>
          <a:pPr>
            <a:defRPr sz="975" b="0" i="0" u="none" strike="noStrike" baseline="0">
              <a:solidFill>
                <a:srgbClr val="000000"/>
              </a:solidFill>
              <a:latin typeface="Arial"/>
              <a:ea typeface="Arial"/>
              <a:cs typeface="Arial"/>
            </a:defRPr>
          </a:pPr>
          <a:endParaRPr lang="en-US"/>
        </a:p>
      </c:txPr>
    </c:title>
    <c:plotArea>
      <c:layout>
        <c:manualLayout>
          <c:layoutTarget val="inner"/>
          <c:xMode val="edge"/>
          <c:yMode val="edge"/>
          <c:x val="0.1165255442738119"/>
          <c:y val="0.18292710158498326"/>
          <c:w val="0.77118723846667792"/>
          <c:h val="0.60670822025685989"/>
        </c:manualLayout>
      </c:layout>
      <c:scatterChart>
        <c:scatterStyle val="lineMarker"/>
        <c:ser>
          <c:idx val="0"/>
          <c:order val="0"/>
          <c:tx>
            <c:v>PD </c:v>
          </c:tx>
          <c:spPr>
            <a:ln w="12700">
              <a:solidFill>
                <a:srgbClr val="000080"/>
              </a:solidFill>
              <a:prstDash val="solid"/>
            </a:ln>
          </c:spPr>
          <c:marker>
            <c:symbol val="diamond"/>
            <c:size val="5"/>
            <c:spPr>
              <a:solidFill>
                <a:srgbClr val="000080"/>
              </a:solidFill>
              <a:ln>
                <a:solidFill>
                  <a:srgbClr val="000080"/>
                </a:solidFill>
                <a:prstDash val="solid"/>
              </a:ln>
            </c:spPr>
          </c:marker>
          <c:yVal>
            <c:numRef>
              <c:f>'[1]0.05'!$H$17:$H$500</c:f>
              <c:numCache>
                <c:formatCode>General</c:formatCode>
                <c:ptCount val="484"/>
                <c:pt idx="0">
                  <c:v>5.027596937248973E-2</c:v>
                </c:pt>
                <c:pt idx="1">
                  <c:v>5.2207863092318056E-2</c:v>
                </c:pt>
                <c:pt idx="2">
                  <c:v>5.8416143209774521E-2</c:v>
                </c:pt>
                <c:pt idx="3">
                  <c:v>7.0330102802350525E-2</c:v>
                </c:pt>
                <c:pt idx="4">
                  <c:v>9.3561714063174747E-2</c:v>
                </c:pt>
                <c:pt idx="5">
                  <c:v>6.9067729971488245E-2</c:v>
                </c:pt>
                <c:pt idx="6">
                  <c:v>8.5509097395110381E-2</c:v>
                </c:pt>
                <c:pt idx="7">
                  <c:v>0.11945495086924386</c:v>
                </c:pt>
                <c:pt idx="8">
                  <c:v>0.19189812218649821</c:v>
                </c:pt>
                <c:pt idx="9">
                  <c:v>0.24427632755493378</c:v>
                </c:pt>
                <c:pt idx="10">
                  <c:v>0.34220494358375331</c:v>
                </c:pt>
                <c:pt idx="11">
                  <c:v>0.42208176323413349</c:v>
                </c:pt>
                <c:pt idx="12">
                  <c:v>0.52860536693136917</c:v>
                </c:pt>
                <c:pt idx="13">
                  <c:v>0.51270030958172297</c:v>
                </c:pt>
                <c:pt idx="14">
                  <c:v>0.52755897201922775</c:v>
                </c:pt>
                <c:pt idx="15">
                  <c:v>0.52697660846146077</c:v>
                </c:pt>
                <c:pt idx="16">
                  <c:v>0.37918545902276646</c:v>
                </c:pt>
                <c:pt idx="17">
                  <c:v>0.33488607941154935</c:v>
                </c:pt>
                <c:pt idx="18">
                  <c:v>0.36194503888694163</c:v>
                </c:pt>
                <c:pt idx="19">
                  <c:v>0.51076685664329113</c:v>
                </c:pt>
                <c:pt idx="20">
                  <c:v>0.53525629432159993</c:v>
                </c:pt>
                <c:pt idx="21">
                  <c:v>0.55119441793384483</c:v>
                </c:pt>
                <c:pt idx="22">
                  <c:v>0.55858925546562244</c:v>
                </c:pt>
                <c:pt idx="23">
                  <c:v>0.56837910270292291</c:v>
                </c:pt>
                <c:pt idx="24">
                  <c:v>0.57710174759282418</c:v>
                </c:pt>
                <c:pt idx="25">
                  <c:v>0.58738192642516951</c:v>
                </c:pt>
                <c:pt idx="26">
                  <c:v>0.59485357963149499</c:v>
                </c:pt>
                <c:pt idx="27">
                  <c:v>0.60760169074340975</c:v>
                </c:pt>
                <c:pt idx="28">
                  <c:v>0.62725063494377187</c:v>
                </c:pt>
                <c:pt idx="29">
                  <c:v>0.64542534307269861</c:v>
                </c:pt>
                <c:pt idx="30">
                  <c:v>0.66599090923318394</c:v>
                </c:pt>
                <c:pt idx="31">
                  <c:v>0.54561385053526512</c:v>
                </c:pt>
                <c:pt idx="32">
                  <c:v>0.74451496934126882</c:v>
                </c:pt>
                <c:pt idx="33">
                  <c:v>0.49282553315462824</c:v>
                </c:pt>
                <c:pt idx="34">
                  <c:v>0.52463429017051788</c:v>
                </c:pt>
                <c:pt idx="35">
                  <c:v>0.76407712185480525</c:v>
                </c:pt>
                <c:pt idx="36">
                  <c:v>0.78703353064689552</c:v>
                </c:pt>
                <c:pt idx="37">
                  <c:v>0.58766616228809287</c:v>
                </c:pt>
                <c:pt idx="38">
                  <c:v>0.84077280665628218</c:v>
                </c:pt>
                <c:pt idx="39">
                  <c:v>0.86448770849762224</c:v>
                </c:pt>
                <c:pt idx="40">
                  <c:v>0.89976061171559496</c:v>
                </c:pt>
                <c:pt idx="41">
                  <c:v>0.92873380615849332</c:v>
                </c:pt>
                <c:pt idx="42">
                  <c:v>0.95841047861458795</c:v>
                </c:pt>
                <c:pt idx="43">
                  <c:v>0.98799652577367658</c:v>
                </c:pt>
                <c:pt idx="44">
                  <c:v>1.0165969977419909</c:v>
                </c:pt>
                <c:pt idx="45">
                  <c:v>1.0432464839907114</c:v>
                </c:pt>
                <c:pt idx="46">
                  <c:v>1.0006226361992097</c:v>
                </c:pt>
                <c:pt idx="47">
                  <c:v>1.0885371581306404</c:v>
                </c:pt>
                <c:pt idx="48">
                  <c:v>1.1103883153981884</c:v>
                </c:pt>
                <c:pt idx="49">
                  <c:v>1.1377147336340889</c:v>
                </c:pt>
                <c:pt idx="50">
                  <c:v>1.1635020949967514</c:v>
                </c:pt>
                <c:pt idx="51">
                  <c:v>0.66577401880234277</c:v>
                </c:pt>
                <c:pt idx="52">
                  <c:v>0.81092702748486345</c:v>
                </c:pt>
                <c:pt idx="53">
                  <c:v>1.1097460914376982</c:v>
                </c:pt>
                <c:pt idx="54">
                  <c:v>1.1631573210012263</c:v>
                </c:pt>
                <c:pt idx="55">
                  <c:v>1.1872478692901831</c:v>
                </c:pt>
                <c:pt idx="56">
                  <c:v>1.216250617462254</c:v>
                </c:pt>
                <c:pt idx="57">
                  <c:v>1.2446941973551018</c:v>
                </c:pt>
                <c:pt idx="58">
                  <c:v>1.2715428255503123</c:v>
                </c:pt>
                <c:pt idx="59">
                  <c:v>1.296629282448446</c:v>
                </c:pt>
                <c:pt idx="60">
                  <c:v>1.3197564469647061</c:v>
                </c:pt>
                <c:pt idx="61">
                  <c:v>1.343000736344427</c:v>
                </c:pt>
                <c:pt idx="62">
                  <c:v>1.3639520733853627</c:v>
                </c:pt>
                <c:pt idx="63">
                  <c:v>0.96222490741237054</c:v>
                </c:pt>
                <c:pt idx="64">
                  <c:v>1.3467907311140157</c:v>
                </c:pt>
                <c:pt idx="65">
                  <c:v>1.3811594966247946</c:v>
                </c:pt>
                <c:pt idx="66">
                  <c:v>0.77893182178919651</c:v>
                </c:pt>
                <c:pt idx="67">
                  <c:v>0.71428525245724928</c:v>
                </c:pt>
                <c:pt idx="68">
                  <c:v>0.91847682468096636</c:v>
                </c:pt>
                <c:pt idx="69">
                  <c:v>1.1643095085395621</c:v>
                </c:pt>
                <c:pt idx="70">
                  <c:v>0.84515569912997035</c:v>
                </c:pt>
                <c:pt idx="71">
                  <c:v>1.2310434564551385</c:v>
                </c:pt>
                <c:pt idx="72">
                  <c:v>1.288837765432171</c:v>
                </c:pt>
                <c:pt idx="73">
                  <c:v>1.3149391266728123</c:v>
                </c:pt>
                <c:pt idx="74">
                  <c:v>1.3457280432779934</c:v>
                </c:pt>
                <c:pt idx="75">
                  <c:v>1.3744885159340956</c:v>
                </c:pt>
                <c:pt idx="76">
                  <c:v>1.3998996142522442</c:v>
                </c:pt>
                <c:pt idx="77">
                  <c:v>1.424189534110702</c:v>
                </c:pt>
                <c:pt idx="78">
                  <c:v>1.4471623637630655</c:v>
                </c:pt>
                <c:pt idx="79">
                  <c:v>1.4689362804916863</c:v>
                </c:pt>
                <c:pt idx="80">
                  <c:v>1.4893547817037061</c:v>
                </c:pt>
                <c:pt idx="81">
                  <c:v>1.5072164575691251</c:v>
                </c:pt>
                <c:pt idx="82">
                  <c:v>1.5251007479921599</c:v>
                </c:pt>
                <c:pt idx="83">
                  <c:v>1.5417233118038365</c:v>
                </c:pt>
                <c:pt idx="84">
                  <c:v>1.5582438344308214</c:v>
                </c:pt>
                <c:pt idx="85">
                  <c:v>1.5746497239430259</c:v>
                </c:pt>
                <c:pt idx="86">
                  <c:v>1.59072245506462</c:v>
                </c:pt>
                <c:pt idx="87">
                  <c:v>1.6064113133548319</c:v>
                </c:pt>
                <c:pt idx="88">
                  <c:v>1.6217994502702209</c:v>
                </c:pt>
                <c:pt idx="89">
                  <c:v>1.6367047608626406</c:v>
                </c:pt>
                <c:pt idx="90">
                  <c:v>1.6511933574722057</c:v>
                </c:pt>
                <c:pt idx="91">
                  <c:v>1.6650921900767566</c:v>
                </c:pt>
                <c:pt idx="92">
                  <c:v>1.6784432111391572</c:v>
                </c:pt>
                <c:pt idx="93">
                  <c:v>1.6927720168469373</c:v>
                </c:pt>
                <c:pt idx="94">
                  <c:v>1.7064424364944044</c:v>
                </c:pt>
                <c:pt idx="95">
                  <c:v>0.90611971285948789</c:v>
                </c:pt>
                <c:pt idx="96">
                  <c:v>1.0400223875281838</c:v>
                </c:pt>
                <c:pt idx="97">
                  <c:v>1.3631597707175696</c:v>
                </c:pt>
                <c:pt idx="98">
                  <c:v>0.97408098570696922</c:v>
                </c:pt>
                <c:pt idx="99">
                  <c:v>1.0169794755091477</c:v>
                </c:pt>
                <c:pt idx="100">
                  <c:v>1.2809600038050455</c:v>
                </c:pt>
                <c:pt idx="101">
                  <c:v>1.3585755003209721</c:v>
                </c:pt>
                <c:pt idx="102">
                  <c:v>1.4172243356267411</c:v>
                </c:pt>
                <c:pt idx="103">
                  <c:v>1.4636590552275002</c:v>
                </c:pt>
                <c:pt idx="104">
                  <c:v>1.0545473609481588</c:v>
                </c:pt>
                <c:pt idx="105">
                  <c:v>1.3693655997892185</c:v>
                </c:pt>
                <c:pt idx="106">
                  <c:v>1.4300132411633717</c:v>
                </c:pt>
                <c:pt idx="107">
                  <c:v>1.4755146759643198</c:v>
                </c:pt>
                <c:pt idx="108">
                  <c:v>1.5127897081749582</c:v>
                </c:pt>
                <c:pt idx="109">
                  <c:v>1.543656457059783</c:v>
                </c:pt>
                <c:pt idx="110">
                  <c:v>1.5704766568969366</c:v>
                </c:pt>
                <c:pt idx="111">
                  <c:v>0.87341649177536562</c:v>
                </c:pt>
                <c:pt idx="112">
                  <c:v>0.95410497207046752</c:v>
                </c:pt>
                <c:pt idx="113">
                  <c:v>1.2655931327729943</c:v>
                </c:pt>
                <c:pt idx="114">
                  <c:v>1.3575327597142202</c:v>
                </c:pt>
                <c:pt idx="115">
                  <c:v>1.4170983656112563</c:v>
                </c:pt>
                <c:pt idx="116">
                  <c:v>1.4628400606763117</c:v>
                </c:pt>
                <c:pt idx="117">
                  <c:v>1.5007819794291357</c:v>
                </c:pt>
                <c:pt idx="118">
                  <c:v>1.532472527252958</c:v>
                </c:pt>
                <c:pt idx="119">
                  <c:v>1.5601537198541395</c:v>
                </c:pt>
                <c:pt idx="120">
                  <c:v>1.5857035698176742</c:v>
                </c:pt>
                <c:pt idx="121">
                  <c:v>1.6079816430493441</c:v>
                </c:pt>
                <c:pt idx="122">
                  <c:v>1.6287646687965027</c:v>
                </c:pt>
                <c:pt idx="123">
                  <c:v>1.1145945054507744</c:v>
                </c:pt>
                <c:pt idx="124">
                  <c:v>1.2228870202204083</c:v>
                </c:pt>
                <c:pt idx="125">
                  <c:v>1.4379878646060371</c:v>
                </c:pt>
                <c:pt idx="126">
                  <c:v>1.4936901568041425</c:v>
                </c:pt>
                <c:pt idx="127">
                  <c:v>0.96727742468911748</c:v>
                </c:pt>
                <c:pt idx="128">
                  <c:v>0.86342067100234732</c:v>
                </c:pt>
                <c:pt idx="129">
                  <c:v>1.0415574358078303</c:v>
                </c:pt>
                <c:pt idx="130">
                  <c:v>1.2674303229589083</c:v>
                </c:pt>
                <c:pt idx="131">
                  <c:v>1.3434727752929456</c:v>
                </c:pt>
                <c:pt idx="132">
                  <c:v>0.95984522365125902</c:v>
                </c:pt>
                <c:pt idx="133">
                  <c:v>0.857381394712879</c:v>
                </c:pt>
                <c:pt idx="134">
                  <c:v>1.0743699082921323</c:v>
                </c:pt>
                <c:pt idx="135">
                  <c:v>1.2463789861145764</c:v>
                </c:pt>
                <c:pt idx="136">
                  <c:v>1.3160943870157997</c:v>
                </c:pt>
                <c:pt idx="137">
                  <c:v>1.3703456698295493</c:v>
                </c:pt>
                <c:pt idx="138">
                  <c:v>1.4141162952484838</c:v>
                </c:pt>
                <c:pt idx="139">
                  <c:v>1.4503010280037374</c:v>
                </c:pt>
                <c:pt idx="140">
                  <c:v>1.4823190183000914</c:v>
                </c:pt>
                <c:pt idx="141">
                  <c:v>1.5107444830529486</c:v>
                </c:pt>
                <c:pt idx="142">
                  <c:v>1.5359626169080871</c:v>
                </c:pt>
                <c:pt idx="143">
                  <c:v>0.73979056629262141</c:v>
                </c:pt>
                <c:pt idx="144">
                  <c:v>0.74323691574505446</c:v>
                </c:pt>
                <c:pt idx="145">
                  <c:v>0.75419078955978702</c:v>
                </c:pt>
                <c:pt idx="146">
                  <c:v>0.80500240433341219</c:v>
                </c:pt>
                <c:pt idx="147">
                  <c:v>1.0053022523349147</c:v>
                </c:pt>
                <c:pt idx="148">
                  <c:v>1.1717254352828734</c:v>
                </c:pt>
                <c:pt idx="149">
                  <c:v>1.2460025370269576</c:v>
                </c:pt>
                <c:pt idx="150">
                  <c:v>1.3034958921313491</c:v>
                </c:pt>
                <c:pt idx="151">
                  <c:v>1.3497629616790192</c:v>
                </c:pt>
                <c:pt idx="152">
                  <c:v>1.3886503533652017</c:v>
                </c:pt>
              </c:numCache>
            </c:numRef>
          </c:yVal>
        </c:ser>
        <c:axId val="339028992"/>
        <c:axId val="339076608"/>
      </c:scatterChart>
      <c:valAx>
        <c:axId val="339028992"/>
        <c:scaling>
          <c:orientation val="minMax"/>
          <c:max val="250"/>
        </c:scaling>
        <c:axPos val="b"/>
        <c:title>
          <c:tx>
            <c:rich>
              <a:bodyPr/>
              <a:lstStyle/>
              <a:p>
                <a:pPr>
                  <a:defRPr sz="1075" b="1" i="0" u="none" strike="noStrike" baseline="0">
                    <a:solidFill>
                      <a:srgbClr val="000000"/>
                    </a:solidFill>
                    <a:latin typeface="Arial"/>
                    <a:ea typeface="Arial"/>
                    <a:cs typeface="Arial"/>
                  </a:defRPr>
                </a:pPr>
                <a:r>
                  <a:rPr lang="en-US"/>
                  <a:t>days</a:t>
                </a:r>
              </a:p>
            </c:rich>
          </c:tx>
          <c:layout>
            <c:manualLayout>
              <c:xMode val="edge"/>
              <c:yMode val="edge"/>
              <c:x val="0.46398349570710734"/>
              <c:y val="0.88719640227898855"/>
            </c:manualLayout>
          </c:layout>
          <c:spPr>
            <a:noFill/>
            <a:ln w="25400">
              <a:noFill/>
            </a:ln>
          </c:spPr>
        </c:title>
        <c:numFmt formatCode="General" sourceLinked="1"/>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39076608"/>
        <c:crosses val="autoZero"/>
        <c:crossBetween val="midCat"/>
        <c:majorUnit val="20"/>
      </c:valAx>
      <c:valAx>
        <c:axId val="339076608"/>
        <c:scaling>
          <c:orientation val="minMax"/>
        </c:scaling>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PD (MPa)</a:t>
                </a:r>
              </a:p>
            </c:rich>
          </c:tx>
          <c:layout>
            <c:manualLayout>
              <c:xMode val="edge"/>
              <c:yMode val="edge"/>
              <c:x val="2.966101694915255E-2"/>
              <c:y val="0.38414698162730126"/>
            </c:manualLayout>
          </c:layout>
          <c:spPr>
            <a:noFill/>
            <a:ln w="25400">
              <a:noFill/>
            </a:ln>
          </c:spPr>
        </c:title>
        <c:numFmt formatCode="General" sourceLinked="1"/>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339028992"/>
        <c:crosses val="autoZero"/>
        <c:crossBetween val="midCat"/>
      </c:valAx>
      <c:spPr>
        <a:solidFill>
          <a:srgbClr val="C0C0C0"/>
        </a:solidFill>
        <a:ln w="12700">
          <a:solidFill>
            <a:srgbClr val="808080"/>
          </a:solidFill>
          <a:prstDash val="solid"/>
        </a:ln>
      </c:spPr>
    </c:plotArea>
    <c:legend>
      <c:legendPos val="t"/>
      <c:layout>
        <c:manualLayout>
          <c:xMode val="edge"/>
          <c:yMode val="edge"/>
          <c:x val="0.62288202322167363"/>
          <c:y val="4.8780487804878932E-2"/>
          <c:w val="0.12923751056541671"/>
          <c:h val="6.7073170731707321E-2"/>
        </c:manualLayout>
      </c:layout>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layout>
        <c:manualLayout>
          <c:xMode val="edge"/>
          <c:yMode val="edge"/>
          <c:x val="0.68300859451392104"/>
          <c:y val="1.9531250000000003E-2"/>
        </c:manualLayout>
      </c:layout>
      <c:spPr>
        <a:noFill/>
        <a:ln w="25400">
          <a:noFill/>
        </a:ln>
      </c:spPr>
      <c:txPr>
        <a:bodyPr/>
        <a:lstStyle/>
        <a:p>
          <a:pPr>
            <a:defRPr sz="800" b="0" i="0" u="none" strike="noStrike" baseline="0">
              <a:solidFill>
                <a:srgbClr val="000000"/>
              </a:solidFill>
              <a:latin typeface="Arial"/>
              <a:ea typeface="Arial"/>
              <a:cs typeface="Arial"/>
            </a:defRPr>
          </a:pPr>
          <a:endParaRPr lang="en-US"/>
        </a:p>
      </c:txPr>
    </c:title>
    <c:plotArea>
      <c:layout>
        <c:manualLayout>
          <c:layoutTarget val="inner"/>
          <c:xMode val="edge"/>
          <c:yMode val="edge"/>
          <c:x val="0.20261502570665368"/>
          <c:y val="0.21875041723330924"/>
          <c:w val="0.39869408284212532"/>
          <c:h val="0.53515727073148867"/>
        </c:manualLayout>
      </c:layout>
      <c:scatterChart>
        <c:scatterStyle val="lineMarker"/>
        <c:ser>
          <c:idx val="0"/>
          <c:order val="0"/>
          <c:tx>
            <c:v>vulnerability curve</c:v>
          </c:tx>
          <c:spPr>
            <a:ln w="12700">
              <a:solidFill>
                <a:srgbClr val="000080"/>
              </a:solidFill>
              <a:prstDash val="solid"/>
            </a:ln>
          </c:spPr>
          <c:marker>
            <c:symbol val="diamond"/>
            <c:size val="5"/>
            <c:spPr>
              <a:solidFill>
                <a:srgbClr val="000080"/>
              </a:solidFill>
              <a:ln>
                <a:solidFill>
                  <a:srgbClr val="000080"/>
                </a:solidFill>
                <a:prstDash val="solid"/>
              </a:ln>
            </c:spPr>
          </c:marker>
          <c:xVal>
            <c:numRef>
              <c:f>'root and xylem worksheet'!$I$12:$I$101</c:f>
              <c:numCache>
                <c:formatCode>General</c:formatCode>
                <c:ptCount val="90"/>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numCache>
            </c:numRef>
          </c:xVal>
          <c:yVal>
            <c:numRef>
              <c:f>'root and xylem worksheet'!$J$12:$J$101</c:f>
              <c:numCache>
                <c:formatCode>General</c:formatCode>
                <c:ptCount val="90"/>
                <c:pt idx="0">
                  <c:v>1</c:v>
                </c:pt>
                <c:pt idx="1">
                  <c:v>0.95122942450071402</c:v>
                </c:pt>
                <c:pt idx="2">
                  <c:v>0.90483741803595952</c:v>
                </c:pt>
                <c:pt idx="3">
                  <c:v>0.86070797642505781</c:v>
                </c:pt>
                <c:pt idx="4">
                  <c:v>0.81873075307798182</c:v>
                </c:pt>
                <c:pt idx="5">
                  <c:v>0.77880078307140488</c:v>
                </c:pt>
                <c:pt idx="6">
                  <c:v>0.74081822068171788</c:v>
                </c:pt>
                <c:pt idx="7">
                  <c:v>0.70468808971871344</c:v>
                </c:pt>
                <c:pt idx="8">
                  <c:v>0.67032004603563933</c:v>
                </c:pt>
                <c:pt idx="9">
                  <c:v>0.63762815162177333</c:v>
                </c:pt>
                <c:pt idx="10">
                  <c:v>0.60653065971263342</c:v>
                </c:pt>
                <c:pt idx="11">
                  <c:v>0.57694981038048676</c:v>
                </c:pt>
                <c:pt idx="12">
                  <c:v>0.54881163609402639</c:v>
                </c:pt>
                <c:pt idx="13">
                  <c:v>0.52204577676101604</c:v>
                </c:pt>
                <c:pt idx="14">
                  <c:v>0.49658530379140947</c:v>
                </c:pt>
                <c:pt idx="15">
                  <c:v>0.47236655274101463</c:v>
                </c:pt>
                <c:pt idx="16">
                  <c:v>0.44932896411722151</c:v>
                </c:pt>
                <c:pt idx="17">
                  <c:v>0.4274149319487266</c:v>
                </c:pt>
                <c:pt idx="18">
                  <c:v>0.406569659740599</c:v>
                </c:pt>
                <c:pt idx="19">
                  <c:v>0.38674102345450112</c:v>
                </c:pt>
                <c:pt idx="20">
                  <c:v>0.36787944117144222</c:v>
                </c:pt>
                <c:pt idx="21">
                  <c:v>0.34993774911115527</c:v>
                </c:pt>
                <c:pt idx="22">
                  <c:v>0.33287108369807944</c:v>
                </c:pt>
                <c:pt idx="23">
                  <c:v>0.31663676937905311</c:v>
                </c:pt>
                <c:pt idx="24">
                  <c:v>0.30119421191220197</c:v>
                </c:pt>
                <c:pt idx="25">
                  <c:v>0.28650479686018998</c:v>
                </c:pt>
                <c:pt idx="26">
                  <c:v>0.27253179303401248</c:v>
                </c:pt>
                <c:pt idx="27">
                  <c:v>0.2592402606458914</c:v>
                </c:pt>
                <c:pt idx="28">
                  <c:v>0.24659696394160632</c:v>
                </c:pt>
                <c:pt idx="29">
                  <c:v>0.23457028809379751</c:v>
                </c:pt>
                <c:pt idx="30">
                  <c:v>0.22313016014842968</c:v>
                </c:pt>
                <c:pt idx="31">
                  <c:v>0.2122479738267429</c:v>
                </c:pt>
                <c:pt idx="32">
                  <c:v>0.20189651799465524</c:v>
                </c:pt>
                <c:pt idx="33">
                  <c:v>0.19204990862075397</c:v>
                </c:pt>
                <c:pt idx="34">
                  <c:v>0.1826835240527345</c:v>
                </c:pt>
                <c:pt idx="35">
                  <c:v>0.17377394345044497</c:v>
                </c:pt>
                <c:pt idx="36">
                  <c:v>0.16529888822158639</c:v>
                </c:pt>
                <c:pt idx="37">
                  <c:v>0.15723716631362747</c:v>
                </c:pt>
                <c:pt idx="38">
                  <c:v>0.1495686192226349</c:v>
                </c:pt>
                <c:pt idx="39">
                  <c:v>0.14227407158651342</c:v>
                </c:pt>
                <c:pt idx="40">
                  <c:v>0.13533528323661256</c:v>
                </c:pt>
                <c:pt idx="41">
                  <c:v>0.12873490358780412</c:v>
                </c:pt>
                <c:pt idx="42">
                  <c:v>0.12245642825298185</c:v>
                </c:pt>
                <c:pt idx="43">
                  <c:v>0.11648415777349691</c:v>
                </c:pt>
                <c:pt idx="44">
                  <c:v>0.11080315836233387</c:v>
                </c:pt>
                <c:pt idx="45">
                  <c:v>0.10539922456186433</c:v>
                </c:pt>
                <c:pt idx="46">
                  <c:v>0.10025884372280375</c:v>
                </c:pt>
                <c:pt idx="47">
                  <c:v>9.5369162215549655E-2</c:v>
                </c:pt>
                <c:pt idx="48">
                  <c:v>9.0717953289412553E-2</c:v>
                </c:pt>
                <c:pt idx="49">
                  <c:v>8.6293586499370578E-2</c:v>
                </c:pt>
                <c:pt idx="50">
                  <c:v>8.2084998623898869E-2</c:v>
                </c:pt>
                <c:pt idx="51">
                  <c:v>7.8081666001153238E-2</c:v>
                </c:pt>
                <c:pt idx="52">
                  <c:v>7.4273578214333974E-2</c:v>
                </c:pt>
                <c:pt idx="53">
                  <c:v>7.0651213060429693E-2</c:v>
                </c:pt>
                <c:pt idx="54">
                  <c:v>6.7205512739749868E-2</c:v>
                </c:pt>
                <c:pt idx="55">
                  <c:v>6.3927861206707681E-2</c:v>
                </c:pt>
                <c:pt idx="56">
                  <c:v>6.0810062625218084E-2</c:v>
                </c:pt>
                <c:pt idx="57">
                  <c:v>5.7844320874838588E-2</c:v>
                </c:pt>
                <c:pt idx="58">
                  <c:v>5.5023220056407356E-2</c:v>
                </c:pt>
                <c:pt idx="59">
                  <c:v>5.233970594843252E-2</c:v>
                </c:pt>
                <c:pt idx="60">
                  <c:v>4.9787068367864076E-2</c:v>
                </c:pt>
                <c:pt idx="61">
                  <c:v>4.7358924391141054E-2</c:v>
                </c:pt>
                <c:pt idx="62">
                  <c:v>4.504920239355794E-2</c:v>
                </c:pt>
                <c:pt idx="63">
                  <c:v>4.2852126867040319E-2</c:v>
                </c:pt>
                <c:pt idx="64">
                  <c:v>4.076220397836635E-2</c:v>
                </c:pt>
                <c:pt idx="65">
                  <c:v>3.8774207831722148E-2</c:v>
                </c:pt>
                <c:pt idx="66">
                  <c:v>3.688316740124014E-2</c:v>
                </c:pt>
                <c:pt idx="67">
                  <c:v>3.5084354100845164E-2</c:v>
                </c:pt>
                <c:pt idx="68">
                  <c:v>3.3373269960326218E-2</c:v>
                </c:pt>
                <c:pt idx="69">
                  <c:v>3.1745636378068078E-2</c:v>
                </c:pt>
                <c:pt idx="70">
                  <c:v>3.0197383422318636E-2</c:v>
                </c:pt>
                <c:pt idx="71">
                  <c:v>2.8724639654239562E-2</c:v>
                </c:pt>
                <c:pt idx="72">
                  <c:v>2.7323722447292691E-2</c:v>
                </c:pt>
                <c:pt idx="73">
                  <c:v>2.5991128778755472E-2</c:v>
                </c:pt>
                <c:pt idx="74">
                  <c:v>2.472352647033952E-2</c:v>
                </c:pt>
                <c:pt idx="75">
                  <c:v>2.3517745856009232E-2</c:v>
                </c:pt>
                <c:pt idx="76">
                  <c:v>2.2370771856165719E-2</c:v>
                </c:pt>
                <c:pt idx="77">
                  <c:v>2.127973643837729E-2</c:v>
                </c:pt>
                <c:pt idx="78">
                  <c:v>2.0241911445804506E-2</c:v>
                </c:pt>
                <c:pt idx="79">
                  <c:v>1.9254701775387042E-2</c:v>
                </c:pt>
                <c:pt idx="80">
                  <c:v>1.8315638888734293E-2</c:v>
                </c:pt>
                <c:pt idx="81">
                  <c:v>1.7422374639493622E-2</c:v>
                </c:pt>
                <c:pt idx="82">
                  <c:v>1.6572675401761355E-2</c:v>
                </c:pt>
                <c:pt idx="83">
                  <c:v>1.5764416484854597E-2</c:v>
                </c:pt>
                <c:pt idx="84">
                  <c:v>1.4995576820477811E-2</c:v>
                </c:pt>
                <c:pt idx="85">
                  <c:v>1.4264233908999356E-2</c:v>
                </c:pt>
                <c:pt idx="86">
                  <c:v>1.3568559012201031E-2</c:v>
                </c:pt>
                <c:pt idx="87">
                  <c:v>1.2906812580479965E-2</c:v>
                </c:pt>
                <c:pt idx="88">
                  <c:v>1.2277339903068535E-2</c:v>
                </c:pt>
                <c:pt idx="89">
                  <c:v>1.1678566970395536E-2</c:v>
                </c:pt>
              </c:numCache>
            </c:numRef>
          </c:yVal>
        </c:ser>
        <c:axId val="77914496"/>
        <c:axId val="77917568"/>
      </c:scatterChart>
      <c:valAx>
        <c:axId val="77914496"/>
        <c:scaling>
          <c:orientation val="minMax"/>
          <c:max val="10"/>
        </c:scaling>
        <c:axPos val="b"/>
        <c:title>
          <c:tx>
            <c:rich>
              <a:bodyPr/>
              <a:lstStyle/>
              <a:p>
                <a:pPr>
                  <a:defRPr sz="800" b="1" i="0" u="none" strike="noStrike" baseline="0">
                    <a:solidFill>
                      <a:srgbClr val="000000"/>
                    </a:solidFill>
                    <a:latin typeface="Arial"/>
                    <a:ea typeface="Arial"/>
                    <a:cs typeface="Arial"/>
                  </a:defRPr>
                </a:pPr>
                <a:r>
                  <a:rPr lang="en-US"/>
                  <a:t>P, MPa</a:t>
                </a:r>
              </a:p>
            </c:rich>
          </c:tx>
          <c:layout>
            <c:manualLayout>
              <c:xMode val="edge"/>
              <c:yMode val="edge"/>
              <c:x val="0.33660233647265064"/>
              <c:y val="0.8593766404199474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917568"/>
        <c:crosses val="autoZero"/>
        <c:crossBetween val="midCat"/>
      </c:valAx>
      <c:valAx>
        <c:axId val="77917568"/>
        <c:scaling>
          <c:orientation val="minMax"/>
        </c:scaling>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K/Kmax</a:t>
                </a:r>
              </a:p>
            </c:rich>
          </c:tx>
          <c:layout>
            <c:manualLayout>
              <c:xMode val="edge"/>
              <c:yMode val="edge"/>
              <c:x val="5.2287581699346934E-2"/>
              <c:y val="0.3984383202099784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914496"/>
        <c:crosses val="autoZero"/>
        <c:crossBetween val="midCat"/>
      </c:valAx>
      <c:spPr>
        <a:solidFill>
          <a:srgbClr val="C0C0C0"/>
        </a:solidFill>
        <a:ln w="12700">
          <a:solidFill>
            <a:srgbClr val="808080"/>
          </a:solidFill>
          <a:prstDash val="solid"/>
        </a:ln>
      </c:spPr>
    </c:plotArea>
    <c:legend>
      <c:legendPos val="r"/>
      <c:layout>
        <c:manualLayout>
          <c:xMode val="edge"/>
          <c:yMode val="edge"/>
          <c:x val="0.66340075137666621"/>
          <c:y val="0.42187582020997844"/>
          <c:w val="0.31045854562297748"/>
          <c:h val="0.13281291010498686"/>
        </c:manualLayout>
      </c:layout>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982658959537571"/>
          <c:y val="0.101562693715465"/>
          <c:w val="0.67774566473989784"/>
          <c:h val="0.62890744954576405"/>
        </c:manualLayout>
      </c:layout>
      <c:scatterChart>
        <c:scatterStyle val="lineMarker"/>
        <c:ser>
          <c:idx val="0"/>
          <c:order val="0"/>
          <c:tx>
            <c:v>water content</c:v>
          </c:tx>
          <c:spPr>
            <a:ln w="12700">
              <a:solidFill>
                <a:srgbClr val="000080"/>
              </a:solidFill>
              <a:prstDash val="solid"/>
            </a:ln>
          </c:spPr>
          <c:marker>
            <c:symbol val="diamond"/>
            <c:size val="5"/>
            <c:spPr>
              <a:solidFill>
                <a:srgbClr val="000080"/>
              </a:solidFill>
              <a:ln>
                <a:solidFill>
                  <a:srgbClr val="000080"/>
                </a:solidFill>
                <a:prstDash val="solid"/>
              </a:ln>
            </c:spPr>
          </c:marker>
          <c:xVal>
            <c:numRef>
              <c:f>'van genuchten parameters'!$B$13:$B$35</c:f>
              <c:numCache>
                <c:formatCode>General</c:formatCode>
                <c:ptCount val="23"/>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numCache>
            </c:numRef>
          </c:xVal>
          <c:yVal>
            <c:numRef>
              <c:f>'van genuchten parameters'!$C$13:$C$35</c:f>
              <c:numCache>
                <c:formatCode>General</c:formatCode>
                <c:ptCount val="23"/>
                <c:pt idx="0">
                  <c:v>0.41326336172884637</c:v>
                </c:pt>
                <c:pt idx="1">
                  <c:v>0.19469893797551902</c:v>
                </c:pt>
                <c:pt idx="2">
                  <c:v>0.13978233070418816</c:v>
                </c:pt>
                <c:pt idx="3">
                  <c:v>0.11510014948944437</c:v>
                </c:pt>
                <c:pt idx="4">
                  <c:v>0.10026918872033908</c:v>
                </c:pt>
                <c:pt idx="5">
                  <c:v>9.009146930265928E-2</c:v>
                </c:pt>
                <c:pt idx="6">
                  <c:v>8.2546108526643458E-2</c:v>
                </c:pt>
                <c:pt idx="7">
                  <c:v>7.666114002525512E-2</c:v>
                </c:pt>
                <c:pt idx="8">
                  <c:v>7.1903217773328504E-2</c:v>
                </c:pt>
                <c:pt idx="9">
                  <c:v>6.7951937133955961E-2</c:v>
                </c:pt>
                <c:pt idx="10">
                  <c:v>6.460161072763021E-2</c:v>
                </c:pt>
                <c:pt idx="11">
                  <c:v>6.1713309076117273E-2</c:v>
                </c:pt>
                <c:pt idx="12">
                  <c:v>5.9189339864587617E-2</c:v>
                </c:pt>
                <c:pt idx="13">
                  <c:v>5.6958725552121336E-2</c:v>
                </c:pt>
                <c:pt idx="14">
                  <c:v>5.4968482145608448E-2</c:v>
                </c:pt>
                <c:pt idx="15">
                  <c:v>5.31781446305363E-2</c:v>
                </c:pt>
                <c:pt idx="16">
                  <c:v>5.1556200572680115E-2</c:v>
                </c:pt>
                <c:pt idx="17">
                  <c:v>5.0077692355320426E-2</c:v>
                </c:pt>
                <c:pt idx="18">
                  <c:v>4.8722560731182731E-2</c:v>
                </c:pt>
                <c:pt idx="19">
                  <c:v>4.7474473119326926E-2</c:v>
                </c:pt>
                <c:pt idx="20">
                  <c:v>4.6319977392345023E-2</c:v>
                </c:pt>
                <c:pt idx="21">
                  <c:v>4.5247879384682298E-2</c:v>
                </c:pt>
                <c:pt idx="22">
                  <c:v>4.4248777395100941E-2</c:v>
                </c:pt>
              </c:numCache>
            </c:numRef>
          </c:yVal>
        </c:ser>
        <c:ser>
          <c:idx val="1"/>
          <c:order val="1"/>
          <c:tx>
            <c:v>Kfunction</c:v>
          </c:tx>
          <c:spPr>
            <a:ln w="12700">
              <a:solidFill>
                <a:srgbClr val="FF00FF"/>
              </a:solidFill>
              <a:prstDash val="solid"/>
            </a:ln>
          </c:spPr>
          <c:marker>
            <c:symbol val="square"/>
            <c:size val="5"/>
            <c:spPr>
              <a:solidFill>
                <a:srgbClr val="FF00FF"/>
              </a:solidFill>
              <a:ln>
                <a:solidFill>
                  <a:srgbClr val="FF00FF"/>
                </a:solidFill>
                <a:prstDash val="solid"/>
              </a:ln>
            </c:spPr>
          </c:marker>
          <c:xVal>
            <c:numRef>
              <c:f>'van genuchten parameters'!$B$13:$B$33</c:f>
              <c:numCache>
                <c:formatCode>General</c:formatCode>
                <c:ptCount val="21"/>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'van genuchten parameters'!$D$13:$D$33</c:f>
              <c:numCache>
                <c:formatCode>General</c:formatCode>
                <c:ptCount val="21"/>
                <c:pt idx="0">
                  <c:v>3.0424494182380038E-4</c:v>
                </c:pt>
                <c:pt idx="1">
                  <c:v>1.9332026883216345E-6</c:v>
                </c:pt>
                <c:pt idx="2">
                  <c:v>2.1166794361293373E-7</c:v>
                </c:pt>
                <c:pt idx="3">
                  <c:v>5.7921371015281032E-8</c:v>
                </c:pt>
                <c:pt idx="4">
                  <c:v>2.3084476030183986E-8</c:v>
                </c:pt>
                <c:pt idx="5">
                  <c:v>1.130730550703079E-8</c:v>
                </c:pt>
                <c:pt idx="6">
                  <c:v>6.3105977806110869E-9</c:v>
                </c:pt>
                <c:pt idx="7">
                  <c:v>3.8539044870193304E-9</c:v>
                </c:pt>
                <c:pt idx="8">
                  <c:v>2.5140205700048289E-9</c:v>
                </c:pt>
                <c:pt idx="9">
                  <c:v>1.7246921459715256E-9</c:v>
                </c:pt>
                <c:pt idx="10">
                  <c:v>1.2311500637466911E-9</c:v>
                </c:pt>
                <c:pt idx="11">
                  <c:v>9.0755431226644035E-10</c:v>
                </c:pt>
                <c:pt idx="12">
                  <c:v>6.8701111990800884E-10</c:v>
                </c:pt>
                <c:pt idx="13">
                  <c:v>5.3178593050407171E-10</c:v>
                </c:pt>
                <c:pt idx="14">
                  <c:v>4.1952284618648561E-10</c:v>
                </c:pt>
                <c:pt idx="15">
                  <c:v>3.3641974298762179E-10</c:v>
                </c:pt>
                <c:pt idx="16">
                  <c:v>2.7365065055803556E-10</c:v>
                </c:pt>
                <c:pt idx="17">
                  <c:v>2.2539787176633143E-10</c:v>
                </c:pt>
                <c:pt idx="18">
                  <c:v>1.8772385639727187E-10</c:v>
                </c:pt>
                <c:pt idx="19">
                  <c:v>1.5790083425031687E-10</c:v>
                </c:pt>
                <c:pt idx="20">
                  <c:v>1.3399971624055265E-10</c:v>
                </c:pt>
              </c:numCache>
            </c:numRef>
          </c:yVal>
        </c:ser>
        <c:axId val="78030720"/>
        <c:axId val="78041472"/>
      </c:scatterChart>
      <c:valAx>
        <c:axId val="78030720"/>
        <c:scaling>
          <c:orientation val="minMax"/>
        </c:scaling>
        <c:axPos val="b"/>
        <c:title>
          <c:tx>
            <c:rich>
              <a:bodyPr/>
              <a:lstStyle/>
              <a:p>
                <a:pPr>
                  <a:defRPr sz="1000" b="1" i="0" u="none" strike="noStrike" baseline="0">
                    <a:solidFill>
                      <a:srgbClr val="000000"/>
                    </a:solidFill>
                    <a:latin typeface="Arial"/>
                    <a:ea typeface="Arial"/>
                    <a:cs typeface="Arial"/>
                  </a:defRPr>
                </a:pPr>
                <a:r>
                  <a:rPr lang="en-US"/>
                  <a:t>soil water pressure</a:t>
                </a:r>
              </a:p>
            </c:rich>
          </c:tx>
          <c:layout>
            <c:manualLayout>
              <c:xMode val="edge"/>
              <c:yMode val="edge"/>
              <c:x val="0.35838150289017634"/>
              <c:y val="0.85156414041994222"/>
            </c:manualLayout>
          </c:layout>
          <c:spPr>
            <a:noFill/>
            <a:ln w="25400">
              <a:noFill/>
            </a:ln>
          </c:spPr>
        </c:title>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8041472"/>
        <c:crosses val="autoZero"/>
        <c:crossBetween val="midCat"/>
      </c:valAx>
      <c:valAx>
        <c:axId val="78041472"/>
        <c:scaling>
          <c:orientation val="minMax"/>
        </c:scaling>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relative water content</a:t>
                </a:r>
              </a:p>
            </c:rich>
          </c:tx>
          <c:layout>
            <c:manualLayout>
              <c:xMode val="edge"/>
              <c:yMode val="edge"/>
              <c:x val="2.3121387283236993E-2"/>
              <c:y val="0.14062541010498689"/>
            </c:manualLayout>
          </c:layout>
          <c:spPr>
            <a:noFill/>
            <a:ln w="25400">
              <a:noFill/>
            </a:ln>
          </c:spPr>
        </c:title>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8030720"/>
        <c:crosses val="autoZero"/>
        <c:crossBetween val="midCat"/>
      </c:valAx>
      <c:spPr>
        <a:solidFill>
          <a:srgbClr val="C0C0C0"/>
        </a:solidFill>
        <a:ln w="12700">
          <a:solidFill>
            <a:srgbClr val="808080"/>
          </a:solidFill>
          <a:prstDash val="solid"/>
        </a:ln>
      </c:spPr>
    </c:plotArea>
    <c:legend>
      <c:legendPos val="r"/>
      <c:layout>
        <c:manualLayout>
          <c:xMode val="edge"/>
          <c:yMode val="edge"/>
          <c:x val="0.81936416184970418"/>
          <c:y val="0.33203207020997844"/>
          <c:w val="0.16907514450867056"/>
          <c:h val="0.16796916010498691"/>
        </c:manualLayout>
      </c:layout>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12</xdr:col>
      <xdr:colOff>666750</xdr:colOff>
      <xdr:row>8</xdr:row>
      <xdr:rowOff>0</xdr:rowOff>
    </xdr:from>
    <xdr:to>
      <xdr:col>18</xdr:col>
      <xdr:colOff>114300</xdr:colOff>
      <xdr:row>13</xdr:row>
      <xdr:rowOff>85725</xdr:rowOff>
    </xdr:to>
    <xdr:sp macro="" textlink="">
      <xdr:nvSpPr>
        <xdr:cNvPr id="1065" name="Text Box 41"/>
        <xdr:cNvSpPr txBox="1">
          <a:spLocks noChangeArrowheads="1"/>
        </xdr:cNvSpPr>
      </xdr:nvSpPr>
      <xdr:spPr bwMode="auto">
        <a:xfrm>
          <a:off x="12868275" y="1295400"/>
          <a:ext cx="4505325" cy="895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version sets Gmax, not DLIM. Uses real A-Ci parameters (Collatz et al. 1991; Medlyn et al. 2002; Luenig 2002) and includes leaf energy balance (campbell and norman). This version uses Bill's equal derivative method for finding the optimum (dA/dg = dKloss/dg). Uses max difference. Based on A gross</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9</xdr:col>
      <xdr:colOff>190500</xdr:colOff>
      <xdr:row>38</xdr:row>
      <xdr:rowOff>152401</xdr:rowOff>
    </xdr:from>
    <xdr:to>
      <xdr:col>13</xdr:col>
      <xdr:colOff>685801</xdr:colOff>
      <xdr:row>55</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114300</xdr:colOff>
      <xdr:row>110</xdr:row>
      <xdr:rowOff>114300</xdr:rowOff>
    </xdr:from>
    <xdr:to>
      <xdr:col>10</xdr:col>
      <xdr:colOff>419100</xdr:colOff>
      <xdr:row>127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180975</xdr:colOff>
      <xdr:row>93</xdr:row>
      <xdr:rowOff>0</xdr:rowOff>
    </xdr:from>
    <xdr:to>
      <xdr:col>22</xdr:col>
      <xdr:colOff>485775</xdr:colOff>
      <xdr:row>109</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228600</xdr:colOff>
      <xdr:row>304</xdr:row>
      <xdr:rowOff>9525</xdr:rowOff>
    </xdr:from>
    <xdr:to>
      <xdr:col>14</xdr:col>
      <xdr:colOff>323850</xdr:colOff>
      <xdr:row>321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19050</xdr:rowOff>
    </xdr:from>
    <xdr:to>
      <xdr:col>7</xdr:col>
      <xdr:colOff>304800</xdr:colOff>
      <xdr:row>33</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180975</xdr:colOff>
      <xdr:row>40</xdr:row>
      <xdr:rowOff>180975</xdr:rowOff>
    </xdr:from>
    <xdr:to>
      <xdr:col>9</xdr:col>
      <xdr:colOff>485775</xdr:colOff>
      <xdr:row>55</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390525</xdr:colOff>
      <xdr:row>40</xdr:row>
      <xdr:rowOff>76200</xdr:rowOff>
    </xdr:from>
    <xdr:to>
      <xdr:col>24</xdr:col>
      <xdr:colOff>85725</xdr:colOff>
      <xdr:row>54</xdr:row>
      <xdr:rowOff>152400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1085850</xdr:colOff>
      <xdr:row>0</xdr:row>
      <xdr:rowOff>152400</xdr:rowOff>
    </xdr:from>
    <xdr:to>
      <xdr:col>9</xdr:col>
      <xdr:colOff>523875</xdr:colOff>
      <xdr:row>13</xdr:row>
      <xdr:rowOff>0</xdr:rowOff>
    </xdr:to>
    <xdr:sp macro="" textlink="">
      <xdr:nvSpPr>
        <xdr:cNvPr id="38914" name="Text Box 2"/>
        <xdr:cNvSpPr txBox="1">
          <a:spLocks noChangeArrowheads="1"/>
        </xdr:cNvSpPr>
      </xdr:nvSpPr>
      <xdr:spPr bwMode="auto">
        <a:xfrm>
          <a:off x="5924550" y="152400"/>
          <a:ext cx="4505325" cy="19526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PREDICTS CONTINUUM STEADY-STATE PRESSURES, FLOWS, CONDUCTANCES FROM DAILY SOIL PROFILES (UP TO FIVE LAYERS) OR PREDAWNS (TREAT SOIL AS 1 LAYER) and VPD. ALSO PREDICTS CRITICAL VALUES OF P AND E. XYLEM REFILLING OPTIONAL. PRIMARILY SET UP FOR PREDICTING MIDDAY PARAMETERS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STOMATAL ROUTINE: Predicts the regulated E from a dEdP-based reduction in unregulated delta P. The dEdP is normalized to predawn value. See Sperry &amp; Love 2015 Tansley Review.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UNITS: E's and K's in kg hr-1 per m2 total basal area (not sapwood area). All water potentials or pressures are inputted/outputted as POSITIVE values in MPa.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root system conductances weighted for relative transport distance to layers, assuming a known aspect ratio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p>
      </xdr:txBody>
    </xdr:sp>
    <xdr:clientData/>
  </xdr:twoCellAnchor>
  <xdr:twoCellAnchor>
    <xdr:from>
      <xdr:col>1</xdr:col>
      <xdr:colOff>1362075</xdr:colOff>
      <xdr:row>70</xdr:row>
      <xdr:rowOff>114300</xdr:rowOff>
    </xdr:from>
    <xdr:to>
      <xdr:col>5</xdr:col>
      <xdr:colOff>866775</xdr:colOff>
      <xdr:row>85</xdr:row>
      <xdr:rowOff>142875</xdr:rowOff>
    </xdr:to>
    <xdr:graphicFrame macro="">
      <xdr:nvGraphicFramePr>
        <xdr:cNvPr id="3943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723900</xdr:colOff>
      <xdr:row>92</xdr:row>
      <xdr:rowOff>0</xdr:rowOff>
    </xdr:from>
    <xdr:to>
      <xdr:col>6</xdr:col>
      <xdr:colOff>590550</xdr:colOff>
      <xdr:row>111</xdr:row>
      <xdr:rowOff>47625</xdr:rowOff>
    </xdr:to>
    <xdr:graphicFrame macro="">
      <xdr:nvGraphicFramePr>
        <xdr:cNvPr id="3943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142875</xdr:colOff>
      <xdr:row>16</xdr:row>
      <xdr:rowOff>38100</xdr:rowOff>
    </xdr:from>
    <xdr:to>
      <xdr:col>16</xdr:col>
      <xdr:colOff>400050</xdr:colOff>
      <xdr:row>31</xdr:row>
      <xdr:rowOff>47625</xdr:rowOff>
    </xdr:to>
    <xdr:graphicFrame macro="">
      <xdr:nvGraphicFramePr>
        <xdr:cNvPr id="2575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257175</xdr:colOff>
      <xdr:row>28</xdr:row>
      <xdr:rowOff>38100</xdr:rowOff>
    </xdr:from>
    <xdr:to>
      <xdr:col>14</xdr:col>
      <xdr:colOff>914400</xdr:colOff>
      <xdr:row>43</xdr:row>
      <xdr:rowOff>47625</xdr:rowOff>
    </xdr:to>
    <xdr:graphicFrame macro="">
      <xdr:nvGraphicFramePr>
        <xdr:cNvPr id="339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20User/AppData/Roaming/Microsoft/Excel/soil-plant-climate%20ver1%20aspe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rogram"/>
      <sheetName val="instructions and example"/>
      <sheetName val="root and xylem worksheet"/>
      <sheetName val="van genuchten parameters"/>
      <sheetName val="rainfall worksheet"/>
      <sheetName val="0"/>
      <sheetName val="0.13"/>
      <sheetName val="0.29"/>
      <sheetName val="0.42"/>
      <sheetName val="0.47"/>
      <sheetName val="0.36"/>
      <sheetName val="0.24"/>
      <sheetName val="0.05"/>
      <sheetName val="0.11"/>
      <sheetName val="0.21"/>
      <sheetName val="0.16"/>
      <sheetName val="0.025"/>
      <sheetName val="0.065"/>
      <sheetName val="0.08"/>
      <sheetName val="0.18"/>
      <sheetName val="0.22"/>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7">
          <cell r="H17">
            <v>5.027596937248973E-2</v>
          </cell>
          <cell r="J17">
            <v>39.100000000000222</v>
          </cell>
        </row>
        <row r="18">
          <cell r="H18">
            <v>5.2207863092318056E-2</v>
          </cell>
          <cell r="J18">
            <v>58.310000000000414</v>
          </cell>
        </row>
        <row r="19">
          <cell r="H19">
            <v>5.8416143209774521E-2</v>
          </cell>
          <cell r="J19">
            <v>73.610000000000568</v>
          </cell>
        </row>
        <row r="20">
          <cell r="H20">
            <v>7.0330102802350525E-2</v>
          </cell>
          <cell r="J20">
            <v>91.970000000000752</v>
          </cell>
        </row>
        <row r="21">
          <cell r="H21">
            <v>9.3561714063174747E-2</v>
          </cell>
          <cell r="J21">
            <v>95.200000000000784</v>
          </cell>
        </row>
        <row r="22">
          <cell r="H22">
            <v>6.9067729971488245E-2</v>
          </cell>
          <cell r="J22">
            <v>84.660000000000679</v>
          </cell>
        </row>
        <row r="23">
          <cell r="H23">
            <v>8.5509097395110381E-2</v>
          </cell>
          <cell r="J23">
            <v>105.40000000000089</v>
          </cell>
        </row>
        <row r="24">
          <cell r="H24">
            <v>0.11945495086924386</v>
          </cell>
          <cell r="J24">
            <v>110.67000000000094</v>
          </cell>
        </row>
        <row r="25">
          <cell r="H25">
            <v>0.19189812218649821</v>
          </cell>
          <cell r="J25">
            <v>112.88000000000096</v>
          </cell>
        </row>
        <row r="26">
          <cell r="H26">
            <v>0.24427632755493378</v>
          </cell>
          <cell r="J26">
            <v>109.48000000000093</v>
          </cell>
        </row>
        <row r="27">
          <cell r="H27">
            <v>0.34220494358375331</v>
          </cell>
          <cell r="J27">
            <v>91.290000000000745</v>
          </cell>
        </row>
        <row r="28">
          <cell r="H28">
            <v>0.42208176323413349</v>
          </cell>
          <cell r="J28">
            <v>71.910000000000551</v>
          </cell>
        </row>
        <row r="29">
          <cell r="H29">
            <v>0.52860536693136917</v>
          </cell>
          <cell r="J29">
            <v>50.490000000000336</v>
          </cell>
        </row>
        <row r="30">
          <cell r="H30">
            <v>0.51270030958172297</v>
          </cell>
          <cell r="J30">
            <v>52.360000000000355</v>
          </cell>
        </row>
        <row r="31">
          <cell r="H31">
            <v>0.52755897201922775</v>
          </cell>
          <cell r="J31">
            <v>50.150000000000333</v>
          </cell>
        </row>
        <row r="32">
          <cell r="H32">
            <v>0.52697660846146077</v>
          </cell>
          <cell r="J32">
            <v>49.810000000000329</v>
          </cell>
        </row>
        <row r="33">
          <cell r="H33">
            <v>0.37918545902276646</v>
          </cell>
          <cell r="J33">
            <v>64.430000000000476</v>
          </cell>
        </row>
        <row r="34">
          <cell r="H34">
            <v>0.33488607941154935</v>
          </cell>
          <cell r="J34">
            <v>69.190000000000524</v>
          </cell>
        </row>
        <row r="35">
          <cell r="H35">
            <v>0.36194503888694163</v>
          </cell>
          <cell r="J35">
            <v>78.710000000000619</v>
          </cell>
        </row>
        <row r="36">
          <cell r="H36">
            <v>0.51076685664329113</v>
          </cell>
          <cell r="J36">
            <v>54.060000000000372</v>
          </cell>
        </row>
        <row r="37">
          <cell r="H37">
            <v>0.53525629432159993</v>
          </cell>
          <cell r="J37">
            <v>50.490000000000336</v>
          </cell>
        </row>
        <row r="38">
          <cell r="H38">
            <v>0.55119441793384483</v>
          </cell>
          <cell r="J38">
            <v>48.450000000000315</v>
          </cell>
        </row>
        <row r="39">
          <cell r="H39">
            <v>0.55858925546562244</v>
          </cell>
          <cell r="J39">
            <v>47.770000000000309</v>
          </cell>
        </row>
        <row r="40">
          <cell r="H40">
            <v>0.56837910270292291</v>
          </cell>
          <cell r="J40">
            <v>46.750000000000298</v>
          </cell>
        </row>
        <row r="41">
          <cell r="H41">
            <v>0.57710174759282418</v>
          </cell>
          <cell r="J41">
            <v>45.90000000000029</v>
          </cell>
        </row>
        <row r="42">
          <cell r="H42">
            <v>0.58738192642516951</v>
          </cell>
          <cell r="J42">
            <v>43.350000000000264</v>
          </cell>
        </row>
        <row r="43">
          <cell r="H43">
            <v>0.59485357963149499</v>
          </cell>
          <cell r="J43">
            <v>42.840000000000259</v>
          </cell>
        </row>
        <row r="44">
          <cell r="H44">
            <v>0.60760169074340975</v>
          </cell>
          <cell r="J44">
            <v>43.350000000000264</v>
          </cell>
        </row>
        <row r="45">
          <cell r="H45">
            <v>0.62725063494377187</v>
          </cell>
          <cell r="J45">
            <v>41.480000000000246</v>
          </cell>
        </row>
        <row r="46">
          <cell r="H46">
            <v>0.64542534307269861</v>
          </cell>
          <cell r="J46">
            <v>39.610000000000227</v>
          </cell>
        </row>
        <row r="47">
          <cell r="H47">
            <v>0.66599090923318394</v>
          </cell>
          <cell r="J47">
            <v>37.230000000000203</v>
          </cell>
        </row>
        <row r="48">
          <cell r="H48">
            <v>0.54561385053526512</v>
          </cell>
          <cell r="J48">
            <v>57.970000000000411</v>
          </cell>
        </row>
        <row r="49">
          <cell r="H49">
            <v>0.74451496934126882</v>
          </cell>
          <cell r="J49">
            <v>29.410000000000128</v>
          </cell>
        </row>
        <row r="50">
          <cell r="H50">
            <v>0.49282553315462824</v>
          </cell>
          <cell r="J50">
            <v>58.82000000000042</v>
          </cell>
        </row>
        <row r="51">
          <cell r="H51">
            <v>0.52463429017051788</v>
          </cell>
          <cell r="J51">
            <v>56.780000000000399</v>
          </cell>
        </row>
        <row r="52">
          <cell r="H52">
            <v>0.76407712185480525</v>
          </cell>
          <cell r="J52">
            <v>24.480000000000079</v>
          </cell>
        </row>
        <row r="53">
          <cell r="H53">
            <v>0.78703353064689552</v>
          </cell>
          <cell r="J53">
            <v>21.760000000000051</v>
          </cell>
        </row>
        <row r="54">
          <cell r="H54">
            <v>0.58766616228809287</v>
          </cell>
          <cell r="J54">
            <v>46.410000000000295</v>
          </cell>
        </row>
        <row r="55">
          <cell r="H55">
            <v>0.84077280665628218</v>
          </cell>
          <cell r="J55">
            <v>17.850000000000001</v>
          </cell>
        </row>
        <row r="56">
          <cell r="H56">
            <v>0.86448770849762224</v>
          </cell>
          <cell r="J56">
            <v>16.149999999999999</v>
          </cell>
        </row>
        <row r="57">
          <cell r="H57">
            <v>0.89976061171559496</v>
          </cell>
          <cell r="J57">
            <v>14.28</v>
          </cell>
        </row>
        <row r="58">
          <cell r="H58">
            <v>0.92873380615849332</v>
          </cell>
          <cell r="J58">
            <v>12.92</v>
          </cell>
        </row>
        <row r="59">
          <cell r="H59">
            <v>0.95841047861458795</v>
          </cell>
          <cell r="J59">
            <v>11.9</v>
          </cell>
        </row>
        <row r="60">
          <cell r="H60">
            <v>0.98799652577367658</v>
          </cell>
          <cell r="J60">
            <v>10.88</v>
          </cell>
        </row>
        <row r="61">
          <cell r="H61">
            <v>1.0165969977419909</v>
          </cell>
          <cell r="J61">
            <v>9.86</v>
          </cell>
        </row>
        <row r="62">
          <cell r="H62">
            <v>1.0432464839907114</v>
          </cell>
          <cell r="J62">
            <v>9.18</v>
          </cell>
        </row>
        <row r="63">
          <cell r="H63">
            <v>1.0006226361992097</v>
          </cell>
          <cell r="J63">
            <v>10.37</v>
          </cell>
        </row>
        <row r="64">
          <cell r="H64">
            <v>1.0885371581306404</v>
          </cell>
          <cell r="J64">
            <v>8.16</v>
          </cell>
        </row>
        <row r="65">
          <cell r="H65">
            <v>1.1103883153981884</v>
          </cell>
          <cell r="J65">
            <v>7.65</v>
          </cell>
        </row>
        <row r="66">
          <cell r="H66">
            <v>1.1377147336340889</v>
          </cell>
          <cell r="J66">
            <v>7.14</v>
          </cell>
        </row>
        <row r="67">
          <cell r="H67">
            <v>1.1635020949967514</v>
          </cell>
          <cell r="J67">
            <v>6.8</v>
          </cell>
        </row>
        <row r="68">
          <cell r="H68">
            <v>0.66577401880234277</v>
          </cell>
          <cell r="J68">
            <v>34.000000000000171</v>
          </cell>
        </row>
        <row r="69">
          <cell r="H69">
            <v>0.81092702748486345</v>
          </cell>
          <cell r="J69">
            <v>20.399999999999999</v>
          </cell>
        </row>
        <row r="70">
          <cell r="H70">
            <v>1.1097460914376982</v>
          </cell>
          <cell r="J70">
            <v>7.82</v>
          </cell>
        </row>
        <row r="71">
          <cell r="H71">
            <v>1.1631573210012263</v>
          </cell>
          <cell r="J71">
            <v>6.8</v>
          </cell>
        </row>
        <row r="72">
          <cell r="H72">
            <v>1.1872478692901831</v>
          </cell>
          <cell r="J72">
            <v>6.29</v>
          </cell>
        </row>
        <row r="73">
          <cell r="H73">
            <v>1.216250617462254</v>
          </cell>
          <cell r="J73">
            <v>5.95</v>
          </cell>
        </row>
        <row r="74">
          <cell r="H74">
            <v>1.2446941973551018</v>
          </cell>
          <cell r="J74">
            <v>5.61</v>
          </cell>
        </row>
        <row r="75">
          <cell r="H75">
            <v>1.2715428255503123</v>
          </cell>
          <cell r="J75">
            <v>5.27</v>
          </cell>
        </row>
        <row r="76">
          <cell r="H76">
            <v>1.296629282448446</v>
          </cell>
          <cell r="J76">
            <v>4.93</v>
          </cell>
        </row>
        <row r="77">
          <cell r="H77">
            <v>1.3197564469647061</v>
          </cell>
          <cell r="J77">
            <v>4.76</v>
          </cell>
        </row>
        <row r="78">
          <cell r="H78">
            <v>1.343000736344427</v>
          </cell>
          <cell r="J78">
            <v>4.42</v>
          </cell>
        </row>
        <row r="79">
          <cell r="H79">
            <v>1.3639520733853627</v>
          </cell>
          <cell r="J79">
            <v>4.25</v>
          </cell>
        </row>
        <row r="80">
          <cell r="H80">
            <v>0.96222490741237054</v>
          </cell>
          <cell r="J80">
            <v>12.24</v>
          </cell>
        </row>
        <row r="81">
          <cell r="H81">
            <v>1.3467907311140157</v>
          </cell>
          <cell r="J81">
            <v>4.42</v>
          </cell>
        </row>
        <row r="82">
          <cell r="H82">
            <v>1.3811594966247946</v>
          </cell>
          <cell r="J82">
            <v>4.08</v>
          </cell>
        </row>
        <row r="83">
          <cell r="H83">
            <v>0.77893182178919651</v>
          </cell>
          <cell r="J83">
            <v>24.65000000000008</v>
          </cell>
        </row>
        <row r="84">
          <cell r="H84">
            <v>0.71428525245724928</v>
          </cell>
          <cell r="J84">
            <v>28.050000000000114</v>
          </cell>
        </row>
        <row r="85">
          <cell r="H85">
            <v>0.91847682468096636</v>
          </cell>
          <cell r="J85">
            <v>12.58</v>
          </cell>
        </row>
        <row r="86">
          <cell r="H86">
            <v>1.1643095085395621</v>
          </cell>
          <cell r="J86">
            <v>6.46</v>
          </cell>
        </row>
        <row r="87">
          <cell r="H87">
            <v>0.84515569912997035</v>
          </cell>
          <cell r="J87">
            <v>19.38</v>
          </cell>
        </row>
        <row r="88">
          <cell r="H88">
            <v>1.2310434564551385</v>
          </cell>
          <cell r="J88">
            <v>5.61</v>
          </cell>
        </row>
        <row r="89">
          <cell r="H89">
            <v>1.288837765432171</v>
          </cell>
          <cell r="J89">
            <v>4.93</v>
          </cell>
        </row>
        <row r="90">
          <cell r="H90">
            <v>1.3149391266728123</v>
          </cell>
          <cell r="J90">
            <v>4.76</v>
          </cell>
        </row>
        <row r="91">
          <cell r="H91">
            <v>1.3457280432779934</v>
          </cell>
          <cell r="J91">
            <v>4.42</v>
          </cell>
        </row>
        <row r="92">
          <cell r="H92">
            <v>1.3744885159340956</v>
          </cell>
          <cell r="J92">
            <v>4.08</v>
          </cell>
        </row>
        <row r="93">
          <cell r="H93">
            <v>1.3998996142522442</v>
          </cell>
          <cell r="J93">
            <v>3.91</v>
          </cell>
        </row>
        <row r="94">
          <cell r="H94">
            <v>1.424189534110702</v>
          </cell>
          <cell r="J94">
            <v>3.74</v>
          </cell>
        </row>
        <row r="95">
          <cell r="H95">
            <v>1.4471623637630655</v>
          </cell>
          <cell r="J95">
            <v>3.57</v>
          </cell>
        </row>
        <row r="96">
          <cell r="H96">
            <v>1.4689362804916863</v>
          </cell>
          <cell r="J96">
            <v>3.4</v>
          </cell>
        </row>
        <row r="97">
          <cell r="H97">
            <v>1.4893547817037061</v>
          </cell>
          <cell r="J97">
            <v>3.145</v>
          </cell>
        </row>
        <row r="98">
          <cell r="H98">
            <v>1.5072164575691251</v>
          </cell>
          <cell r="J98">
            <v>3.06</v>
          </cell>
        </row>
        <row r="99">
          <cell r="H99">
            <v>1.5251007479921599</v>
          </cell>
          <cell r="J99">
            <v>2.89</v>
          </cell>
        </row>
        <row r="100">
          <cell r="H100">
            <v>1.5417233118038365</v>
          </cell>
          <cell r="J100">
            <v>2.8050000000000002</v>
          </cell>
        </row>
        <row r="101">
          <cell r="H101">
            <v>1.5582438344308214</v>
          </cell>
          <cell r="J101">
            <v>2.72</v>
          </cell>
        </row>
        <row r="102">
          <cell r="H102">
            <v>1.5746497239430259</v>
          </cell>
          <cell r="J102">
            <v>2.6349999999999998</v>
          </cell>
        </row>
        <row r="103">
          <cell r="H103">
            <v>1.59072245506462</v>
          </cell>
          <cell r="J103">
            <v>2.5499999999999998</v>
          </cell>
        </row>
        <row r="104">
          <cell r="H104">
            <v>1.6064113133548319</v>
          </cell>
          <cell r="J104">
            <v>2.4649999999999999</v>
          </cell>
        </row>
        <row r="105">
          <cell r="H105">
            <v>1.6217994502702209</v>
          </cell>
          <cell r="J105">
            <v>2.38</v>
          </cell>
        </row>
        <row r="106">
          <cell r="H106">
            <v>1.6367047608626406</v>
          </cell>
          <cell r="J106">
            <v>2.2949999999999999</v>
          </cell>
        </row>
        <row r="107">
          <cell r="H107">
            <v>1.6511933574722057</v>
          </cell>
          <cell r="J107">
            <v>2.21</v>
          </cell>
        </row>
        <row r="108">
          <cell r="H108">
            <v>1.6650921900767566</v>
          </cell>
          <cell r="J108">
            <v>2.125</v>
          </cell>
        </row>
        <row r="109">
          <cell r="H109">
            <v>1.6784432111391572</v>
          </cell>
          <cell r="J109">
            <v>2.125</v>
          </cell>
        </row>
        <row r="110">
          <cell r="H110">
            <v>1.6927720168469373</v>
          </cell>
          <cell r="J110">
            <v>2.04</v>
          </cell>
        </row>
        <row r="111">
          <cell r="H111">
            <v>1.7064424364944044</v>
          </cell>
          <cell r="J111">
            <v>1.9550000000000001</v>
          </cell>
        </row>
        <row r="112">
          <cell r="H112">
            <v>0.90611971285948789</v>
          </cell>
          <cell r="J112">
            <v>13.515000000000052</v>
          </cell>
        </row>
        <row r="113">
          <cell r="H113">
            <v>1.0400223875281838</v>
          </cell>
          <cell r="J113">
            <v>7.3949999999999996</v>
          </cell>
        </row>
        <row r="114">
          <cell r="H114">
            <v>1.3631597707175696</v>
          </cell>
          <cell r="J114">
            <v>3.8250000000000002</v>
          </cell>
        </row>
        <row r="115">
          <cell r="H115">
            <v>0.97408098570696922</v>
          </cell>
          <cell r="J115">
            <v>10.029999999999999</v>
          </cell>
        </row>
        <row r="116">
          <cell r="H116">
            <v>1.0169794755091477</v>
          </cell>
          <cell r="J116">
            <v>7.7350000000000003</v>
          </cell>
        </row>
        <row r="117">
          <cell r="H117">
            <v>1.2809600038050455</v>
          </cell>
          <cell r="J117">
            <v>4.42</v>
          </cell>
        </row>
        <row r="118">
          <cell r="H118">
            <v>1.3585755003209721</v>
          </cell>
          <cell r="J118">
            <v>3.8250000000000002</v>
          </cell>
        </row>
        <row r="119">
          <cell r="H119">
            <v>1.4172243356267411</v>
          </cell>
          <cell r="J119">
            <v>3.4</v>
          </cell>
        </row>
        <row r="120">
          <cell r="H120">
            <v>1.4636590552275002</v>
          </cell>
          <cell r="J120">
            <v>3.145</v>
          </cell>
        </row>
        <row r="121">
          <cell r="H121">
            <v>1.0545473609481588</v>
          </cell>
          <cell r="J121">
            <v>6.97</v>
          </cell>
        </row>
        <row r="122">
          <cell r="H122">
            <v>1.3693655997892185</v>
          </cell>
          <cell r="J122">
            <v>3.74</v>
          </cell>
        </row>
        <row r="123">
          <cell r="H123">
            <v>1.4300132411633717</v>
          </cell>
          <cell r="J123">
            <v>3.3149999999999999</v>
          </cell>
        </row>
        <row r="124">
          <cell r="H124">
            <v>1.4755146759643198</v>
          </cell>
          <cell r="J124">
            <v>3.06</v>
          </cell>
        </row>
        <row r="125">
          <cell r="H125">
            <v>1.5127897081749582</v>
          </cell>
          <cell r="J125">
            <v>2.8050000000000002</v>
          </cell>
        </row>
        <row r="126">
          <cell r="H126">
            <v>1.543656457059783</v>
          </cell>
          <cell r="J126">
            <v>2.6349999999999998</v>
          </cell>
        </row>
        <row r="127">
          <cell r="H127">
            <v>1.5704766568969366</v>
          </cell>
          <cell r="J127">
            <v>2.5499999999999998</v>
          </cell>
        </row>
        <row r="128">
          <cell r="H128">
            <v>0.87341649177536562</v>
          </cell>
          <cell r="J128">
            <v>14.450000000000061</v>
          </cell>
        </row>
        <row r="129">
          <cell r="H129">
            <v>0.95410497207046752</v>
          </cell>
          <cell r="J129">
            <v>10.795</v>
          </cell>
        </row>
        <row r="130">
          <cell r="H130">
            <v>1.2655931327729943</v>
          </cell>
          <cell r="J130">
            <v>4.59</v>
          </cell>
        </row>
        <row r="131">
          <cell r="H131">
            <v>1.3575327597142202</v>
          </cell>
          <cell r="J131">
            <v>3.8250000000000002</v>
          </cell>
        </row>
        <row r="132">
          <cell r="H132">
            <v>1.4170983656112563</v>
          </cell>
          <cell r="J132">
            <v>3.4</v>
          </cell>
        </row>
        <row r="133">
          <cell r="H133">
            <v>1.4628400606763117</v>
          </cell>
          <cell r="J133">
            <v>3.145</v>
          </cell>
        </row>
        <row r="134">
          <cell r="H134">
            <v>1.5007819794291357</v>
          </cell>
          <cell r="J134">
            <v>2.89</v>
          </cell>
        </row>
        <row r="135">
          <cell r="H135">
            <v>1.532472527252958</v>
          </cell>
          <cell r="J135">
            <v>2.72</v>
          </cell>
        </row>
        <row r="136">
          <cell r="H136">
            <v>1.5601537198541395</v>
          </cell>
          <cell r="J136">
            <v>2.6349999999999998</v>
          </cell>
        </row>
        <row r="137">
          <cell r="H137">
            <v>1.5857035698176742</v>
          </cell>
          <cell r="J137">
            <v>2.4649999999999999</v>
          </cell>
        </row>
        <row r="138">
          <cell r="H138">
            <v>1.6079816430493441</v>
          </cell>
          <cell r="J138">
            <v>2.38</v>
          </cell>
        </row>
        <row r="139">
          <cell r="H139">
            <v>1.6287646687965027</v>
          </cell>
          <cell r="J139">
            <v>2.2949999999999999</v>
          </cell>
        </row>
        <row r="140">
          <cell r="H140">
            <v>1.1145945054507744</v>
          </cell>
          <cell r="J140">
            <v>5.8650000000000002</v>
          </cell>
        </row>
        <row r="141">
          <cell r="H141">
            <v>1.2228870202204083</v>
          </cell>
          <cell r="J141">
            <v>4.8449999999999998</v>
          </cell>
        </row>
        <row r="142">
          <cell r="H142">
            <v>1.4379878646060371</v>
          </cell>
          <cell r="J142">
            <v>3.3149999999999999</v>
          </cell>
        </row>
        <row r="143">
          <cell r="H143">
            <v>1.4936901568041425</v>
          </cell>
          <cell r="J143">
            <v>2.9750000000000001</v>
          </cell>
        </row>
        <row r="144">
          <cell r="H144">
            <v>0.96727742468911748</v>
          </cell>
          <cell r="J144">
            <v>11.05</v>
          </cell>
        </row>
        <row r="145">
          <cell r="H145">
            <v>0.86342067100234732</v>
          </cell>
          <cell r="J145">
            <v>15.130000000000068</v>
          </cell>
        </row>
        <row r="146">
          <cell r="H146">
            <v>1.0415574358078303</v>
          </cell>
          <cell r="J146">
            <v>7.2249999999999996</v>
          </cell>
        </row>
        <row r="147">
          <cell r="H147">
            <v>1.2674303229589083</v>
          </cell>
          <cell r="J147">
            <v>4.59</v>
          </cell>
        </row>
        <row r="148">
          <cell r="H148">
            <v>1.3434727752929456</v>
          </cell>
          <cell r="J148">
            <v>3.91</v>
          </cell>
        </row>
        <row r="149">
          <cell r="H149">
            <v>0.95984522365125902</v>
          </cell>
          <cell r="J149">
            <v>10.455</v>
          </cell>
        </row>
        <row r="150">
          <cell r="H150">
            <v>0.857381394712879</v>
          </cell>
          <cell r="J150">
            <v>15.470000000000072</v>
          </cell>
        </row>
        <row r="151">
          <cell r="H151">
            <v>1.0743699082921323</v>
          </cell>
          <cell r="J151">
            <v>6.8</v>
          </cell>
        </row>
        <row r="152">
          <cell r="H152">
            <v>1.2463789861145764</v>
          </cell>
          <cell r="J152">
            <v>4.76</v>
          </cell>
        </row>
        <row r="153">
          <cell r="H153">
            <v>1.3160943870157997</v>
          </cell>
          <cell r="J153">
            <v>4.165</v>
          </cell>
        </row>
        <row r="154">
          <cell r="H154">
            <v>1.3703456698295493</v>
          </cell>
          <cell r="J154">
            <v>3.74</v>
          </cell>
        </row>
        <row r="155">
          <cell r="H155">
            <v>1.4141162952484838</v>
          </cell>
          <cell r="J155">
            <v>3.4</v>
          </cell>
        </row>
        <row r="156">
          <cell r="H156">
            <v>1.4503010280037374</v>
          </cell>
          <cell r="J156">
            <v>3.23</v>
          </cell>
        </row>
        <row r="157">
          <cell r="H157">
            <v>1.4823190183000914</v>
          </cell>
          <cell r="J157">
            <v>3.06</v>
          </cell>
        </row>
        <row r="158">
          <cell r="H158">
            <v>1.5107444830529486</v>
          </cell>
          <cell r="J158">
            <v>2.89</v>
          </cell>
        </row>
        <row r="159">
          <cell r="H159">
            <v>1.5359626169080871</v>
          </cell>
          <cell r="J159">
            <v>2.72</v>
          </cell>
        </row>
        <row r="160">
          <cell r="H160">
            <v>0.73979056629262141</v>
          </cell>
          <cell r="J160">
            <v>19.040000000000106</v>
          </cell>
        </row>
        <row r="161">
          <cell r="H161">
            <v>0.74323691574505446</v>
          </cell>
          <cell r="J161">
            <v>19.125000000000107</v>
          </cell>
        </row>
        <row r="162">
          <cell r="H162">
            <v>0.75419078955978702</v>
          </cell>
          <cell r="J162">
            <v>19.125000000000107</v>
          </cell>
        </row>
        <row r="163">
          <cell r="H163">
            <v>0.80500240433341219</v>
          </cell>
          <cell r="J163">
            <v>17.51000000000009</v>
          </cell>
        </row>
        <row r="164">
          <cell r="H164">
            <v>1.0053022523349147</v>
          </cell>
          <cell r="J164">
            <v>7.99</v>
          </cell>
        </row>
        <row r="165">
          <cell r="H165">
            <v>1.1717254352828734</v>
          </cell>
          <cell r="J165">
            <v>5.5250000000000004</v>
          </cell>
        </row>
        <row r="166">
          <cell r="H166">
            <v>1.2460025370269576</v>
          </cell>
          <cell r="J166">
            <v>4.76</v>
          </cell>
        </row>
        <row r="167">
          <cell r="H167">
            <v>1.3034958921313491</v>
          </cell>
          <cell r="J167">
            <v>4.25</v>
          </cell>
        </row>
        <row r="168">
          <cell r="H168">
            <v>1.3497629616790192</v>
          </cell>
          <cell r="J168">
            <v>3.91</v>
          </cell>
        </row>
        <row r="169">
          <cell r="H169">
            <v>1.3886503533652017</v>
          </cell>
          <cell r="J169">
            <v>3.6549999999999998</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sheetPr codeName="Sheet1"/>
  <dimension ref="A1:AB1264"/>
  <sheetViews>
    <sheetView topLeftCell="G21" workbookViewId="0">
      <selection activeCell="P40" sqref="P40"/>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9" customWidth="1"/>
    <col min="10" max="10" width="12.28515625" customWidth="1"/>
    <col min="11" max="11" width="13" customWidth="1"/>
    <col min="13" max="13" width="14" customWidth="1"/>
    <col min="14" max="14" width="13.140625" bestFit="1" customWidth="1"/>
    <col min="15" max="15" width="14" customWidth="1"/>
    <col min="17" max="17" width="16.42578125" customWidth="1"/>
    <col min="19" max="19" width="11.7109375" customWidth="1"/>
    <col min="20" max="20" width="19.28515625" customWidth="1"/>
    <col min="22" max="22" width="12.42578125" bestFit="1" customWidth="1"/>
    <col min="23" max="23" width="10.7109375" customWidth="1"/>
    <col min="25" max="25" width="11.42578125" bestFit="1" customWidth="1"/>
    <col min="26" max="26" width="12.42578125" bestFit="1" customWidth="1"/>
  </cols>
  <sheetData>
    <row r="1" spans="1:26">
      <c r="A1" t="s">
        <v>2</v>
      </c>
      <c r="B1" t="s">
        <v>3</v>
      </c>
      <c r="C1" t="s">
        <v>4</v>
      </c>
      <c r="D1" t="s">
        <v>5</v>
      </c>
      <c r="G1" t="s">
        <v>11</v>
      </c>
      <c r="H1" t="s">
        <v>103</v>
      </c>
      <c r="I1" s="24">
        <v>381</v>
      </c>
      <c r="J1" t="s">
        <v>27</v>
      </c>
      <c r="L1" t="s">
        <v>151</v>
      </c>
      <c r="M1">
        <v>1500</v>
      </c>
      <c r="N1" t="s">
        <v>152</v>
      </c>
      <c r="Q1" t="s">
        <v>92</v>
      </c>
      <c r="R1">
        <v>101.3</v>
      </c>
      <c r="S1" t="s">
        <v>91</v>
      </c>
    </row>
    <row r="2" spans="1:26">
      <c r="A2" t="s">
        <v>20</v>
      </c>
      <c r="B2">
        <v>762</v>
      </c>
      <c r="C2">
        <v>1524</v>
      </c>
      <c r="D2">
        <v>1524</v>
      </c>
      <c r="E2" t="s">
        <v>27</v>
      </c>
      <c r="L2" t="s">
        <v>95</v>
      </c>
      <c r="M2" s="24">
        <v>500000</v>
      </c>
      <c r="N2" t="s">
        <v>27</v>
      </c>
      <c r="Q2" t="s">
        <v>132</v>
      </c>
      <c r="T2" t="s">
        <v>130</v>
      </c>
    </row>
    <row r="3" spans="1:26">
      <c r="E3" t="s">
        <v>27</v>
      </c>
      <c r="L3" t="s">
        <v>95</v>
      </c>
      <c r="M3" s="24">
        <v>5129.6296296296287</v>
      </c>
      <c r="N3" t="s">
        <v>161</v>
      </c>
      <c r="Q3" t="s">
        <v>133</v>
      </c>
      <c r="R3">
        <v>30</v>
      </c>
      <c r="S3" t="s">
        <v>134</v>
      </c>
      <c r="T3" t="s">
        <v>141</v>
      </c>
      <c r="U3">
        <v>2000</v>
      </c>
      <c r="V3" t="s">
        <v>142</v>
      </c>
    </row>
    <row r="4" spans="1:26">
      <c r="A4" t="s">
        <v>0</v>
      </c>
      <c r="B4">
        <v>2</v>
      </c>
      <c r="C4">
        <v>2</v>
      </c>
      <c r="D4">
        <v>2</v>
      </c>
      <c r="H4" t="s">
        <v>124</v>
      </c>
      <c r="I4">
        <v>5</v>
      </c>
      <c r="J4" t="s">
        <v>6</v>
      </c>
      <c r="K4" t="s">
        <v>101</v>
      </c>
      <c r="L4" t="s">
        <v>29</v>
      </c>
      <c r="M4" t="s">
        <v>102</v>
      </c>
      <c r="Q4" t="s">
        <v>135</v>
      </c>
      <c r="R4">
        <v>740</v>
      </c>
      <c r="S4" t="s">
        <v>138</v>
      </c>
      <c r="T4" t="s">
        <v>147</v>
      </c>
      <c r="U4">
        <v>40</v>
      </c>
      <c r="V4" t="s">
        <v>148</v>
      </c>
    </row>
    <row r="5" spans="1:26">
      <c r="A5" t="s">
        <v>1</v>
      </c>
      <c r="B5">
        <v>3</v>
      </c>
      <c r="C5">
        <v>3</v>
      </c>
      <c r="D5">
        <v>3</v>
      </c>
      <c r="I5" s="7"/>
      <c r="K5" t="s">
        <v>120</v>
      </c>
      <c r="L5" s="12">
        <v>1</v>
      </c>
      <c r="M5" t="s">
        <v>121</v>
      </c>
      <c r="Q5" s="4" t="s">
        <v>136</v>
      </c>
      <c r="R5">
        <v>2</v>
      </c>
      <c r="S5" t="s">
        <v>137</v>
      </c>
      <c r="T5" t="s">
        <v>218</v>
      </c>
      <c r="U5">
        <v>0.3</v>
      </c>
      <c r="V5" t="s">
        <v>140</v>
      </c>
    </row>
    <row r="6" spans="1:26">
      <c r="A6" t="s">
        <v>19</v>
      </c>
      <c r="B6" s="4">
        <v>50</v>
      </c>
      <c r="C6" s="4">
        <v>25</v>
      </c>
      <c r="D6" s="4">
        <v>25</v>
      </c>
      <c r="F6" s="12">
        <f>F9/F7</f>
        <v>1455994.6802461606</v>
      </c>
      <c r="K6" t="s">
        <v>43</v>
      </c>
      <c r="L6">
        <v>0.92</v>
      </c>
      <c r="M6" t="s">
        <v>44</v>
      </c>
      <c r="Q6" s="4" t="s">
        <v>139</v>
      </c>
      <c r="R6">
        <v>0.01</v>
      </c>
      <c r="S6" t="s">
        <v>137</v>
      </c>
      <c r="T6" t="s">
        <v>143</v>
      </c>
      <c r="U6">
        <v>100</v>
      </c>
      <c r="V6" t="s">
        <v>219</v>
      </c>
    </row>
    <row r="7" spans="1:26">
      <c r="A7" t="s">
        <v>14</v>
      </c>
      <c r="C7">
        <v>4.1599999999999335</v>
      </c>
      <c r="D7">
        <v>4.1599999999999335</v>
      </c>
      <c r="E7" t="s">
        <v>6</v>
      </c>
      <c r="F7" s="16">
        <v>48504705.004124999</v>
      </c>
      <c r="I7" s="4"/>
      <c r="K7" t="s">
        <v>41</v>
      </c>
      <c r="L7">
        <v>1</v>
      </c>
      <c r="M7" t="s">
        <v>42</v>
      </c>
      <c r="Q7" t="s">
        <v>149</v>
      </c>
      <c r="R7">
        <v>0.97</v>
      </c>
      <c r="S7" t="s">
        <v>150</v>
      </c>
      <c r="T7" t="s">
        <v>221</v>
      </c>
      <c r="U7">
        <f>1.67*U6</f>
        <v>167</v>
      </c>
      <c r="V7" t="s">
        <v>220</v>
      </c>
    </row>
    <row r="8" spans="1:26">
      <c r="A8" t="s">
        <v>7</v>
      </c>
      <c r="B8" t="s">
        <v>8</v>
      </c>
      <c r="D8" t="s">
        <v>9</v>
      </c>
      <c r="E8" t="s">
        <v>10</v>
      </c>
      <c r="F8" t="s">
        <v>21</v>
      </c>
      <c r="G8" t="s">
        <v>12</v>
      </c>
      <c r="H8" t="s">
        <v>106</v>
      </c>
      <c r="I8" t="s">
        <v>13</v>
      </c>
      <c r="K8" t="s">
        <v>45</v>
      </c>
      <c r="L8" s="24" t="s">
        <v>252</v>
      </c>
      <c r="M8" s="24">
        <f>(5.86*U6-18.42)*0.0648*M1</f>
        <v>55168.775999999998</v>
      </c>
    </row>
    <row r="9" spans="1:26">
      <c r="A9">
        <v>1</v>
      </c>
      <c r="B9" s="6">
        <v>100.00028835506889</v>
      </c>
      <c r="D9" s="4">
        <v>602.04189999999994</v>
      </c>
      <c r="E9" s="4">
        <v>1.48</v>
      </c>
      <c r="F9">
        <v>70622592452915.328</v>
      </c>
      <c r="G9">
        <v>29.784999999998359</v>
      </c>
      <c r="H9">
        <v>762.002197265625</v>
      </c>
      <c r="I9">
        <v>4.0499999999999359</v>
      </c>
      <c r="K9">
        <v>0.6354299747826786</v>
      </c>
      <c r="T9" s="24" t="s">
        <v>144</v>
      </c>
      <c r="U9" s="24">
        <v>41.016369999999995</v>
      </c>
      <c r="V9" s="19" t="s">
        <v>300</v>
      </c>
      <c r="W9" s="24"/>
      <c r="X9" s="24"/>
      <c r="Y9" s="24"/>
    </row>
    <row r="10" spans="1:26">
      <c r="A10">
        <v>2</v>
      </c>
      <c r="B10" s="6"/>
      <c r="F10" s="12"/>
      <c r="T10" s="24" t="s">
        <v>145</v>
      </c>
      <c r="U10" s="24">
        <v>28201.919999999998</v>
      </c>
      <c r="V10" s="19" t="s">
        <v>300</v>
      </c>
      <c r="W10" s="24"/>
      <c r="X10" s="24"/>
      <c r="Y10" s="24"/>
    </row>
    <row r="11" spans="1:26">
      <c r="A11">
        <v>3</v>
      </c>
      <c r="B11" s="6"/>
      <c r="G11" s="16"/>
      <c r="H11" s="12"/>
      <c r="I11" s="14"/>
      <c r="J11" s="14"/>
      <c r="Q11" s="4"/>
      <c r="T11" s="19" t="s">
        <v>301</v>
      </c>
      <c r="U11" s="24">
        <v>4.3639681293527088</v>
      </c>
      <c r="V11" s="19" t="s">
        <v>302</v>
      </c>
      <c r="W11" s="24"/>
      <c r="X11" s="24"/>
      <c r="Y11" s="24"/>
    </row>
    <row r="12" spans="1:26">
      <c r="A12">
        <v>4</v>
      </c>
      <c r="B12" s="6"/>
      <c r="Q12" s="4"/>
      <c r="T12" t="s">
        <v>64</v>
      </c>
      <c r="U12">
        <v>0.98</v>
      </c>
      <c r="V12" t="s">
        <v>153</v>
      </c>
    </row>
    <row r="13" spans="1:26">
      <c r="A13">
        <v>5</v>
      </c>
      <c r="B13" s="6"/>
      <c r="T13" t="s">
        <v>222</v>
      </c>
      <c r="U13">
        <v>73637</v>
      </c>
      <c r="V13" t="s">
        <v>228</v>
      </c>
      <c r="W13">
        <v>50300</v>
      </c>
      <c r="X13" t="s">
        <v>225</v>
      </c>
    </row>
    <row r="14" spans="1:26">
      <c r="C14" t="s">
        <v>28</v>
      </c>
      <c r="F14" t="s">
        <v>27</v>
      </c>
      <c r="T14" t="s">
        <v>223</v>
      </c>
      <c r="U14">
        <v>149252</v>
      </c>
      <c r="V14" t="s">
        <v>229</v>
      </c>
      <c r="W14">
        <v>152044</v>
      </c>
      <c r="X14" t="s">
        <v>226</v>
      </c>
    </row>
    <row r="15" spans="1:26">
      <c r="A15">
        <v>4.2566788844764227</v>
      </c>
      <c r="H15" t="s">
        <v>158</v>
      </c>
      <c r="L15">
        <f>AVERAGE(L17:L36)</f>
        <v>31.961702282244584</v>
      </c>
      <c r="N15" s="3"/>
      <c r="O15" s="24">
        <f>AVERAGE(O17:O36)</f>
        <v>0.55168813169002529</v>
      </c>
      <c r="T15" t="s">
        <v>224</v>
      </c>
      <c r="U15">
        <v>486</v>
      </c>
      <c r="V15" t="s">
        <v>230</v>
      </c>
      <c r="W15">
        <v>495</v>
      </c>
      <c r="X15" t="s">
        <v>227</v>
      </c>
    </row>
    <row r="16" spans="1:26">
      <c r="A16" s="2" t="s">
        <v>93</v>
      </c>
      <c r="B16" s="2" t="s">
        <v>30</v>
      </c>
      <c r="C16" t="s">
        <v>234</v>
      </c>
      <c r="D16" s="1" t="s">
        <v>235</v>
      </c>
      <c r="E16" s="1" t="s">
        <v>236</v>
      </c>
      <c r="F16" s="30" t="s">
        <v>309</v>
      </c>
      <c r="G16" s="1" t="s">
        <v>237</v>
      </c>
      <c r="H16" t="s">
        <v>154</v>
      </c>
      <c r="I16" t="s">
        <v>155</v>
      </c>
      <c r="J16" t="s">
        <v>156</v>
      </c>
      <c r="K16" t="s">
        <v>159</v>
      </c>
      <c r="L16" t="s">
        <v>238</v>
      </c>
      <c r="M16" t="s">
        <v>157</v>
      </c>
      <c r="N16" t="s">
        <v>160</v>
      </c>
      <c r="O16" s="24" t="s">
        <v>265</v>
      </c>
      <c r="P16" t="s">
        <v>239</v>
      </c>
      <c r="Q16" t="s">
        <v>240</v>
      </c>
      <c r="R16" t="s">
        <v>241</v>
      </c>
      <c r="S16" s="24" t="s">
        <v>25</v>
      </c>
      <c r="T16" s="19" t="s">
        <v>26</v>
      </c>
      <c r="U16" s="19" t="s">
        <v>16</v>
      </c>
      <c r="V16" s="19" t="s">
        <v>17</v>
      </c>
      <c r="W16" s="19" t="s">
        <v>18</v>
      </c>
      <c r="X16" s="19" t="s">
        <v>18</v>
      </c>
      <c r="Y16" s="19" t="s">
        <v>242</v>
      </c>
      <c r="Z16" s="19" t="s">
        <v>16</v>
      </c>
    </row>
    <row r="17" spans="1:28">
      <c r="A17" s="26">
        <v>0.1</v>
      </c>
      <c r="B17" s="24">
        <v>0</v>
      </c>
      <c r="C17" s="19"/>
      <c r="D17" s="24"/>
      <c r="E17" s="24"/>
      <c r="F17" s="24"/>
      <c r="G17">
        <v>0</v>
      </c>
      <c r="H17">
        <v>0.81005666569915924</v>
      </c>
      <c r="I17" s="24">
        <v>3.1147226014814371</v>
      </c>
      <c r="J17">
        <v>499.72101352008644</v>
      </c>
      <c r="K17">
        <v>0.63139510154724121</v>
      </c>
      <c r="L17">
        <v>32.099468364820773</v>
      </c>
      <c r="M17">
        <v>20.801288455492191</v>
      </c>
      <c r="N17">
        <v>33.253391265869141</v>
      </c>
      <c r="O17">
        <v>0.65367335081100464</v>
      </c>
      <c r="P17">
        <v>3.3463629974579119</v>
      </c>
      <c r="Q17">
        <v>6.9732595555554671</v>
      </c>
      <c r="R17">
        <v>0.60170382340125994</v>
      </c>
      <c r="S17">
        <v>0.39921760484401281</v>
      </c>
      <c r="T17">
        <v>1499.3668317933509</v>
      </c>
      <c r="U17">
        <v>1457.1489241596812</v>
      </c>
      <c r="V17">
        <v>374.78997810351672</v>
      </c>
      <c r="W17">
        <v>374.78997813211669</v>
      </c>
      <c r="X17">
        <v>760.49030995422152</v>
      </c>
      <c r="Y17">
        <v>760.49030995422152</v>
      </c>
      <c r="Z17" s="24">
        <v>3.1147226014814375</v>
      </c>
      <c r="AA17" s="24" t="s">
        <v>15</v>
      </c>
    </row>
    <row r="18" spans="1:28">
      <c r="A18" s="26">
        <v>0.15</v>
      </c>
      <c r="B18" s="24">
        <v>0</v>
      </c>
      <c r="C18" s="24"/>
      <c r="D18" s="24"/>
      <c r="E18" s="24"/>
      <c r="F18" s="24"/>
      <c r="G18">
        <v>0</v>
      </c>
      <c r="H18" s="20">
        <v>0.81005666569915924</v>
      </c>
      <c r="I18" s="24">
        <v>3.1302187338271157</v>
      </c>
      <c r="J18" s="20">
        <v>465.9836631823656</v>
      </c>
      <c r="K18" s="20">
        <v>0.68047696352005005</v>
      </c>
      <c r="L18" s="20">
        <v>32.096028512571678</v>
      </c>
      <c r="M18" s="20">
        <v>20.575896719510467</v>
      </c>
      <c r="N18" s="20">
        <v>32.844402313232422</v>
      </c>
      <c r="O18">
        <v>0.61825817823410034</v>
      </c>
      <c r="P18">
        <v>3.3458676518380459</v>
      </c>
      <c r="Q18">
        <v>6.9732595555554671</v>
      </c>
      <c r="R18">
        <v>0.60470482811253434</v>
      </c>
      <c r="S18">
        <v>0.40121121543311189</v>
      </c>
      <c r="T18">
        <v>1499.3668317933514</v>
      </c>
      <c r="U18">
        <v>1457.1489241596812</v>
      </c>
      <c r="V18">
        <v>374.78654675477782</v>
      </c>
      <c r="W18">
        <v>374.78654678337716</v>
      </c>
      <c r="X18">
        <v>760.4761822303501</v>
      </c>
      <c r="Y18">
        <v>760.4761822303501</v>
      </c>
      <c r="Z18" s="24">
        <v>3.1302187338271157</v>
      </c>
      <c r="AA18" s="24" t="s">
        <v>15</v>
      </c>
    </row>
    <row r="19" spans="1:28">
      <c r="A19" s="26">
        <v>0.2</v>
      </c>
      <c r="B19" s="24">
        <v>0</v>
      </c>
      <c r="C19" s="24"/>
      <c r="D19" s="24"/>
      <c r="E19" s="24"/>
      <c r="F19" s="24"/>
      <c r="G19">
        <v>0</v>
      </c>
      <c r="H19">
        <v>0.83555930284102564</v>
      </c>
      <c r="I19" s="24">
        <v>3.2231955279011886</v>
      </c>
      <c r="J19">
        <v>450.37581325789091</v>
      </c>
      <c r="K19">
        <v>0.72497165203094482</v>
      </c>
      <c r="L19">
        <v>32.075389399077118</v>
      </c>
      <c r="M19">
        <v>20.479571952499651</v>
      </c>
      <c r="N19">
        <v>32.630405426025391</v>
      </c>
      <c r="O19">
        <v>0.62952351570129395</v>
      </c>
      <c r="P19">
        <v>3.3433796482230886</v>
      </c>
      <c r="Q19">
        <v>6.9732595555554671</v>
      </c>
      <c r="R19">
        <v>0.62294584425988531</v>
      </c>
      <c r="S19">
        <v>0.41318200378625203</v>
      </c>
      <c r="T19">
        <v>1497.7523896585012</v>
      </c>
      <c r="U19">
        <v>1452.984124430772</v>
      </c>
      <c r="V19">
        <v>374.38570912045833</v>
      </c>
      <c r="W19">
        <v>374.38570914899663</v>
      </c>
      <c r="X19">
        <v>760.37748619975594</v>
      </c>
      <c r="Y19">
        <v>760.37748619975594</v>
      </c>
      <c r="Z19" s="24">
        <v>3.223195527901189</v>
      </c>
      <c r="AA19" s="24" t="s">
        <v>15</v>
      </c>
    </row>
    <row r="20" spans="1:28">
      <c r="A20" s="24">
        <v>0.25</v>
      </c>
      <c r="B20" s="24">
        <v>0</v>
      </c>
      <c r="C20" s="24"/>
      <c r="D20" s="24"/>
      <c r="E20" s="24"/>
      <c r="F20" s="24"/>
      <c r="G20">
        <v>0</v>
      </c>
      <c r="H20">
        <v>0.83555930284102564</v>
      </c>
      <c r="I20" s="24">
        <v>3.2231955279011886</v>
      </c>
      <c r="J20">
        <v>421.31824710790039</v>
      </c>
      <c r="K20">
        <v>0.77497166395187378</v>
      </c>
      <c r="L20">
        <v>32.075389399077118</v>
      </c>
      <c r="M20">
        <v>20.241114417948751</v>
      </c>
      <c r="N20">
        <v>32.213401794433594</v>
      </c>
      <c r="O20">
        <v>0.6093670129776001</v>
      </c>
      <c r="P20">
        <v>3.3421016943700175</v>
      </c>
      <c r="Q20" s="3">
        <v>6.9732595555554671</v>
      </c>
      <c r="R20">
        <v>0.62294584425988542</v>
      </c>
      <c r="S20">
        <v>0.41318200378625208</v>
      </c>
      <c r="T20">
        <v>1497.7523896585008</v>
      </c>
      <c r="U20">
        <v>1452.984124430772</v>
      </c>
      <c r="V20">
        <v>374.38570912045833</v>
      </c>
      <c r="W20">
        <v>374.38570914899657</v>
      </c>
      <c r="X20">
        <v>760.37748619975594</v>
      </c>
      <c r="Y20">
        <v>760.37748619975594</v>
      </c>
      <c r="Z20" s="24">
        <v>3.223195527901189</v>
      </c>
      <c r="AA20" s="24" t="s">
        <v>15</v>
      </c>
    </row>
    <row r="21" spans="1:28">
      <c r="A21" s="24">
        <f t="shared" ref="A21:A36" si="0">A20+0.25</f>
        <v>0.5</v>
      </c>
      <c r="B21" s="24">
        <v>0</v>
      </c>
      <c r="C21" s="24"/>
      <c r="D21" s="24"/>
      <c r="E21" s="24"/>
      <c r="F21" s="24"/>
      <c r="G21">
        <v>0</v>
      </c>
      <c r="H21">
        <v>0.89142074963175311</v>
      </c>
      <c r="I21" s="24">
        <v>3.4246452483950134</v>
      </c>
      <c r="J21">
        <v>342.44309253077807</v>
      </c>
      <c r="K21">
        <v>1.0130634307861328</v>
      </c>
      <c r="L21">
        <v>32.030671319838909</v>
      </c>
      <c r="M21">
        <v>19.458750710761297</v>
      </c>
      <c r="N21">
        <v>30.790399551391602</v>
      </c>
      <c r="O21">
        <v>0.59035307168960571</v>
      </c>
      <c r="P21">
        <v>3.3421016944577691</v>
      </c>
      <c r="Q21">
        <v>6.9732595555554671</v>
      </c>
      <c r="R21">
        <v>0.66266232572990225</v>
      </c>
      <c r="S21">
        <v>0.43918940440774945</v>
      </c>
      <c r="T21">
        <v>1493.7388596869409</v>
      </c>
      <c r="U21">
        <v>1441.6610326136213</v>
      </c>
      <c r="V21">
        <v>373.30267192606112</v>
      </c>
      <c r="W21">
        <v>373.30267195443452</v>
      </c>
      <c r="X21">
        <v>760.05974499422553</v>
      </c>
      <c r="Y21">
        <v>760.05974499422553</v>
      </c>
      <c r="Z21" s="24">
        <v>3.4246452483950134</v>
      </c>
      <c r="AA21" s="24" t="s">
        <v>15</v>
      </c>
    </row>
    <row r="22" spans="1:28">
      <c r="A22" s="24">
        <f t="shared" si="0"/>
        <v>0.75</v>
      </c>
      <c r="B22" s="24">
        <v>0</v>
      </c>
      <c r="C22" s="24"/>
      <c r="D22" s="24"/>
      <c r="E22" s="24"/>
      <c r="F22" s="24"/>
      <c r="G22">
        <v>0</v>
      </c>
      <c r="H22">
        <v>0.92188223988296725</v>
      </c>
      <c r="I22" s="24">
        <v>3.5331181748147658</v>
      </c>
      <c r="J22">
        <v>284.80587811465989</v>
      </c>
      <c r="K22">
        <v>1.2566624879837036</v>
      </c>
      <c r="L22">
        <v>32.006592354095254</v>
      </c>
      <c r="M22">
        <v>18.634877588109557</v>
      </c>
      <c r="N22">
        <v>29.395414352416992</v>
      </c>
      <c r="O22">
        <v>0.56018823385238647</v>
      </c>
      <c r="P22">
        <v>3.3414233951316721</v>
      </c>
      <c r="Q22">
        <v>6.9732595555554671</v>
      </c>
      <c r="R22">
        <v>0.68411204201477516</v>
      </c>
      <c r="S22">
        <v>0.45321355588648493</v>
      </c>
      <c r="T22">
        <v>1491.492498606731</v>
      </c>
      <c r="U22">
        <v>1435.0512537437678</v>
      </c>
      <c r="V22">
        <v>372.67220864980419</v>
      </c>
      <c r="W22">
        <v>372.67220867808197</v>
      </c>
      <c r="X22">
        <v>759.86994559256482</v>
      </c>
      <c r="Y22">
        <v>759.86994559256482</v>
      </c>
      <c r="Z22" s="24">
        <v>3.5331181748147662</v>
      </c>
      <c r="AA22" s="24" t="s">
        <v>15</v>
      </c>
    </row>
    <row r="23" spans="1:28">
      <c r="A23" s="24">
        <f t="shared" si="0"/>
        <v>1</v>
      </c>
      <c r="B23" s="24">
        <v>0</v>
      </c>
      <c r="C23" s="24"/>
      <c r="D23" s="24"/>
      <c r="E23" s="24"/>
      <c r="F23" s="24"/>
      <c r="G23">
        <v>0</v>
      </c>
      <c r="H23">
        <v>0.93502611011604653</v>
      </c>
      <c r="I23" s="24">
        <v>3.5796065718518015</v>
      </c>
      <c r="J23">
        <v>241.11238533435682</v>
      </c>
      <c r="K23">
        <v>1.5039217472076416</v>
      </c>
      <c r="L23">
        <v>31.996272797347974</v>
      </c>
      <c r="M23">
        <v>17.789620284002453</v>
      </c>
      <c r="N23">
        <v>28.042417526245117</v>
      </c>
      <c r="O23">
        <v>0.52135497331619263</v>
      </c>
      <c r="P23">
        <v>3.3397704938352422</v>
      </c>
      <c r="Q23">
        <v>6.9732595555554671</v>
      </c>
      <c r="R23">
        <v>0.69331182772208078</v>
      </c>
      <c r="S23">
        <v>0.45921539336547967</v>
      </c>
      <c r="T23">
        <v>1490.4743037157516</v>
      </c>
      <c r="U23">
        <v>1432.24229256749</v>
      </c>
      <c r="V23">
        <v>372.40365637679747</v>
      </c>
      <c r="W23">
        <v>372.40365640503444</v>
      </c>
      <c r="X23">
        <v>759.80623710555551</v>
      </c>
      <c r="Y23">
        <v>759.80623710555551</v>
      </c>
      <c r="Z23" s="24">
        <v>3.5796065718518015</v>
      </c>
      <c r="AA23" s="24" t="s">
        <v>15</v>
      </c>
    </row>
    <row r="24" spans="1:28">
      <c r="A24" s="24">
        <f t="shared" si="0"/>
        <v>1.25</v>
      </c>
      <c r="B24" s="24">
        <v>0</v>
      </c>
      <c r="C24" s="19"/>
      <c r="D24" s="24"/>
      <c r="E24" s="24"/>
      <c r="F24" s="24"/>
      <c r="G24">
        <v>0</v>
      </c>
      <c r="H24">
        <v>0.97036314252112443</v>
      </c>
      <c r="I24" s="24">
        <v>3.7035756306172321</v>
      </c>
      <c r="J24">
        <v>214.79900439089815</v>
      </c>
      <c r="K24">
        <v>1.7466199398040771</v>
      </c>
      <c r="L24">
        <v>31.968753979355228</v>
      </c>
      <c r="M24">
        <v>17.169887293961434</v>
      </c>
      <c r="N24">
        <v>27.045413970947266</v>
      </c>
      <c r="O24">
        <v>0.52257710695266724</v>
      </c>
      <c r="P24">
        <v>3.339032210310414</v>
      </c>
      <c r="Q24">
        <v>6.9732595555554671</v>
      </c>
      <c r="R24">
        <v>0.71797000710703962</v>
      </c>
      <c r="S24">
        <v>0.47526943494851104</v>
      </c>
      <c r="T24">
        <v>1487.4227261024448</v>
      </c>
      <c r="U24">
        <v>1424.0655596427998</v>
      </c>
      <c r="V24">
        <v>371.60070519191191</v>
      </c>
      <c r="W24">
        <v>371.60070522002729</v>
      </c>
      <c r="X24">
        <v>759.5656698638744</v>
      </c>
      <c r="Y24">
        <v>759.5656698638744</v>
      </c>
      <c r="Z24" s="24">
        <v>3.7035756306172321</v>
      </c>
      <c r="AA24" s="24" t="s">
        <v>15</v>
      </c>
    </row>
    <row r="25" spans="1:28">
      <c r="A25" s="24">
        <f t="shared" si="0"/>
        <v>1.5</v>
      </c>
      <c r="B25" s="24">
        <v>0</v>
      </c>
      <c r="C25" s="24"/>
      <c r="D25" s="24"/>
      <c r="E25" s="24"/>
      <c r="F25" s="24"/>
      <c r="G25">
        <v>0</v>
      </c>
      <c r="H25">
        <v>0.97481060509723882</v>
      </c>
      <c r="I25" s="24">
        <v>3.7190717629629111</v>
      </c>
      <c r="J25">
        <v>188.77611000920294</v>
      </c>
      <c r="K25">
        <v>1.9957078695297241</v>
      </c>
      <c r="L25">
        <v>31.965314127106133</v>
      </c>
      <c r="M25">
        <v>16.412317255407469</v>
      </c>
      <c r="N25">
        <v>25.909408569335938</v>
      </c>
      <c r="O25">
        <v>0.51159322261810303</v>
      </c>
      <c r="P25">
        <v>3.3339643569416753</v>
      </c>
      <c r="Q25">
        <v>6.9732595555554671</v>
      </c>
      <c r="R25">
        <v>0.72099658027859981</v>
      </c>
      <c r="S25">
        <v>0.47725800999013668</v>
      </c>
      <c r="T25">
        <v>1487.2853302247897</v>
      </c>
      <c r="U25">
        <v>1423.9097014037966</v>
      </c>
      <c r="V25">
        <v>371.58151613299759</v>
      </c>
      <c r="W25">
        <v>371.58151616111002</v>
      </c>
      <c r="X25">
        <v>759.5656698638744</v>
      </c>
      <c r="Y25">
        <v>759.5656698638744</v>
      </c>
      <c r="Z25" s="24">
        <v>3.719071762962912</v>
      </c>
      <c r="AA25" s="24" t="s">
        <v>15</v>
      </c>
      <c r="AB25" s="24" t="s">
        <v>266</v>
      </c>
    </row>
    <row r="26" spans="1:28">
      <c r="A26" s="24">
        <f t="shared" si="0"/>
        <v>1.75</v>
      </c>
      <c r="B26" s="24">
        <v>0</v>
      </c>
      <c r="C26" s="24"/>
      <c r="D26" s="24"/>
      <c r="E26" s="24"/>
      <c r="F26" s="24"/>
      <c r="G26">
        <v>0</v>
      </c>
      <c r="H26">
        <v>1.001648439439649</v>
      </c>
      <c r="I26" s="24">
        <v>3.8275446893826635</v>
      </c>
      <c r="J26">
        <v>173.14579167850161</v>
      </c>
      <c r="K26">
        <v>2.2393283843994141</v>
      </c>
      <c r="L26">
        <v>31.941235161362481</v>
      </c>
      <c r="M26">
        <v>15.896761353129369</v>
      </c>
      <c r="N26">
        <v>25.119411468505859</v>
      </c>
      <c r="O26">
        <v>0.5158575177192688</v>
      </c>
      <c r="P26">
        <v>3.3339643573860678</v>
      </c>
      <c r="Q26">
        <v>6.9732595555554671</v>
      </c>
      <c r="R26">
        <v>0.74258582456069899</v>
      </c>
      <c r="S26">
        <v>0.49130321825661338</v>
      </c>
      <c r="T26">
        <v>1484.7106961388688</v>
      </c>
      <c r="U26">
        <v>1416.4607627550049</v>
      </c>
      <c r="V26">
        <v>370.86564761844068</v>
      </c>
      <c r="W26">
        <v>370.86564764644498</v>
      </c>
      <c r="X26">
        <v>759.37213420846456</v>
      </c>
      <c r="Y26">
        <v>759.37213420846456</v>
      </c>
      <c r="Z26" s="24">
        <v>3.8275446893826639</v>
      </c>
      <c r="AA26" s="24" t="s">
        <v>15</v>
      </c>
    </row>
    <row r="27" spans="1:28">
      <c r="A27" s="24">
        <f t="shared" si="0"/>
        <v>2</v>
      </c>
      <c r="B27" s="24">
        <v>0</v>
      </c>
      <c r="C27" s="24"/>
      <c r="D27" s="24"/>
      <c r="E27" s="24"/>
      <c r="F27" s="24"/>
      <c r="G27">
        <v>0</v>
      </c>
      <c r="H27">
        <v>1.0151674316338291</v>
      </c>
      <c r="I27" s="24">
        <v>3.8740330864196992</v>
      </c>
      <c r="J27">
        <v>157.82195815543645</v>
      </c>
      <c r="K27">
        <v>2.4865965843200684</v>
      </c>
      <c r="L27">
        <v>31.930915604615201</v>
      </c>
      <c r="M27">
        <v>15.315606168924061</v>
      </c>
      <c r="N27">
        <v>24.272407531738281</v>
      </c>
      <c r="O27">
        <v>0.50827294588088989</v>
      </c>
      <c r="P27">
        <v>3.3296787826062495</v>
      </c>
      <c r="Q27">
        <v>6.9732595555554671</v>
      </c>
      <c r="R27">
        <v>0.75180956529454956</v>
      </c>
      <c r="S27">
        <v>0.49729771401402517</v>
      </c>
      <c r="T27">
        <v>1483.6768167511407</v>
      </c>
      <c r="U27">
        <v>1413.8284735267807</v>
      </c>
      <c r="V27">
        <v>370.61055749307877</v>
      </c>
      <c r="W27">
        <v>370.61055752104448</v>
      </c>
      <c r="X27">
        <v>759.33052324680307</v>
      </c>
      <c r="Y27">
        <v>759.33052324680307</v>
      </c>
      <c r="Z27" s="24">
        <v>3.8740330864196992</v>
      </c>
      <c r="AA27" s="24" t="s">
        <v>15</v>
      </c>
    </row>
    <row r="28" spans="1:28">
      <c r="A28" s="24">
        <f t="shared" si="0"/>
        <v>2.25</v>
      </c>
      <c r="B28" s="24">
        <v>0</v>
      </c>
      <c r="C28" s="24"/>
      <c r="D28" s="24"/>
      <c r="E28" s="24"/>
      <c r="F28" s="24"/>
      <c r="G28">
        <v>0</v>
      </c>
      <c r="H28">
        <v>1.0151674316338291</v>
      </c>
      <c r="I28" s="24">
        <v>3.8740330864196992</v>
      </c>
      <c r="J28">
        <v>143.40423619733934</v>
      </c>
      <c r="K28">
        <v>2.7365965843200684</v>
      </c>
      <c r="L28">
        <v>31.930915604615201</v>
      </c>
      <c r="M28">
        <v>14.691140177624108</v>
      </c>
      <c r="N28">
        <v>23.396417617797852</v>
      </c>
      <c r="O28">
        <v>0.51282584667205811</v>
      </c>
      <c r="P28">
        <v>3.326499255924571</v>
      </c>
      <c r="Q28">
        <v>6.9732595555554671</v>
      </c>
      <c r="R28">
        <v>0.75180956529454979</v>
      </c>
      <c r="S28">
        <v>0.49729771401402534</v>
      </c>
      <c r="T28">
        <v>1483.6768167511404</v>
      </c>
      <c r="U28">
        <v>1413.8284735267796</v>
      </c>
      <c r="V28">
        <v>370.6105574930786</v>
      </c>
      <c r="W28">
        <v>370.61055752104437</v>
      </c>
      <c r="X28">
        <v>759.33052324680295</v>
      </c>
      <c r="Y28">
        <v>759.33052324680295</v>
      </c>
      <c r="Z28" s="24">
        <v>3.8740330864196992</v>
      </c>
      <c r="AA28" s="24" t="s">
        <v>15</v>
      </c>
    </row>
    <row r="29" spans="1:28">
      <c r="A29" s="24">
        <f t="shared" si="0"/>
        <v>2.5</v>
      </c>
      <c r="B29" s="24">
        <v>0</v>
      </c>
      <c r="C29" s="24"/>
      <c r="D29" s="24"/>
      <c r="E29" s="24"/>
      <c r="F29" s="24"/>
      <c r="G29">
        <v>0</v>
      </c>
      <c r="H29">
        <v>1.0469957320974721</v>
      </c>
      <c r="I29" s="24">
        <v>3.982506012839452</v>
      </c>
      <c r="J29">
        <v>135.36810530413015</v>
      </c>
      <c r="K29">
        <v>2.9802284240722656</v>
      </c>
      <c r="L29">
        <v>31.90683663887155</v>
      </c>
      <c r="M29">
        <v>14.32198567898255</v>
      </c>
      <c r="N29">
        <v>22.852418899536133</v>
      </c>
      <c r="O29">
        <v>0.52053940296173096</v>
      </c>
      <c r="P29">
        <v>3.326499255924571</v>
      </c>
      <c r="Q29">
        <v>6.9732595555554671</v>
      </c>
      <c r="R29">
        <v>0.77353359243296838</v>
      </c>
      <c r="S29">
        <v>0.51136519796453839</v>
      </c>
      <c r="T29">
        <v>1480.6762174889329</v>
      </c>
      <c r="U29">
        <v>1404.3961658015774</v>
      </c>
      <c r="V29">
        <v>369.7219582268205</v>
      </c>
      <c r="W29">
        <v>369.72195825465229</v>
      </c>
      <c r="X29">
        <v>759.11796162862754</v>
      </c>
      <c r="Y29">
        <v>759.11796162862754</v>
      </c>
      <c r="Z29" s="24">
        <v>3.982506012839452</v>
      </c>
      <c r="AA29" s="24" t="s">
        <v>15</v>
      </c>
    </row>
    <row r="30" spans="1:28">
      <c r="A30" s="24">
        <f t="shared" si="0"/>
        <v>2.75</v>
      </c>
      <c r="B30" s="24">
        <v>0</v>
      </c>
      <c r="C30" s="24"/>
      <c r="D30" s="24"/>
      <c r="E30" s="24"/>
      <c r="F30" s="24"/>
      <c r="G30">
        <v>0</v>
      </c>
      <c r="H30">
        <v>1.0561648264916308</v>
      </c>
      <c r="I30" s="24">
        <v>4.0134982775308092</v>
      </c>
      <c r="J30">
        <v>125.93423634485703</v>
      </c>
      <c r="K30">
        <v>3.2284102439880371</v>
      </c>
      <c r="L30">
        <v>31.899956934373364</v>
      </c>
      <c r="M30">
        <v>13.840762106690143</v>
      </c>
      <c r="N30">
        <v>22.187410354614258</v>
      </c>
      <c r="O30">
        <v>0.52804011106491089</v>
      </c>
      <c r="P30">
        <v>3.3218740056527305</v>
      </c>
      <c r="Q30">
        <v>6.9732595555554671</v>
      </c>
      <c r="R30">
        <v>0.77969640304559162</v>
      </c>
      <c r="S30">
        <v>0.51534939032227223</v>
      </c>
      <c r="T30">
        <v>1479.9010183738596</v>
      </c>
      <c r="U30">
        <v>1401.6103894048167</v>
      </c>
      <c r="V30">
        <v>369.47866411742632</v>
      </c>
      <c r="W30">
        <v>369.4786641452215</v>
      </c>
      <c r="X30">
        <v>759.11104338195207</v>
      </c>
      <c r="Y30">
        <v>759.11104338195207</v>
      </c>
      <c r="Z30" s="24">
        <v>4.0134982775308092</v>
      </c>
      <c r="AA30" s="24" t="s">
        <v>15</v>
      </c>
    </row>
    <row r="31" spans="1:28">
      <c r="A31" s="24">
        <f t="shared" si="0"/>
        <v>3</v>
      </c>
      <c r="B31" s="24">
        <v>0</v>
      </c>
      <c r="C31" s="19"/>
      <c r="D31" s="24"/>
      <c r="E31" s="24"/>
      <c r="F31" s="24"/>
      <c r="G31">
        <v>0</v>
      </c>
      <c r="H31">
        <v>1.0607624540871043</v>
      </c>
      <c r="I31" s="24">
        <v>4.0289944098764892</v>
      </c>
      <c r="J31">
        <v>117.36505180149385</v>
      </c>
      <c r="K31">
        <v>3.477501392364502</v>
      </c>
      <c r="L31">
        <v>31.896517082124269</v>
      </c>
      <c r="M31">
        <v>13.364753359324656</v>
      </c>
      <c r="N31">
        <v>21.543415069580078</v>
      </c>
      <c r="O31">
        <v>0.52285128831863403</v>
      </c>
      <c r="P31">
        <v>3.3158634171825749</v>
      </c>
      <c r="Q31">
        <v>6.9732595555554671</v>
      </c>
      <c r="R31">
        <v>0.78279072393560611</v>
      </c>
      <c r="S31">
        <v>0.51733915630807259</v>
      </c>
      <c r="T31">
        <v>1479.4332170518601</v>
      </c>
      <c r="U31">
        <v>1400.5902103166425</v>
      </c>
      <c r="V31">
        <v>369.37857869106654</v>
      </c>
      <c r="W31">
        <v>369.37857871884665</v>
      </c>
      <c r="X31">
        <v>759.11104338195196</v>
      </c>
      <c r="Y31">
        <v>759.11104338195196</v>
      </c>
      <c r="Z31" s="24">
        <v>4.0289944098764892</v>
      </c>
      <c r="AA31" s="24" t="s">
        <v>15</v>
      </c>
    </row>
    <row r="32" spans="1:28">
      <c r="A32" s="24">
        <f t="shared" si="0"/>
        <v>3.25</v>
      </c>
      <c r="B32" s="24">
        <v>0</v>
      </c>
      <c r="C32" s="24"/>
      <c r="D32" s="24"/>
      <c r="E32" s="24"/>
      <c r="F32" s="24"/>
      <c r="G32">
        <v>0</v>
      </c>
      <c r="H32">
        <v>1.0699844749515597</v>
      </c>
      <c r="I32" s="24">
        <v>4.0599866745678455</v>
      </c>
      <c r="J32">
        <v>110.3895602729133</v>
      </c>
      <c r="K32">
        <v>3.7256844043731689</v>
      </c>
      <c r="L32">
        <v>31.889637377626084</v>
      </c>
      <c r="M32">
        <v>12.950779150742537</v>
      </c>
      <c r="N32">
        <v>20.985410690307617</v>
      </c>
      <c r="O32">
        <v>0.53193950653076172</v>
      </c>
      <c r="P32">
        <v>3.3158634171825749</v>
      </c>
      <c r="Q32">
        <v>6.9732595555554671</v>
      </c>
      <c r="R32">
        <v>0.78895289252685785</v>
      </c>
      <c r="S32">
        <v>0.52133731973377606</v>
      </c>
      <c r="T32">
        <v>1478.7583891439308</v>
      </c>
      <c r="U32">
        <v>1398.3176026130925</v>
      </c>
      <c r="V32">
        <v>369.1718586591935</v>
      </c>
      <c r="W32">
        <v>369.17185868694264</v>
      </c>
      <c r="X32">
        <v>759.08391441567517</v>
      </c>
      <c r="Y32">
        <v>759.08391441567517</v>
      </c>
      <c r="Z32" s="24">
        <v>4.0599866745678455</v>
      </c>
      <c r="AA32" s="24" t="s">
        <v>15</v>
      </c>
    </row>
    <row r="33" spans="1:28">
      <c r="A33" s="24">
        <f t="shared" si="0"/>
        <v>3.5</v>
      </c>
      <c r="B33" s="24">
        <v>0</v>
      </c>
      <c r="C33" s="24"/>
      <c r="D33" s="24"/>
      <c r="E33" s="24"/>
      <c r="F33" s="24"/>
      <c r="G33">
        <v>0</v>
      </c>
      <c r="H33">
        <v>1.0699844749515597</v>
      </c>
      <c r="I33" s="24">
        <v>4.0599866745678455</v>
      </c>
      <c r="J33">
        <v>103.44801560349075</v>
      </c>
      <c r="K33">
        <v>3.9756844043731689</v>
      </c>
      <c r="L33">
        <v>31.889637377626084</v>
      </c>
      <c r="M33">
        <v>12.50754919376066</v>
      </c>
      <c r="N33">
        <v>20.4044189453125</v>
      </c>
      <c r="O33">
        <v>0.5274956226348877</v>
      </c>
      <c r="P33">
        <v>3.3110794361468838</v>
      </c>
      <c r="Q33">
        <v>6.9732595555554671</v>
      </c>
      <c r="R33">
        <v>0.78895289252685785</v>
      </c>
      <c r="S33">
        <v>0.52133731973377606</v>
      </c>
      <c r="T33">
        <v>1478.7583891439308</v>
      </c>
      <c r="U33">
        <v>1398.3176026130925</v>
      </c>
      <c r="V33">
        <v>369.1718586591935</v>
      </c>
      <c r="W33">
        <v>369.17185868694264</v>
      </c>
      <c r="X33">
        <v>759.08391441567517</v>
      </c>
      <c r="Y33">
        <v>759.08391441567517</v>
      </c>
      <c r="Z33" s="24">
        <v>4.0599866745678455</v>
      </c>
      <c r="AA33" s="24" t="s">
        <v>15</v>
      </c>
      <c r="AB33" s="24"/>
    </row>
    <row r="34" spans="1:28">
      <c r="A34" s="24">
        <f t="shared" si="0"/>
        <v>3.75</v>
      </c>
      <c r="B34" s="24">
        <v>0</v>
      </c>
      <c r="C34" s="24"/>
      <c r="D34" s="24"/>
      <c r="E34" s="24"/>
      <c r="F34" s="24"/>
      <c r="G34">
        <v>0</v>
      </c>
      <c r="H34">
        <v>1.0699844749515597</v>
      </c>
      <c r="I34">
        <v>4.0599866745678455</v>
      </c>
      <c r="J34">
        <v>97.327822483110026</v>
      </c>
      <c r="K34">
        <v>4.2256841659545898</v>
      </c>
      <c r="L34">
        <v>31.889637377626084</v>
      </c>
      <c r="M34">
        <v>12.091683718358819</v>
      </c>
      <c r="N34">
        <v>19.865415573120117</v>
      </c>
      <c r="O34">
        <v>0.53759747743606567</v>
      </c>
      <c r="P34">
        <v>3.3110794361144018</v>
      </c>
      <c r="Q34">
        <v>6.9732595555554671</v>
      </c>
      <c r="R34">
        <v>0.78895288343996484</v>
      </c>
      <c r="S34">
        <v>0.52133731064688305</v>
      </c>
      <c r="T34">
        <v>1478.7583891439308</v>
      </c>
      <c r="U34">
        <v>1398.3176026130925</v>
      </c>
      <c r="V34">
        <v>369.17186178861454</v>
      </c>
      <c r="W34">
        <v>369.17186181636367</v>
      </c>
      <c r="X34">
        <v>759.08392764648397</v>
      </c>
      <c r="Y34">
        <v>759.08392764648397</v>
      </c>
      <c r="Z34" s="24">
        <v>4.0599866745678455</v>
      </c>
      <c r="AA34" s="24" t="s">
        <v>15</v>
      </c>
    </row>
    <row r="35" spans="1:28">
      <c r="A35" s="24">
        <f t="shared" si="0"/>
        <v>4</v>
      </c>
      <c r="B35" s="24">
        <v>0</v>
      </c>
      <c r="C35" s="24"/>
      <c r="D35" s="24"/>
      <c r="E35" s="24"/>
      <c r="F35" s="24"/>
      <c r="G35">
        <v>0</v>
      </c>
      <c r="H35" s="24">
        <v>1.0885419079995147</v>
      </c>
      <c r="I35" s="24">
        <v>4.1219712039505616</v>
      </c>
      <c r="J35">
        <v>93.370043102039816</v>
      </c>
      <c r="K35">
        <v>4.4720520973205566</v>
      </c>
      <c r="L35">
        <v>31.875877968629709</v>
      </c>
      <c r="M35">
        <v>11.813991553583531</v>
      </c>
      <c r="N35">
        <v>19.492424011230469</v>
      </c>
      <c r="O35">
        <v>0.54947137832641602</v>
      </c>
      <c r="P35">
        <v>3.3110794361144018</v>
      </c>
      <c r="Q35">
        <v>6.9732595555554671</v>
      </c>
      <c r="R35">
        <v>0.80143070045113518</v>
      </c>
      <c r="S35">
        <v>0.52935945852172805</v>
      </c>
      <c r="T35">
        <v>1476.7477217269038</v>
      </c>
      <c r="U35">
        <v>1393.3020313091222</v>
      </c>
      <c r="V35">
        <v>368.67488981222908</v>
      </c>
      <c r="W35">
        <v>368.67488983990347</v>
      </c>
      <c r="X35">
        <v>758.99387507073197</v>
      </c>
      <c r="Y35">
        <v>758.99387507073197</v>
      </c>
      <c r="Z35" s="24">
        <v>4.1219712039505607</v>
      </c>
      <c r="AA35" s="24" t="s">
        <v>15</v>
      </c>
    </row>
    <row r="36" spans="1:28">
      <c r="A36" s="24">
        <f t="shared" si="0"/>
        <v>4.25</v>
      </c>
      <c r="B36" s="24">
        <v>0</v>
      </c>
      <c r="C36" s="24"/>
      <c r="D36" s="24"/>
      <c r="E36" s="24"/>
      <c r="F36" s="24"/>
      <c r="G36">
        <v>0</v>
      </c>
      <c r="H36" s="24">
        <v>1.0978776606971723</v>
      </c>
      <c r="I36" s="24">
        <v>4.1529634686419197</v>
      </c>
      <c r="J36">
        <v>89.125868711652615</v>
      </c>
      <c r="K36">
        <v>4.7202367782592773</v>
      </c>
      <c r="L36">
        <v>31.868998264131523</v>
      </c>
      <c r="M36">
        <v>11.500724962819978</v>
      </c>
      <c r="N36">
        <v>19.085412979125977</v>
      </c>
      <c r="O36">
        <v>0.56198287010192871</v>
      </c>
      <c r="P36">
        <v>3.3102226074426038</v>
      </c>
      <c r="Q36">
        <v>6.9732595555554671</v>
      </c>
      <c r="R36">
        <v>0.80759422192160113</v>
      </c>
      <c r="S36">
        <v>0.53338980456967211</v>
      </c>
      <c r="T36">
        <v>1476.2763388081505</v>
      </c>
      <c r="U36">
        <v>1390.3020963912429</v>
      </c>
      <c r="V36">
        <v>368.41832732502701</v>
      </c>
      <c r="W36">
        <v>368.41832735266291</v>
      </c>
      <c r="X36">
        <v>758.92244270110086</v>
      </c>
      <c r="Y36">
        <v>758.92244270110086</v>
      </c>
      <c r="Z36" s="24">
        <v>4.1529634686419197</v>
      </c>
      <c r="AA36" s="24" t="s">
        <v>15</v>
      </c>
    </row>
    <row r="37" spans="1:28">
      <c r="A37" s="24"/>
      <c r="B37" s="24"/>
      <c r="C37" s="24"/>
      <c r="D37" s="24"/>
      <c r="F37" s="19"/>
      <c r="H37" s="24"/>
      <c r="I37" s="24"/>
      <c r="Z37" s="24"/>
      <c r="AA37" s="24"/>
    </row>
    <row r="38" spans="1:28">
      <c r="A38" s="24"/>
      <c r="B38" s="24"/>
      <c r="F38" s="19"/>
      <c r="H38" s="24"/>
      <c r="I38" s="24"/>
      <c r="O38">
        <f>N17/40</f>
        <v>0.83133478164672847</v>
      </c>
      <c r="Z38" s="24"/>
      <c r="AA38" s="24"/>
    </row>
    <row r="39" spans="1:28">
      <c r="A39" s="24"/>
      <c r="B39" s="24"/>
      <c r="H39" s="24"/>
      <c r="I39" s="24"/>
      <c r="O39" s="24">
        <f t="shared" ref="O39:O63" si="1">N18/40</f>
        <v>0.82111005783081059</v>
      </c>
      <c r="Z39" s="24"/>
      <c r="AA39" s="24"/>
    </row>
    <row r="40" spans="1:28">
      <c r="A40" s="24"/>
      <c r="B40" s="24"/>
      <c r="H40" s="24"/>
      <c r="I40" s="24"/>
      <c r="O40" s="24">
        <f t="shared" si="1"/>
        <v>0.81576013565063477</v>
      </c>
      <c r="Z40" s="24"/>
      <c r="AA40" s="24"/>
      <c r="AB40" s="24" t="s">
        <v>266</v>
      </c>
    </row>
    <row r="41" spans="1:28">
      <c r="A41" s="24"/>
      <c r="B41" s="24"/>
      <c r="H41" s="24"/>
      <c r="I41" s="24"/>
      <c r="O41" s="24">
        <f t="shared" si="1"/>
        <v>0.80533504486083984</v>
      </c>
      <c r="Z41" s="24"/>
      <c r="AA41" s="24"/>
    </row>
    <row r="42" spans="1:28">
      <c r="A42" s="26"/>
      <c r="B42" s="24"/>
      <c r="C42" s="24"/>
      <c r="D42" s="24"/>
      <c r="H42" s="24"/>
      <c r="I42" s="24"/>
      <c r="J42" s="24"/>
      <c r="O42" s="24">
        <f t="shared" si="1"/>
        <v>0.76975998878479002</v>
      </c>
      <c r="Z42" s="24"/>
      <c r="AA42" s="24"/>
    </row>
    <row r="43" spans="1:28">
      <c r="A43" s="26"/>
      <c r="B43" s="24"/>
      <c r="C43" s="24"/>
      <c r="D43" s="24"/>
      <c r="E43" s="24"/>
      <c r="H43" s="24"/>
      <c r="I43" s="24"/>
      <c r="O43" s="24">
        <f t="shared" si="1"/>
        <v>0.73488535881042483</v>
      </c>
      <c r="Z43" s="24"/>
      <c r="AA43" s="24"/>
    </row>
    <row r="44" spans="1:28">
      <c r="A44" s="26"/>
      <c r="B44" s="24"/>
      <c r="C44" s="24"/>
      <c r="D44" s="24"/>
      <c r="E44" s="24"/>
      <c r="H44" s="24"/>
      <c r="I44" s="24"/>
      <c r="O44" s="24">
        <f t="shared" si="1"/>
        <v>0.70106043815612795</v>
      </c>
      <c r="Z44" s="24"/>
      <c r="AA44" s="24"/>
    </row>
    <row r="45" spans="1:28">
      <c r="A45" s="26"/>
      <c r="B45" s="24"/>
      <c r="C45" s="24"/>
      <c r="D45" s="24"/>
      <c r="E45" s="24"/>
      <c r="H45" s="24"/>
      <c r="I45" s="24"/>
      <c r="O45" s="24">
        <f t="shared" si="1"/>
        <v>0.67613534927368169</v>
      </c>
      <c r="Z45" s="24"/>
      <c r="AA45" s="24"/>
    </row>
    <row r="46" spans="1:28">
      <c r="A46" s="26"/>
      <c r="B46" s="24"/>
      <c r="H46" s="24"/>
      <c r="I46" s="24"/>
      <c r="O46" s="24">
        <f t="shared" si="1"/>
        <v>0.64773521423339842</v>
      </c>
      <c r="Z46" s="24"/>
      <c r="AA46" s="24"/>
    </row>
    <row r="47" spans="1:28">
      <c r="A47" s="26"/>
      <c r="B47" s="24"/>
      <c r="F47" s="19"/>
      <c r="H47" s="24"/>
      <c r="I47" s="24"/>
      <c r="O47" s="24">
        <f t="shared" si="1"/>
        <v>0.62798528671264653</v>
      </c>
      <c r="Z47" s="24"/>
      <c r="AA47" s="24"/>
    </row>
    <row r="48" spans="1:28">
      <c r="A48" s="26"/>
      <c r="B48" s="24"/>
      <c r="F48" s="19"/>
      <c r="H48" s="24"/>
      <c r="I48" s="24"/>
      <c r="O48" s="24">
        <f t="shared" si="1"/>
        <v>0.60681018829345701</v>
      </c>
      <c r="Z48" s="24"/>
      <c r="AA48" s="24"/>
    </row>
    <row r="49" spans="1:27">
      <c r="A49" s="26"/>
      <c r="B49" s="24"/>
      <c r="F49" s="19"/>
      <c r="H49" s="24"/>
      <c r="I49" s="24"/>
      <c r="O49" s="24">
        <f t="shared" si="1"/>
        <v>0.58491044044494633</v>
      </c>
      <c r="Z49" s="24"/>
      <c r="AA49" s="24"/>
    </row>
    <row r="50" spans="1:27">
      <c r="A50" s="26"/>
      <c r="B50" s="24"/>
      <c r="F50" s="19"/>
      <c r="H50" s="24"/>
      <c r="I50" s="24"/>
      <c r="O50" s="24">
        <f t="shared" si="1"/>
        <v>0.57131047248840328</v>
      </c>
      <c r="Z50" s="24"/>
      <c r="AA50" s="24"/>
    </row>
    <row r="51" spans="1:27">
      <c r="A51" s="26"/>
      <c r="B51" s="24"/>
      <c r="F51" s="19"/>
      <c r="H51" s="24"/>
      <c r="I51" s="24"/>
      <c r="O51" s="24">
        <f t="shared" si="1"/>
        <v>0.55468525886535647</v>
      </c>
      <c r="Z51" s="24"/>
      <c r="AA51" s="24"/>
    </row>
    <row r="52" spans="1:27">
      <c r="A52" s="26"/>
      <c r="B52" s="24"/>
      <c r="F52" s="19"/>
      <c r="O52" s="24">
        <f t="shared" si="1"/>
        <v>0.53858537673950191</v>
      </c>
      <c r="Z52" s="24"/>
      <c r="AA52" s="24"/>
    </row>
    <row r="53" spans="1:27">
      <c r="A53" s="26"/>
      <c r="B53" s="24"/>
      <c r="F53" s="19"/>
      <c r="O53" s="24">
        <f t="shared" si="1"/>
        <v>0.52463526725769039</v>
      </c>
      <c r="Z53" s="24"/>
      <c r="AA53" s="24"/>
    </row>
    <row r="54" spans="1:27">
      <c r="A54" s="26"/>
      <c r="B54" s="24"/>
      <c r="F54" s="19"/>
      <c r="O54" s="24">
        <f t="shared" si="1"/>
        <v>0.51011047363281248</v>
      </c>
      <c r="Z54" s="24"/>
      <c r="AA54" s="24"/>
    </row>
    <row r="55" spans="1:27">
      <c r="A55" s="26"/>
      <c r="B55" s="24"/>
      <c r="F55" s="19"/>
      <c r="O55" s="24">
        <f t="shared" si="1"/>
        <v>0.49663538932800294</v>
      </c>
      <c r="Z55" s="24"/>
      <c r="AA55" s="24"/>
    </row>
    <row r="56" spans="1:27">
      <c r="A56" s="26"/>
      <c r="B56" s="24"/>
      <c r="F56" s="19"/>
      <c r="O56" s="24">
        <f t="shared" si="1"/>
        <v>0.48731060028076173</v>
      </c>
      <c r="Z56" s="24"/>
      <c r="AA56" s="24"/>
    </row>
    <row r="57" spans="1:27">
      <c r="A57" s="26"/>
      <c r="B57" s="24"/>
      <c r="F57" s="19"/>
      <c r="O57" s="24">
        <f t="shared" si="1"/>
        <v>0.47713532447814944</v>
      </c>
      <c r="Z57" s="24"/>
      <c r="AA57" s="24"/>
    </row>
    <row r="58" spans="1:27">
      <c r="A58" s="26"/>
      <c r="B58" s="24"/>
      <c r="F58" s="19"/>
      <c r="O58" s="24"/>
      <c r="Z58" s="24"/>
      <c r="AA58" s="24"/>
    </row>
    <row r="59" spans="1:27">
      <c r="A59" s="26"/>
      <c r="B59" s="24"/>
      <c r="F59" s="19"/>
      <c r="O59" s="24"/>
      <c r="Z59" s="24"/>
      <c r="AA59" s="24"/>
    </row>
    <row r="60" spans="1:27">
      <c r="A60" s="26"/>
      <c r="B60" s="24"/>
      <c r="F60" s="19"/>
      <c r="O60" s="24"/>
      <c r="Z60" s="24"/>
      <c r="AA60" s="24"/>
    </row>
    <row r="61" spans="1:27">
      <c r="A61" s="26"/>
      <c r="B61" s="24"/>
      <c r="F61" s="19"/>
      <c r="O61" s="24"/>
      <c r="Z61" s="24"/>
      <c r="AA61" s="24"/>
    </row>
    <row r="62" spans="1:27">
      <c r="A62" s="26"/>
      <c r="B62" s="24"/>
      <c r="F62" s="19"/>
      <c r="O62" s="24"/>
      <c r="Z62" s="24"/>
      <c r="AA62" s="24"/>
    </row>
    <row r="63" spans="1:27">
      <c r="A63" s="26"/>
      <c r="B63" s="24"/>
      <c r="F63" s="19"/>
      <c r="O63" s="24"/>
      <c r="Z63" s="24"/>
      <c r="AA63" s="24"/>
    </row>
    <row r="64" spans="1:27">
      <c r="A64" s="26"/>
      <c r="B64" s="24"/>
      <c r="F64" s="19"/>
      <c r="Z64" s="24"/>
      <c r="AA64" s="24"/>
    </row>
    <row r="65" spans="1:27">
      <c r="A65" s="26"/>
      <c r="B65" s="24"/>
      <c r="F65" s="19"/>
      <c r="Z65" s="24"/>
      <c r="AA65" s="24"/>
    </row>
    <row r="66" spans="1:27">
      <c r="A66" s="26"/>
      <c r="B66" s="24"/>
      <c r="F66" s="19"/>
      <c r="Z66" s="24"/>
      <c r="AA66" s="24"/>
    </row>
    <row r="67" spans="1:27">
      <c r="A67" s="26"/>
      <c r="B67" s="24"/>
      <c r="F67" s="19"/>
      <c r="Z67" s="24"/>
      <c r="AA67" s="24"/>
    </row>
    <row r="68" spans="1:27">
      <c r="A68" s="26"/>
      <c r="B68" s="24"/>
      <c r="F68" s="19"/>
      <c r="Z68" s="24"/>
      <c r="AA68" s="24"/>
    </row>
    <row r="69" spans="1:27">
      <c r="A69" s="26"/>
      <c r="B69" s="24"/>
      <c r="F69" s="12"/>
      <c r="Z69" s="24"/>
      <c r="AA69" s="24"/>
    </row>
    <row r="70" spans="1:27">
      <c r="A70" s="26"/>
      <c r="B70" s="24"/>
      <c r="F70" s="12"/>
      <c r="Z70" s="24"/>
      <c r="AA70" s="24"/>
    </row>
    <row r="71" spans="1:27">
      <c r="A71" s="26"/>
      <c r="B71" s="24"/>
      <c r="F71" s="12"/>
      <c r="Z71" s="24"/>
      <c r="AA71" s="24"/>
    </row>
    <row r="72" spans="1:27">
      <c r="A72" s="26"/>
      <c r="B72" s="24"/>
      <c r="F72" s="12"/>
      <c r="Z72" s="24"/>
      <c r="AA72" s="24"/>
    </row>
    <row r="73" spans="1:27">
      <c r="A73" s="26"/>
      <c r="B73" s="24"/>
      <c r="F73" s="12"/>
      <c r="Z73" s="24"/>
      <c r="AA73" s="24"/>
    </row>
    <row r="74" spans="1:27">
      <c r="B74" s="24"/>
      <c r="F74" s="12"/>
    </row>
    <row r="75" spans="1:27">
      <c r="B75" s="24"/>
      <c r="F75" s="12"/>
    </row>
    <row r="76" spans="1:27">
      <c r="B76" s="24"/>
      <c r="F76" s="12"/>
    </row>
    <row r="77" spans="1:27">
      <c r="B77" s="24"/>
      <c r="C77" s="4"/>
      <c r="D77" s="4"/>
      <c r="F77" s="12"/>
    </row>
    <row r="78" spans="1:27">
      <c r="B78" s="24"/>
      <c r="C78" s="4"/>
      <c r="D78" s="4"/>
      <c r="F78" s="12"/>
    </row>
    <row r="79" spans="1:27">
      <c r="B79" s="24"/>
      <c r="C79" s="4"/>
      <c r="D79" s="4"/>
      <c r="F79" s="12"/>
    </row>
    <row r="80" spans="1:27">
      <c r="B80" s="24"/>
      <c r="C80" s="4"/>
      <c r="D80" s="4"/>
      <c r="F80" s="12"/>
    </row>
    <row r="81" spans="2:6">
      <c r="B81" s="24"/>
      <c r="C81" s="4"/>
      <c r="D81" s="4"/>
      <c r="F81" s="12"/>
    </row>
    <row r="82" spans="2:6">
      <c r="B82" s="24"/>
      <c r="C82" s="4"/>
      <c r="D82" s="4"/>
      <c r="F82" s="12"/>
    </row>
    <row r="83" spans="2:6">
      <c r="B83" s="24"/>
      <c r="C83" s="4"/>
      <c r="D83" s="4"/>
      <c r="F83" s="12"/>
    </row>
    <row r="84" spans="2:6">
      <c r="B84" s="24"/>
      <c r="C84" s="4"/>
      <c r="D84" s="4"/>
      <c r="F84" s="12"/>
    </row>
    <row r="85" spans="2:6">
      <c r="B85" s="24"/>
      <c r="C85" s="4"/>
      <c r="D85" s="4"/>
      <c r="F85" s="12"/>
    </row>
    <row r="86" spans="2:6">
      <c r="B86" s="24"/>
      <c r="C86" s="4"/>
      <c r="D86" s="4"/>
      <c r="F86" s="12"/>
    </row>
    <row r="87" spans="2:6">
      <c r="B87" s="24"/>
      <c r="C87" s="4"/>
      <c r="D87" s="4"/>
    </row>
    <row r="88" spans="2:6">
      <c r="B88" s="24"/>
      <c r="C88" s="4"/>
      <c r="D88" s="4"/>
    </row>
    <row r="89" spans="2:6">
      <c r="B89" s="24"/>
      <c r="C89" s="4"/>
      <c r="D89" s="4"/>
    </row>
    <row r="90" spans="2:6">
      <c r="B90" s="24"/>
      <c r="C90" s="4"/>
      <c r="D90" s="4"/>
    </row>
    <row r="91" spans="2:6">
      <c r="B91" s="24"/>
      <c r="C91" s="4"/>
      <c r="D91" s="4"/>
    </row>
    <row r="92" spans="2:6">
      <c r="B92" s="24"/>
      <c r="C92" s="4"/>
      <c r="D92" s="4"/>
    </row>
    <row r="93" spans="2:6">
      <c r="B93" s="24"/>
      <c r="C93" s="4"/>
      <c r="D93" s="4"/>
    </row>
    <row r="94" spans="2:6">
      <c r="B94" s="24"/>
      <c r="C94" s="4"/>
      <c r="D94" s="4"/>
    </row>
    <row r="95" spans="2:6">
      <c r="B95" s="24"/>
      <c r="C95" s="4"/>
      <c r="D95" s="4"/>
    </row>
    <row r="96" spans="2:6">
      <c r="B96" s="24"/>
      <c r="C96" s="4"/>
      <c r="D96" s="4"/>
    </row>
    <row r="97" spans="2:4">
      <c r="B97" s="24"/>
      <c r="C97" s="4"/>
      <c r="D97" s="4"/>
    </row>
    <row r="98" spans="2:4">
      <c r="B98" s="24"/>
      <c r="C98" s="4"/>
      <c r="D98" s="4"/>
    </row>
    <row r="99" spans="2:4">
      <c r="B99" s="24"/>
      <c r="C99" s="4"/>
      <c r="D99" s="4"/>
    </row>
    <row r="100" spans="2:4">
      <c r="B100" s="24"/>
      <c r="C100" s="4"/>
      <c r="D100" s="4"/>
    </row>
    <row r="101" spans="2:4">
      <c r="B101" s="24"/>
      <c r="C101" s="4"/>
      <c r="D101" s="4"/>
    </row>
    <row r="102" spans="2:4">
      <c r="B102" s="24"/>
      <c r="C102" s="4"/>
      <c r="D102" s="4"/>
    </row>
    <row r="103" spans="2:4">
      <c r="B103" s="24"/>
      <c r="C103" s="4"/>
      <c r="D103" s="4"/>
    </row>
    <row r="104" spans="2:4">
      <c r="B104" s="24"/>
      <c r="C104" s="4"/>
      <c r="D104" s="4"/>
    </row>
    <row r="105" spans="2:4">
      <c r="B105" s="24"/>
      <c r="C105" s="4"/>
      <c r="D105" s="4"/>
    </row>
    <row r="106" spans="2:4">
      <c r="B106" s="24"/>
      <c r="C106" s="4"/>
      <c r="D106" s="4"/>
    </row>
    <row r="107" spans="2:4">
      <c r="B107" s="24"/>
      <c r="C107" s="4"/>
      <c r="D107" s="4"/>
    </row>
    <row r="108" spans="2:4">
      <c r="B108" s="24"/>
      <c r="C108" s="4"/>
      <c r="D108" s="4"/>
    </row>
    <row r="109" spans="2:4">
      <c r="B109" s="24"/>
      <c r="C109" s="4"/>
      <c r="D109" s="4"/>
    </row>
    <row r="110" spans="2:4">
      <c r="B110" s="24"/>
      <c r="C110" s="4"/>
      <c r="D110" s="4"/>
    </row>
    <row r="111" spans="2:4">
      <c r="B111" s="24"/>
      <c r="C111" s="4"/>
      <c r="D111" s="4"/>
    </row>
    <row r="112" spans="2:4">
      <c r="B112" s="24"/>
      <c r="C112" s="4"/>
      <c r="D112" s="4"/>
    </row>
    <row r="113" spans="2:4">
      <c r="B113" s="24"/>
      <c r="C113" s="4"/>
      <c r="D113" s="4"/>
    </row>
    <row r="114" spans="2:4">
      <c r="B114" s="24"/>
      <c r="C114" s="4"/>
      <c r="D114" s="4"/>
    </row>
    <row r="115" spans="2:4">
      <c r="B115" s="24"/>
      <c r="C115" s="4"/>
      <c r="D115" s="4"/>
    </row>
    <row r="116" spans="2:4">
      <c r="B116" s="24"/>
      <c r="C116" s="4"/>
      <c r="D116" s="4"/>
    </row>
    <row r="117" spans="2:4">
      <c r="B117" s="24"/>
      <c r="C117" s="4"/>
      <c r="D117" s="4"/>
    </row>
    <row r="118" spans="2:4">
      <c r="B118" s="24"/>
      <c r="C118" s="4"/>
      <c r="D118" s="4"/>
    </row>
    <row r="119" spans="2:4">
      <c r="B119" s="24"/>
      <c r="C119" s="4"/>
      <c r="D119" s="4"/>
    </row>
    <row r="120" spans="2:4">
      <c r="B120" s="24"/>
      <c r="C120" s="4"/>
      <c r="D120" s="4"/>
    </row>
    <row r="121" spans="2:4">
      <c r="B121" s="24"/>
      <c r="C121" s="4"/>
      <c r="D121" s="4"/>
    </row>
    <row r="122" spans="2:4">
      <c r="B122" s="24"/>
      <c r="C122" s="4"/>
      <c r="D122" s="4"/>
    </row>
    <row r="123" spans="2:4">
      <c r="B123" s="24"/>
      <c r="C123" s="4"/>
      <c r="D123" s="4"/>
    </row>
    <row r="124" spans="2:4">
      <c r="B124" s="24"/>
    </row>
    <row r="125" spans="2:4">
      <c r="B125" s="24"/>
    </row>
    <row r="126" spans="2:4">
      <c r="B126" s="24"/>
    </row>
    <row r="127" spans="2:4">
      <c r="B127" s="24"/>
    </row>
    <row r="128" spans="2:4">
      <c r="B128" s="24"/>
    </row>
    <row r="129" spans="2:2">
      <c r="B129" s="24"/>
    </row>
    <row r="130" spans="2:2">
      <c r="B130" s="24"/>
    </row>
    <row r="131" spans="2:2">
      <c r="B131" s="24"/>
    </row>
    <row r="132" spans="2:2">
      <c r="B132" s="24"/>
    </row>
    <row r="133" spans="2:2">
      <c r="B133" s="24"/>
    </row>
    <row r="134" spans="2:2">
      <c r="B134" s="24"/>
    </row>
    <row r="135" spans="2:2">
      <c r="B135" s="24"/>
    </row>
    <row r="136" spans="2:2">
      <c r="B136" s="24"/>
    </row>
    <row r="137" spans="2:2">
      <c r="B137" s="24"/>
    </row>
    <row r="138" spans="2:2">
      <c r="B138" s="24"/>
    </row>
    <row r="139" spans="2:2">
      <c r="B139" s="24"/>
    </row>
    <row r="140" spans="2:2">
      <c r="B140" s="24"/>
    </row>
    <row r="141" spans="2:2">
      <c r="B141" s="24"/>
    </row>
    <row r="142" spans="2:2">
      <c r="B142" s="24"/>
    </row>
    <row r="143" spans="2:2">
      <c r="B143" s="24"/>
    </row>
    <row r="144" spans="2:2">
      <c r="B144" s="24"/>
    </row>
    <row r="145" spans="2:2">
      <c r="B145" s="24"/>
    </row>
    <row r="170" spans="1:5">
      <c r="A170" s="4"/>
      <c r="B170" s="4"/>
      <c r="C170" s="4"/>
      <c r="D170" s="4"/>
      <c r="E170" s="4"/>
    </row>
    <row r="171" spans="1:5">
      <c r="A171" s="4"/>
      <c r="B171" s="4"/>
      <c r="C171" s="4"/>
      <c r="D171" s="4"/>
      <c r="E171" s="4"/>
    </row>
    <row r="172" spans="1:5">
      <c r="A172" s="4"/>
      <c r="B172" s="4"/>
      <c r="C172" s="4"/>
      <c r="D172" s="4"/>
      <c r="E172" s="4"/>
    </row>
    <row r="173" spans="1:5">
      <c r="A173" s="4"/>
      <c r="B173" s="4"/>
      <c r="C173" s="4"/>
      <c r="D173" s="4"/>
      <c r="E173" s="4"/>
    </row>
    <row r="174" spans="1:5">
      <c r="A174" s="4"/>
      <c r="B174" s="4"/>
      <c r="C174" s="4"/>
      <c r="D174" s="4"/>
      <c r="E174" s="4"/>
    </row>
    <row r="175" spans="1:5">
      <c r="A175" s="4"/>
      <c r="B175" s="4"/>
      <c r="C175" s="4"/>
      <c r="D175" s="4"/>
      <c r="E175" s="4"/>
    </row>
    <row r="176" spans="1:5">
      <c r="A176" s="4"/>
      <c r="B176" s="4"/>
      <c r="C176" s="4"/>
      <c r="D176" s="4"/>
      <c r="E176" s="4"/>
    </row>
    <row r="177" spans="1:5">
      <c r="A177" s="4"/>
      <c r="B177" s="4"/>
      <c r="C177" s="4"/>
      <c r="D177" s="4"/>
      <c r="E177" s="4"/>
    </row>
    <row r="178" spans="1:5">
      <c r="A178" s="4"/>
      <c r="B178" s="4"/>
      <c r="C178" s="4"/>
      <c r="D178" s="4"/>
      <c r="E178" s="4"/>
    </row>
    <row r="179" spans="1:5">
      <c r="A179" s="4"/>
      <c r="B179" s="4"/>
      <c r="C179" s="4"/>
      <c r="D179" s="4"/>
      <c r="E179" s="4"/>
    </row>
    <row r="180" spans="1:5">
      <c r="A180" s="4"/>
      <c r="B180" s="4"/>
      <c r="C180" s="4"/>
      <c r="D180" s="4"/>
      <c r="E180" s="4"/>
    </row>
    <row r="181" spans="1:5">
      <c r="A181" s="4"/>
      <c r="B181" s="4"/>
      <c r="C181" s="4"/>
      <c r="D181" s="4"/>
      <c r="E181" s="4"/>
    </row>
    <row r="182" spans="1:5">
      <c r="A182" s="4"/>
      <c r="B182" s="4"/>
      <c r="C182" s="4"/>
      <c r="D182" s="4"/>
      <c r="E182" s="4"/>
    </row>
    <row r="183" spans="1:5">
      <c r="A183" s="4"/>
      <c r="B183" s="4"/>
      <c r="C183" s="4"/>
      <c r="D183" s="4"/>
      <c r="E183" s="4"/>
    </row>
    <row r="184" spans="1:5">
      <c r="A184" s="4"/>
      <c r="B184" s="4"/>
      <c r="C184" s="4"/>
      <c r="D184" s="4"/>
      <c r="E184" s="4"/>
    </row>
    <row r="185" spans="1:5">
      <c r="A185" s="4"/>
      <c r="B185" s="4"/>
      <c r="C185" s="4"/>
      <c r="D185" s="4"/>
      <c r="E185" s="4"/>
    </row>
    <row r="186" spans="1:5">
      <c r="A186" s="4"/>
      <c r="B186" s="4"/>
      <c r="C186" s="4"/>
      <c r="D186" s="4"/>
      <c r="E186" s="4"/>
    </row>
    <row r="187" spans="1:5">
      <c r="A187" s="4"/>
      <c r="B187" s="4"/>
      <c r="C187" s="4"/>
      <c r="D187" s="4"/>
      <c r="E187" s="4"/>
    </row>
    <row r="188" spans="1:5">
      <c r="A188" s="4"/>
      <c r="B188" s="4"/>
      <c r="C188" s="4"/>
      <c r="D188" s="4"/>
      <c r="E188" s="4"/>
    </row>
    <row r="189" spans="1:5">
      <c r="A189" s="4"/>
      <c r="B189" s="4"/>
      <c r="C189" s="4"/>
      <c r="D189" s="4"/>
      <c r="E189" s="4"/>
    </row>
    <row r="190" spans="1:5">
      <c r="A190" s="4"/>
      <c r="B190" s="4"/>
      <c r="C190" s="4"/>
      <c r="D190" s="4"/>
      <c r="E190" s="4"/>
    </row>
    <row r="191" spans="1:5">
      <c r="A191" s="4"/>
      <c r="B191" s="4"/>
      <c r="C191" s="4"/>
      <c r="D191" s="4"/>
      <c r="E191" s="4"/>
    </row>
    <row r="192" spans="1:5">
      <c r="A192" s="4"/>
      <c r="B192" s="4"/>
      <c r="C192" s="4"/>
      <c r="D192" s="4"/>
      <c r="E192" s="4"/>
    </row>
    <row r="193" spans="1:5">
      <c r="A193" s="4"/>
      <c r="B193" s="4"/>
      <c r="C193" s="4"/>
      <c r="D193" s="4"/>
      <c r="E193" s="4"/>
    </row>
    <row r="194" spans="1:5">
      <c r="A194" s="4"/>
      <c r="B194" s="4"/>
      <c r="C194" s="4"/>
      <c r="D194" s="4"/>
      <c r="E194" s="4"/>
    </row>
    <row r="195" spans="1:5">
      <c r="A195" s="4"/>
      <c r="B195" s="4"/>
      <c r="C195" s="4"/>
      <c r="D195" s="4"/>
      <c r="E195" s="4"/>
    </row>
    <row r="196" spans="1:5">
      <c r="A196" s="4"/>
      <c r="B196" s="4"/>
      <c r="C196" s="4"/>
      <c r="D196" s="4"/>
      <c r="E196" s="4"/>
    </row>
    <row r="197" spans="1:5">
      <c r="A197" s="4"/>
      <c r="B197" s="4"/>
      <c r="C197" s="4"/>
      <c r="D197" s="4"/>
      <c r="E197" s="4"/>
    </row>
    <row r="198" spans="1:5">
      <c r="A198" s="4"/>
      <c r="B198" s="4"/>
      <c r="C198" s="4"/>
      <c r="D198" s="4"/>
      <c r="E198" s="4"/>
    </row>
    <row r="199" spans="1:5">
      <c r="A199" s="4"/>
      <c r="B199" s="4"/>
      <c r="C199" s="4"/>
      <c r="D199" s="4"/>
      <c r="E199" s="4"/>
    </row>
    <row r="200" spans="1:5">
      <c r="A200" s="4"/>
      <c r="B200" s="4"/>
      <c r="C200" s="4"/>
      <c r="D200" s="4"/>
      <c r="E200" s="4"/>
    </row>
    <row r="201" spans="1:5">
      <c r="A201" s="4"/>
      <c r="B201" s="4"/>
      <c r="C201" s="4"/>
      <c r="D201" s="4"/>
      <c r="E201" s="4"/>
    </row>
    <row r="202" spans="1:5">
      <c r="A202" s="4"/>
      <c r="B202" s="4"/>
      <c r="C202" s="4"/>
      <c r="D202" s="4"/>
      <c r="E202" s="4"/>
    </row>
    <row r="203" spans="1:5">
      <c r="A203" s="4"/>
      <c r="B203" s="4"/>
      <c r="C203" s="4"/>
      <c r="D203" s="4"/>
      <c r="E203" s="4"/>
    </row>
    <row r="204" spans="1:5">
      <c r="A204" s="4"/>
      <c r="B204" s="4"/>
      <c r="C204" s="4"/>
      <c r="D204" s="4"/>
      <c r="E204" s="4"/>
    </row>
    <row r="205" spans="1:5">
      <c r="A205" s="4"/>
      <c r="B205" s="4"/>
      <c r="C205" s="4"/>
      <c r="D205" s="4"/>
      <c r="E205" s="4"/>
    </row>
    <row r="206" spans="1:5">
      <c r="A206" s="4"/>
      <c r="B206" s="4"/>
      <c r="C206" s="4"/>
      <c r="D206" s="4"/>
      <c r="E206" s="4"/>
    </row>
    <row r="207" spans="1:5">
      <c r="A207" s="4"/>
      <c r="B207" s="4"/>
      <c r="C207" s="4"/>
      <c r="D207" s="4"/>
      <c r="E207" s="4"/>
    </row>
    <row r="208" spans="1:5">
      <c r="A208" s="4"/>
      <c r="B208" s="4"/>
      <c r="C208" s="4"/>
      <c r="D208" s="4"/>
      <c r="E208" s="4"/>
    </row>
    <row r="209" spans="1:5">
      <c r="A209" s="4"/>
      <c r="B209" s="4"/>
      <c r="C209" s="4"/>
      <c r="D209" s="4"/>
      <c r="E209" s="4"/>
    </row>
    <row r="210" spans="1:5">
      <c r="A210" s="4"/>
      <c r="B210" s="4"/>
      <c r="C210" s="4"/>
      <c r="D210" s="4"/>
      <c r="E210" s="4"/>
    </row>
    <row r="211" spans="1:5">
      <c r="A211" s="4"/>
      <c r="B211" s="4"/>
      <c r="C211" s="4"/>
      <c r="D211" s="4"/>
      <c r="E211" s="4"/>
    </row>
    <row r="212" spans="1:5">
      <c r="A212" s="4"/>
      <c r="B212" s="4"/>
      <c r="C212" s="4"/>
      <c r="D212" s="4"/>
      <c r="E212" s="4"/>
    </row>
    <row r="213" spans="1:5">
      <c r="A213" s="4"/>
      <c r="B213" s="4"/>
      <c r="C213" s="4"/>
      <c r="D213" s="4"/>
      <c r="E213" s="4"/>
    </row>
    <row r="214" spans="1:5">
      <c r="A214" s="4"/>
      <c r="B214" s="4"/>
      <c r="C214" s="4"/>
      <c r="D214" s="4"/>
      <c r="E214" s="4"/>
    </row>
    <row r="215" spans="1:5">
      <c r="A215" s="4"/>
      <c r="B215" s="4"/>
      <c r="C215" s="4"/>
      <c r="D215" s="4"/>
      <c r="E215" s="4"/>
    </row>
    <row r="216" spans="1:5">
      <c r="A216" s="4"/>
      <c r="B216" s="4"/>
      <c r="C216" s="4"/>
      <c r="D216" s="4"/>
      <c r="E216" s="4"/>
    </row>
    <row r="217" spans="1:5">
      <c r="A217" s="4"/>
      <c r="B217" s="4"/>
      <c r="C217" s="4"/>
      <c r="D217" s="4"/>
      <c r="E217" s="4"/>
    </row>
    <row r="218" spans="1:5">
      <c r="A218" s="4"/>
      <c r="B218" s="4"/>
      <c r="C218" s="4"/>
      <c r="D218" s="4"/>
      <c r="E218" s="4"/>
    </row>
    <row r="219" spans="1:5">
      <c r="A219" s="4"/>
      <c r="B219" s="4"/>
      <c r="C219" s="4"/>
      <c r="D219" s="4"/>
      <c r="E219" s="4"/>
    </row>
    <row r="220" spans="1:5">
      <c r="A220" s="4"/>
      <c r="B220" s="4"/>
      <c r="C220" s="4"/>
      <c r="D220" s="4"/>
      <c r="E220" s="4"/>
    </row>
    <row r="221" spans="1:5">
      <c r="A221" s="4"/>
      <c r="B221" s="4"/>
      <c r="C221" s="4"/>
      <c r="D221" s="4"/>
      <c r="E221" s="4"/>
    </row>
    <row r="222" spans="1:5">
      <c r="A222" s="4"/>
      <c r="B222" s="4"/>
      <c r="C222" s="4"/>
      <c r="D222" s="4"/>
      <c r="E222" s="4"/>
    </row>
    <row r="223" spans="1:5">
      <c r="A223" s="4"/>
      <c r="B223" s="4"/>
      <c r="C223" s="4"/>
      <c r="D223" s="4"/>
      <c r="E223" s="4"/>
    </row>
    <row r="224" spans="1:5">
      <c r="A224" s="4"/>
      <c r="B224" s="4"/>
      <c r="C224" s="4"/>
      <c r="D224" s="4"/>
      <c r="E224" s="4"/>
    </row>
    <row r="225" spans="1:5">
      <c r="A225" s="4"/>
      <c r="B225" s="4"/>
      <c r="C225" s="4"/>
      <c r="D225" s="4"/>
      <c r="E225" s="4"/>
    </row>
    <row r="226" spans="1:5">
      <c r="A226" s="4"/>
      <c r="B226" s="4"/>
      <c r="C226" s="4"/>
      <c r="D226" s="4"/>
      <c r="E226" s="4"/>
    </row>
    <row r="227" spans="1:5">
      <c r="A227" s="4"/>
      <c r="B227" s="4"/>
      <c r="C227" s="4"/>
      <c r="D227" s="4"/>
      <c r="E227" s="4"/>
    </row>
    <row r="228" spans="1:5">
      <c r="A228" s="4"/>
      <c r="B228" s="4"/>
      <c r="C228" s="4"/>
      <c r="D228" s="4"/>
      <c r="E228" s="4"/>
    </row>
    <row r="229" spans="1:5">
      <c r="A229" s="4"/>
      <c r="B229" s="4"/>
      <c r="C229" s="4"/>
      <c r="D229" s="4"/>
      <c r="E229" s="4"/>
    </row>
    <row r="230" spans="1:5">
      <c r="A230" s="4"/>
      <c r="B230" s="4"/>
      <c r="C230" s="4"/>
      <c r="D230" s="4"/>
      <c r="E230" s="4"/>
    </row>
    <row r="231" spans="1:5">
      <c r="A231" s="4"/>
      <c r="B231" s="4"/>
      <c r="C231" s="4"/>
      <c r="D231" s="4"/>
      <c r="E231" s="4"/>
    </row>
    <row r="232" spans="1:5">
      <c r="A232" s="4"/>
      <c r="B232" s="4"/>
      <c r="C232" s="4"/>
      <c r="D232" s="4"/>
      <c r="E232" s="4"/>
    </row>
    <row r="233" spans="1:5">
      <c r="A233" s="4"/>
      <c r="B233" s="4"/>
      <c r="C233" s="4"/>
      <c r="D233" s="4"/>
      <c r="E233" s="4"/>
    </row>
    <row r="234" spans="1:5">
      <c r="A234" s="4"/>
      <c r="B234" s="4"/>
      <c r="C234" s="4"/>
      <c r="D234" s="4"/>
      <c r="E234" s="4"/>
    </row>
    <row r="235" spans="1:5">
      <c r="A235" s="4"/>
      <c r="B235" s="4"/>
      <c r="C235" s="4"/>
      <c r="D235" s="4"/>
      <c r="E235" s="4"/>
    </row>
    <row r="236" spans="1:5">
      <c r="A236" s="4"/>
      <c r="B236" s="4"/>
      <c r="C236" s="4"/>
      <c r="D236" s="4"/>
      <c r="E236" s="4"/>
    </row>
    <row r="237" spans="1:5">
      <c r="A237" s="4"/>
      <c r="B237" s="4"/>
      <c r="C237" s="4"/>
      <c r="D237" s="4"/>
      <c r="E237" s="4"/>
    </row>
    <row r="238" spans="1:5">
      <c r="A238" s="4"/>
      <c r="B238" s="4"/>
      <c r="C238" s="4"/>
      <c r="D238" s="4"/>
      <c r="E238" s="4"/>
    </row>
    <row r="239" spans="1:5">
      <c r="A239" s="4"/>
      <c r="B239" s="4"/>
      <c r="C239" s="4"/>
      <c r="D239" s="4"/>
      <c r="E239" s="4"/>
    </row>
    <row r="240" spans="1:5">
      <c r="A240" s="4"/>
      <c r="B240" s="4"/>
      <c r="C240" s="4"/>
      <c r="D240" s="4"/>
      <c r="E240" s="4"/>
    </row>
    <row r="241" spans="1:5">
      <c r="A241" s="4"/>
      <c r="B241" s="4"/>
      <c r="C241" s="4"/>
      <c r="D241" s="4"/>
      <c r="E241" s="4"/>
    </row>
    <row r="242" spans="1:5">
      <c r="A242" s="4"/>
      <c r="B242" s="4"/>
      <c r="C242" s="4"/>
      <c r="D242" s="4"/>
      <c r="E242" s="4"/>
    </row>
    <row r="243" spans="1:5">
      <c r="A243" s="4"/>
      <c r="B243" s="4"/>
      <c r="C243" s="4"/>
      <c r="D243" s="4"/>
      <c r="E243" s="4"/>
    </row>
    <row r="244" spans="1:5">
      <c r="A244" s="4"/>
      <c r="B244" s="4"/>
      <c r="C244" s="4"/>
      <c r="D244" s="4"/>
      <c r="E244" s="4"/>
    </row>
    <row r="245" spans="1:5">
      <c r="A245" s="4"/>
      <c r="B245" s="4"/>
      <c r="C245" s="4"/>
      <c r="D245" s="4"/>
      <c r="E245" s="4"/>
    </row>
    <row r="246" spans="1:5">
      <c r="A246" s="4"/>
      <c r="B246" s="4"/>
      <c r="C246" s="4"/>
      <c r="D246" s="4"/>
      <c r="E246" s="4"/>
    </row>
    <row r="247" spans="1:5">
      <c r="A247" s="4"/>
      <c r="B247" s="4"/>
      <c r="C247" s="4"/>
      <c r="D247" s="4"/>
      <c r="E247" s="4"/>
    </row>
    <row r="248" spans="1:5">
      <c r="A248" s="4"/>
      <c r="B248" s="4"/>
      <c r="C248" s="4"/>
      <c r="D248" s="4"/>
      <c r="E248" s="4"/>
    </row>
    <row r="249" spans="1:5">
      <c r="A249" s="4"/>
      <c r="B249" s="4"/>
      <c r="C249" s="4"/>
      <c r="D249" s="4"/>
      <c r="E249" s="4"/>
    </row>
    <row r="250" spans="1:5">
      <c r="A250" s="4"/>
      <c r="B250" s="4"/>
      <c r="C250" s="4"/>
      <c r="D250" s="4"/>
      <c r="E250" s="4"/>
    </row>
    <row r="251" spans="1:5">
      <c r="A251" s="4"/>
      <c r="B251" s="4"/>
      <c r="C251" s="4"/>
      <c r="D251" s="4"/>
      <c r="E251" s="4"/>
    </row>
    <row r="252" spans="1:5">
      <c r="A252" s="4"/>
      <c r="B252" s="4"/>
      <c r="C252" s="4"/>
      <c r="D252" s="4"/>
      <c r="E252" s="4"/>
    </row>
    <row r="253" spans="1:5">
      <c r="A253" s="4"/>
      <c r="B253" s="4"/>
      <c r="C253" s="4"/>
      <c r="D253" s="4"/>
      <c r="E253" s="4"/>
    </row>
    <row r="254" spans="1:5">
      <c r="A254" s="4"/>
      <c r="B254" s="4"/>
      <c r="C254" s="4"/>
      <c r="D254" s="4"/>
      <c r="E254" s="4"/>
    </row>
    <row r="255" spans="1:5">
      <c r="A255" s="4"/>
      <c r="B255" s="4"/>
      <c r="C255" s="4"/>
      <c r="D255" s="4"/>
      <c r="E255" s="4"/>
    </row>
    <row r="256" spans="1:5">
      <c r="A256" s="4"/>
      <c r="B256" s="4"/>
      <c r="C256" s="4"/>
      <c r="D256" s="4"/>
      <c r="E256" s="4"/>
    </row>
    <row r="257" spans="1:7">
      <c r="A257" s="4"/>
      <c r="B257" s="4"/>
      <c r="C257" s="4"/>
      <c r="D257" s="4"/>
      <c r="E257" s="4"/>
    </row>
    <row r="258" spans="1:7">
      <c r="A258" s="4"/>
      <c r="B258" s="4"/>
      <c r="C258" s="4"/>
      <c r="D258" s="4"/>
      <c r="E258" s="4"/>
    </row>
    <row r="259" spans="1:7">
      <c r="A259" s="4"/>
      <c r="B259" s="4"/>
      <c r="C259" s="4"/>
      <c r="D259" s="4"/>
      <c r="E259" s="4"/>
    </row>
    <row r="260" spans="1:7">
      <c r="A260" s="4"/>
      <c r="B260" s="4"/>
      <c r="C260" s="4"/>
      <c r="D260" s="4"/>
      <c r="E260" s="4"/>
    </row>
    <row r="261" spans="1:7">
      <c r="A261" s="4"/>
      <c r="B261" s="4"/>
      <c r="C261" s="4"/>
      <c r="D261" s="4"/>
      <c r="E261" s="4"/>
    </row>
    <row r="262" spans="1:7">
      <c r="A262" s="4"/>
      <c r="B262" s="4"/>
      <c r="C262" s="4"/>
      <c r="D262" s="4"/>
      <c r="E262" s="4"/>
    </row>
    <row r="263" spans="1:7">
      <c r="A263" s="4"/>
      <c r="B263" s="4"/>
      <c r="C263" s="4"/>
      <c r="D263" s="4"/>
      <c r="E263" s="4"/>
    </row>
    <row r="264" spans="1:7">
      <c r="A264" s="4"/>
      <c r="B264" s="4"/>
      <c r="C264" s="4"/>
      <c r="D264" s="4"/>
      <c r="E264" s="4"/>
    </row>
    <row r="265" spans="1:7">
      <c r="A265" s="4"/>
      <c r="B265" s="4"/>
      <c r="C265" s="4"/>
      <c r="D265" s="4"/>
      <c r="E265" s="4"/>
    </row>
    <row r="266" spans="1:7">
      <c r="A266" s="4"/>
      <c r="B266" s="4"/>
      <c r="C266" s="4"/>
      <c r="D266" s="4"/>
      <c r="E266" s="4"/>
    </row>
    <row r="267" spans="1:7">
      <c r="A267" s="4"/>
      <c r="B267" s="4"/>
      <c r="C267" s="4"/>
      <c r="D267" s="4"/>
      <c r="E267" s="4"/>
    </row>
    <row r="268" spans="1:7">
      <c r="A268" s="4"/>
      <c r="B268" s="4"/>
      <c r="C268" s="4"/>
      <c r="D268" s="4"/>
      <c r="E268" s="4"/>
    </row>
    <row r="269" spans="1:7">
      <c r="A269" s="4"/>
      <c r="B269" s="4"/>
      <c r="C269" s="4"/>
      <c r="D269" s="4"/>
      <c r="E269" s="4"/>
      <c r="G269" s="4"/>
    </row>
    <row r="270" spans="1:7">
      <c r="A270" s="4"/>
      <c r="B270" s="4"/>
      <c r="C270" s="4"/>
      <c r="D270" s="4"/>
      <c r="E270" s="4"/>
      <c r="G270" s="4"/>
    </row>
    <row r="271" spans="1:7">
      <c r="A271" s="4"/>
      <c r="B271" s="4"/>
      <c r="C271" s="4"/>
      <c r="D271" s="4"/>
      <c r="E271" s="4"/>
      <c r="G271" s="4"/>
    </row>
    <row r="272" spans="1:7">
      <c r="A272" s="4"/>
      <c r="B272" s="4"/>
      <c r="C272" s="4"/>
      <c r="D272" s="4"/>
      <c r="E272" s="4"/>
      <c r="G272" s="4"/>
    </row>
    <row r="273" spans="4:7">
      <c r="D273" s="4"/>
      <c r="G273" s="4"/>
    </row>
    <row r="274" spans="4:7">
      <c r="D274" s="4"/>
      <c r="G274" s="4"/>
    </row>
    <row r="275" spans="4:7">
      <c r="D275" s="4"/>
      <c r="G275" s="4"/>
    </row>
    <row r="276" spans="4:7">
      <c r="D276" s="4"/>
      <c r="G276" s="4"/>
    </row>
    <row r="277" spans="4:7">
      <c r="D277" s="4"/>
      <c r="G277" s="4"/>
    </row>
    <row r="278" spans="4:7">
      <c r="D278" s="4"/>
      <c r="G278" s="4"/>
    </row>
    <row r="279" spans="4:7">
      <c r="D279" s="4"/>
      <c r="G279" s="4"/>
    </row>
    <row r="280" spans="4:7">
      <c r="D280" s="4"/>
      <c r="G280" s="4"/>
    </row>
    <row r="281" spans="4:7">
      <c r="D281" s="4"/>
      <c r="G281" s="4"/>
    </row>
    <row r="282" spans="4:7">
      <c r="D282" s="4"/>
      <c r="G282" s="4"/>
    </row>
    <row r="283" spans="4:7">
      <c r="D283" s="4"/>
      <c r="G283" s="4"/>
    </row>
    <row r="284" spans="4:7">
      <c r="D284" s="4"/>
      <c r="G284" s="4"/>
    </row>
    <row r="285" spans="4:7">
      <c r="D285" s="4"/>
      <c r="G285" s="4"/>
    </row>
    <row r="286" spans="4:7">
      <c r="D286" s="4"/>
      <c r="G286" s="4"/>
    </row>
    <row r="287" spans="4:7">
      <c r="D287" s="4"/>
      <c r="G287" s="4"/>
    </row>
    <row r="288" spans="4:7">
      <c r="D288" s="4"/>
      <c r="G288" s="4"/>
    </row>
    <row r="289" spans="4:7">
      <c r="D289" s="4"/>
      <c r="G289" s="4"/>
    </row>
    <row r="290" spans="4:7">
      <c r="D290" s="4"/>
      <c r="G290" s="4"/>
    </row>
    <row r="291" spans="4:7">
      <c r="D291" s="4"/>
      <c r="G291" s="4"/>
    </row>
    <row r="292" spans="4:7">
      <c r="D292" s="4"/>
      <c r="G292" s="4"/>
    </row>
    <row r="293" spans="4:7">
      <c r="D293" s="4"/>
      <c r="G293" s="4"/>
    </row>
    <row r="294" spans="4:7">
      <c r="D294" s="4"/>
      <c r="G294" s="4"/>
    </row>
    <row r="295" spans="4:7">
      <c r="D295" s="4"/>
      <c r="G295" s="4"/>
    </row>
    <row r="296" spans="4:7">
      <c r="D296" s="4"/>
      <c r="G296" s="4"/>
    </row>
    <row r="297" spans="4:7">
      <c r="D297" s="4"/>
      <c r="G297" s="4"/>
    </row>
    <row r="298" spans="4:7">
      <c r="D298" s="4"/>
      <c r="G298" s="4"/>
    </row>
    <row r="299" spans="4:7">
      <c r="D299" s="4"/>
      <c r="G299" s="4"/>
    </row>
    <row r="300" spans="4:7">
      <c r="D300" s="4"/>
      <c r="G300" s="4"/>
    </row>
    <row r="301" spans="4:7">
      <c r="D301" s="4"/>
      <c r="G301" s="4"/>
    </row>
    <row r="302" spans="4:7">
      <c r="D302" s="4"/>
      <c r="G302" s="4"/>
    </row>
    <row r="303" spans="4:7">
      <c r="D303" s="4"/>
      <c r="G303" s="4"/>
    </row>
    <row r="304" spans="4:7">
      <c r="D304" s="4"/>
      <c r="G304" s="4"/>
    </row>
    <row r="305" spans="4:7">
      <c r="D305" s="4"/>
      <c r="G305" s="4"/>
    </row>
    <row r="306" spans="4:7">
      <c r="D306" s="4"/>
      <c r="G306" s="4"/>
    </row>
    <row r="307" spans="4:7">
      <c r="D307" s="4"/>
      <c r="G307" s="4"/>
    </row>
    <row r="308" spans="4:7">
      <c r="D308" s="4"/>
      <c r="G308" s="4"/>
    </row>
    <row r="309" spans="4:7">
      <c r="D309" s="4"/>
      <c r="G309" s="4"/>
    </row>
    <row r="310" spans="4:7">
      <c r="D310" s="4"/>
      <c r="G310" s="4"/>
    </row>
    <row r="311" spans="4:7">
      <c r="D311" s="4"/>
      <c r="G311" s="4"/>
    </row>
    <row r="312" spans="4:7">
      <c r="D312" s="4"/>
      <c r="G312" s="4"/>
    </row>
    <row r="313" spans="4:7">
      <c r="D313" s="4"/>
      <c r="G313" s="4"/>
    </row>
    <row r="314" spans="4:7">
      <c r="D314" s="4"/>
      <c r="G314" s="4"/>
    </row>
    <row r="315" spans="4:7">
      <c r="D315" s="4"/>
      <c r="G315" s="4"/>
    </row>
    <row r="316" spans="4:7">
      <c r="D316" s="4"/>
      <c r="G316" s="4"/>
    </row>
    <row r="317" spans="4:7">
      <c r="D317" s="4"/>
      <c r="G317" s="4"/>
    </row>
    <row r="318" spans="4:7">
      <c r="D318" s="4"/>
      <c r="G318" s="4"/>
    </row>
    <row r="319" spans="4:7">
      <c r="D319" s="4"/>
      <c r="G319" s="4"/>
    </row>
    <row r="320" spans="4:7">
      <c r="D320" s="4"/>
      <c r="G320" s="4"/>
    </row>
    <row r="321" spans="4:7">
      <c r="D321" s="4"/>
      <c r="G321" s="4"/>
    </row>
    <row r="322" spans="4:7">
      <c r="D322" s="4"/>
      <c r="G322" s="4"/>
    </row>
    <row r="323" spans="4:7">
      <c r="D323" s="4"/>
      <c r="G323" s="4"/>
    </row>
    <row r="324" spans="4:7">
      <c r="D324" s="4"/>
      <c r="G324" s="4"/>
    </row>
    <row r="325" spans="4:7">
      <c r="D325" s="4"/>
      <c r="G325" s="4"/>
    </row>
    <row r="326" spans="4:7">
      <c r="D326" s="4"/>
      <c r="G326" s="4"/>
    </row>
    <row r="327" spans="4:7">
      <c r="D327" s="4"/>
      <c r="G327" s="4"/>
    </row>
    <row r="328" spans="4:7">
      <c r="D328" s="4"/>
      <c r="G328" s="4"/>
    </row>
    <row r="329" spans="4:7">
      <c r="D329" s="4"/>
      <c r="G329" s="4"/>
    </row>
    <row r="330" spans="4:7">
      <c r="D330" s="4"/>
      <c r="G330" s="4"/>
    </row>
    <row r="331" spans="4:7">
      <c r="D331" s="4"/>
      <c r="G331" s="4"/>
    </row>
    <row r="332" spans="4:7">
      <c r="D332" s="4"/>
      <c r="G332" s="4"/>
    </row>
    <row r="333" spans="4:7">
      <c r="D333" s="4"/>
      <c r="G333" s="4"/>
    </row>
    <row r="334" spans="4:7">
      <c r="D334" s="4"/>
      <c r="G334" s="4"/>
    </row>
    <row r="335" spans="4:7">
      <c r="D335" s="4"/>
      <c r="G335" s="4"/>
    </row>
    <row r="336" spans="4:7">
      <c r="D336" s="4"/>
      <c r="G336" s="4"/>
    </row>
    <row r="337" spans="4:7">
      <c r="D337" s="4"/>
      <c r="G337" s="4"/>
    </row>
    <row r="338" spans="4:7">
      <c r="D338" s="4"/>
      <c r="G338" s="4"/>
    </row>
    <row r="339" spans="4:7">
      <c r="D339" s="4"/>
      <c r="G339" s="4"/>
    </row>
    <row r="340" spans="4:7">
      <c r="D340" s="4"/>
      <c r="G340" s="4"/>
    </row>
    <row r="341" spans="4:7">
      <c r="D341" s="4"/>
      <c r="G341" s="4"/>
    </row>
    <row r="342" spans="4:7">
      <c r="D342" s="4"/>
      <c r="G342" s="4"/>
    </row>
    <row r="343" spans="4:7">
      <c r="D343" s="4"/>
      <c r="G343" s="4"/>
    </row>
    <row r="344" spans="4:7">
      <c r="D344" s="4"/>
      <c r="G344" s="4"/>
    </row>
    <row r="345" spans="4:7">
      <c r="D345" s="4"/>
      <c r="G345" s="4"/>
    </row>
    <row r="346" spans="4:7">
      <c r="D346" s="4"/>
      <c r="G346" s="4"/>
    </row>
    <row r="347" spans="4:7">
      <c r="D347" s="4"/>
      <c r="G347" s="4"/>
    </row>
    <row r="348" spans="4:7">
      <c r="D348" s="4"/>
      <c r="G348" s="4"/>
    </row>
    <row r="349" spans="4:7">
      <c r="D349" s="4"/>
      <c r="G349" s="4"/>
    </row>
    <row r="350" spans="4:7">
      <c r="D350" s="4"/>
      <c r="G350" s="4"/>
    </row>
    <row r="351" spans="4:7">
      <c r="D351" s="4"/>
      <c r="G351" s="4"/>
    </row>
    <row r="352" spans="4:7">
      <c r="D352" s="4"/>
      <c r="G352" s="4"/>
    </row>
    <row r="353" spans="4:7">
      <c r="D353" s="4"/>
      <c r="G353" s="4"/>
    </row>
    <row r="354" spans="4:7">
      <c r="D354" s="4"/>
      <c r="G354" s="4"/>
    </row>
    <row r="355" spans="4:7">
      <c r="D355" s="4"/>
      <c r="G355" s="4"/>
    </row>
    <row r="356" spans="4:7">
      <c r="D356" s="4"/>
      <c r="G356" s="4"/>
    </row>
    <row r="357" spans="4:7">
      <c r="D357" s="4"/>
      <c r="G357" s="4"/>
    </row>
    <row r="358" spans="4:7">
      <c r="D358" s="4"/>
      <c r="G358" s="4"/>
    </row>
    <row r="359" spans="4:7">
      <c r="D359" s="4"/>
      <c r="G359" s="4"/>
    </row>
    <row r="360" spans="4:7">
      <c r="D360" s="4"/>
      <c r="G360" s="4"/>
    </row>
    <row r="361" spans="4:7">
      <c r="D361" s="4"/>
      <c r="G361" s="4"/>
    </row>
    <row r="362" spans="4:7">
      <c r="D362" s="4"/>
      <c r="G362" s="4"/>
    </row>
    <row r="363" spans="4:7">
      <c r="D363" s="4"/>
      <c r="G363" s="4"/>
    </row>
    <row r="364" spans="4:7">
      <c r="D364" s="4"/>
      <c r="G364" s="4"/>
    </row>
    <row r="365" spans="4:7">
      <c r="D365" s="4"/>
      <c r="G365" s="4"/>
    </row>
    <row r="366" spans="4:7">
      <c r="D366" s="4"/>
      <c r="G366" s="4"/>
    </row>
    <row r="367" spans="4:7">
      <c r="D367" s="4"/>
      <c r="G367" s="4"/>
    </row>
    <row r="368" spans="4:7">
      <c r="D368" s="4"/>
      <c r="G368" s="4"/>
    </row>
    <row r="369" spans="4:7">
      <c r="D369" s="4"/>
      <c r="G369" s="4"/>
    </row>
    <row r="370" spans="4:7">
      <c r="D370" s="4"/>
      <c r="G370" s="4"/>
    </row>
    <row r="371" spans="4:7">
      <c r="D371" s="4"/>
      <c r="G371" s="4"/>
    </row>
    <row r="372" spans="4:7">
      <c r="D372" s="4"/>
      <c r="G372" s="4"/>
    </row>
    <row r="373" spans="4:7">
      <c r="D373" s="4"/>
      <c r="G373" s="4"/>
    </row>
    <row r="374" spans="4:7">
      <c r="D374" s="4"/>
      <c r="G374" s="4"/>
    </row>
    <row r="375" spans="4:7">
      <c r="D375" s="4"/>
      <c r="G375" s="4"/>
    </row>
    <row r="376" spans="4:7">
      <c r="D376" s="4"/>
      <c r="G376" s="4"/>
    </row>
    <row r="377" spans="4:7">
      <c r="D377" s="4"/>
      <c r="G377" s="4"/>
    </row>
    <row r="378" spans="4:7">
      <c r="D378" s="4"/>
      <c r="G378" s="4"/>
    </row>
    <row r="379" spans="4:7">
      <c r="D379" s="4"/>
      <c r="G379" s="4"/>
    </row>
    <row r="380" spans="4:7">
      <c r="D380" s="4"/>
      <c r="G380" s="4"/>
    </row>
    <row r="381" spans="4:7">
      <c r="D381" s="4"/>
      <c r="G381" s="4"/>
    </row>
    <row r="382" spans="4:7">
      <c r="D382" s="4"/>
      <c r="G382" s="4"/>
    </row>
    <row r="383" spans="4:7">
      <c r="D383" s="4"/>
      <c r="G383" s="4"/>
    </row>
    <row r="384" spans="4:7">
      <c r="D384" s="4"/>
      <c r="G384" s="4"/>
    </row>
    <row r="385" spans="4:7">
      <c r="D385" s="4"/>
      <c r="G385" s="4"/>
    </row>
    <row r="386" spans="4:7">
      <c r="D386" s="4"/>
      <c r="G386" s="4"/>
    </row>
    <row r="387" spans="4:7">
      <c r="D387" s="4"/>
      <c r="G387" s="4"/>
    </row>
    <row r="388" spans="4:7">
      <c r="D388" s="4"/>
      <c r="G388" s="4"/>
    </row>
    <row r="389" spans="4:7">
      <c r="D389" s="4"/>
      <c r="G389" s="4"/>
    </row>
    <row r="390" spans="4:7">
      <c r="D390" s="4"/>
      <c r="G390" s="4"/>
    </row>
    <row r="391" spans="4:7">
      <c r="D391" s="4"/>
      <c r="G391" s="4"/>
    </row>
    <row r="392" spans="4:7">
      <c r="D392" s="4"/>
      <c r="G392" s="4"/>
    </row>
    <row r="393" spans="4:7">
      <c r="D393" s="4"/>
      <c r="G393" s="4"/>
    </row>
    <row r="394" spans="4:7">
      <c r="D394" s="4"/>
      <c r="G394" s="4"/>
    </row>
    <row r="395" spans="4:7">
      <c r="D395" s="4"/>
      <c r="G395" s="4"/>
    </row>
    <row r="396" spans="4:7">
      <c r="D396" s="4"/>
      <c r="G396" s="4"/>
    </row>
    <row r="397" spans="4:7">
      <c r="D397" s="4"/>
      <c r="G397" s="4"/>
    </row>
    <row r="398" spans="4:7">
      <c r="D398" s="4"/>
      <c r="G398" s="4"/>
    </row>
    <row r="399" spans="4:7">
      <c r="D399" s="4"/>
      <c r="G399" s="4"/>
    </row>
    <row r="400" spans="4:7">
      <c r="D400" s="4"/>
      <c r="G400" s="4"/>
    </row>
    <row r="401" spans="4:7">
      <c r="D401" s="4"/>
      <c r="G401" s="4"/>
    </row>
    <row r="402" spans="4:7">
      <c r="D402" s="4"/>
      <c r="G402" s="4"/>
    </row>
    <row r="403" spans="4:7">
      <c r="D403" s="4"/>
      <c r="G403" s="4"/>
    </row>
    <row r="404" spans="4:7">
      <c r="D404" s="4"/>
      <c r="G404" s="4"/>
    </row>
    <row r="405" spans="4:7">
      <c r="D405" s="4"/>
      <c r="G405" s="4"/>
    </row>
    <row r="406" spans="4:7">
      <c r="D406" s="4"/>
      <c r="G406" s="4"/>
    </row>
    <row r="407" spans="4:7">
      <c r="D407" s="4"/>
      <c r="G407" s="4"/>
    </row>
    <row r="408" spans="4:7">
      <c r="D408" s="4"/>
      <c r="G408" s="4"/>
    </row>
    <row r="409" spans="4:7">
      <c r="D409" s="4"/>
      <c r="G409" s="4"/>
    </row>
    <row r="410" spans="4:7">
      <c r="D410" s="4"/>
      <c r="G410" s="4"/>
    </row>
    <row r="411" spans="4:7">
      <c r="D411" s="4"/>
      <c r="G411" s="4"/>
    </row>
    <row r="412" spans="4:7">
      <c r="D412" s="4"/>
      <c r="G412" s="4"/>
    </row>
    <row r="413" spans="4:7">
      <c r="D413" s="4"/>
      <c r="G413" s="4"/>
    </row>
    <row r="414" spans="4:7">
      <c r="D414" s="4"/>
      <c r="G414" s="4"/>
    </row>
    <row r="415" spans="4:7">
      <c r="D415" s="4"/>
      <c r="G415" s="4"/>
    </row>
    <row r="416" spans="4:7">
      <c r="D416" s="4"/>
      <c r="G416" s="4"/>
    </row>
    <row r="417" spans="4:7">
      <c r="D417" s="4"/>
      <c r="G417" s="4"/>
    </row>
    <row r="418" spans="4:7">
      <c r="D418" s="4"/>
      <c r="G418" s="4"/>
    </row>
    <row r="419" spans="4:7">
      <c r="D419" s="4"/>
      <c r="G419" s="4"/>
    </row>
    <row r="420" spans="4:7">
      <c r="D420" s="4"/>
      <c r="G420" s="4"/>
    </row>
    <row r="421" spans="4:7">
      <c r="D421" s="4"/>
      <c r="G421" s="4"/>
    </row>
    <row r="422" spans="4:7">
      <c r="D422" s="4"/>
      <c r="G422" s="4"/>
    </row>
    <row r="423" spans="4:7">
      <c r="D423" s="4"/>
      <c r="G423" s="4"/>
    </row>
    <row r="424" spans="4:7">
      <c r="D424" s="4"/>
      <c r="G424" s="4"/>
    </row>
    <row r="425" spans="4:7">
      <c r="D425" s="4"/>
      <c r="G425" s="4"/>
    </row>
    <row r="426" spans="4:7">
      <c r="D426" s="4"/>
      <c r="G426" s="4"/>
    </row>
    <row r="427" spans="4:7">
      <c r="D427" s="4"/>
      <c r="G427" s="4"/>
    </row>
    <row r="428" spans="4:7">
      <c r="D428" s="4"/>
      <c r="G428" s="4"/>
    </row>
    <row r="429" spans="4:7">
      <c r="D429" s="4"/>
      <c r="G429" s="4"/>
    </row>
    <row r="430" spans="4:7">
      <c r="D430" s="4"/>
      <c r="G430" s="4"/>
    </row>
    <row r="431" spans="4:7">
      <c r="D431" s="4"/>
      <c r="G431" s="4"/>
    </row>
    <row r="432" spans="4:7">
      <c r="D432" s="4"/>
      <c r="G432" s="4"/>
    </row>
    <row r="433" spans="4:7">
      <c r="D433" s="4"/>
      <c r="G433" s="4"/>
    </row>
    <row r="434" spans="4:7">
      <c r="D434" s="4"/>
      <c r="G434" s="4"/>
    </row>
    <row r="435" spans="4:7">
      <c r="D435" s="4"/>
      <c r="G435" s="4"/>
    </row>
    <row r="436" spans="4:7">
      <c r="D436" s="4"/>
      <c r="G436" s="4"/>
    </row>
    <row r="437" spans="4:7">
      <c r="D437" s="4"/>
      <c r="G437" s="4"/>
    </row>
    <row r="438" spans="4:7">
      <c r="D438" s="4"/>
      <c r="G438" s="4"/>
    </row>
    <row r="439" spans="4:7">
      <c r="D439" s="4"/>
      <c r="G439" s="4"/>
    </row>
    <row r="440" spans="4:7">
      <c r="D440" s="4"/>
      <c r="G440" s="4"/>
    </row>
    <row r="441" spans="4:7">
      <c r="D441" s="4"/>
      <c r="G441" s="4"/>
    </row>
    <row r="442" spans="4:7">
      <c r="D442" s="4"/>
      <c r="G442" s="4"/>
    </row>
    <row r="443" spans="4:7">
      <c r="D443" s="4"/>
      <c r="G443" s="4"/>
    </row>
    <row r="444" spans="4:7">
      <c r="D444" s="4"/>
      <c r="G444" s="4"/>
    </row>
    <row r="445" spans="4:7">
      <c r="D445" s="4"/>
      <c r="G445" s="4"/>
    </row>
    <row r="446" spans="4:7">
      <c r="D446" s="4"/>
      <c r="G446" s="4"/>
    </row>
    <row r="447" spans="4:7">
      <c r="D447" s="4"/>
      <c r="G447" s="4"/>
    </row>
    <row r="448" spans="4:7">
      <c r="D448" s="4"/>
      <c r="G448" s="4"/>
    </row>
    <row r="449" spans="4:7">
      <c r="D449" s="4"/>
      <c r="G449" s="4"/>
    </row>
    <row r="450" spans="4:7">
      <c r="D450" s="4"/>
      <c r="G450" s="4"/>
    </row>
    <row r="451" spans="4:7">
      <c r="D451" s="4"/>
      <c r="G451" s="4"/>
    </row>
    <row r="452" spans="4:7">
      <c r="D452" s="4"/>
      <c r="G452" s="4"/>
    </row>
    <row r="453" spans="4:7">
      <c r="D453" s="4"/>
      <c r="G453" s="4"/>
    </row>
    <row r="454" spans="4:7">
      <c r="D454" s="4"/>
      <c r="G454" s="4"/>
    </row>
    <row r="455" spans="4:7">
      <c r="D455" s="4"/>
      <c r="G455" s="4"/>
    </row>
    <row r="456" spans="4:7">
      <c r="D456" s="4"/>
      <c r="G456" s="4"/>
    </row>
    <row r="457" spans="4:7">
      <c r="D457" s="4"/>
      <c r="G457" s="4"/>
    </row>
    <row r="458" spans="4:7">
      <c r="D458" s="4"/>
      <c r="G458" s="4"/>
    </row>
    <row r="459" spans="4:7">
      <c r="D459" s="4"/>
      <c r="G459" s="4"/>
    </row>
    <row r="460" spans="4:7">
      <c r="D460" s="4"/>
      <c r="G460" s="4"/>
    </row>
    <row r="461" spans="4:7">
      <c r="D461" s="4"/>
      <c r="G461" s="4"/>
    </row>
    <row r="462" spans="4:7">
      <c r="D462" s="4"/>
      <c r="G462" s="4"/>
    </row>
    <row r="463" spans="4:7">
      <c r="D463" s="4"/>
      <c r="G463" s="4"/>
    </row>
    <row r="464" spans="4:7">
      <c r="D464" s="4"/>
      <c r="G464" s="4"/>
    </row>
    <row r="465" spans="4:7">
      <c r="D465" s="4"/>
      <c r="G465" s="4"/>
    </row>
    <row r="466" spans="4:7">
      <c r="D466" s="4"/>
      <c r="G466" s="4"/>
    </row>
    <row r="467" spans="4:7">
      <c r="D467" s="4"/>
      <c r="G467" s="4"/>
    </row>
    <row r="468" spans="4:7">
      <c r="D468" s="4"/>
      <c r="G468" s="4"/>
    </row>
    <row r="469" spans="4:7">
      <c r="D469" s="4"/>
      <c r="G469" s="4"/>
    </row>
    <row r="470" spans="4:7">
      <c r="D470" s="4"/>
      <c r="G470" s="4"/>
    </row>
    <row r="471" spans="4:7">
      <c r="D471" s="4"/>
      <c r="G471" s="4"/>
    </row>
    <row r="472" spans="4:7">
      <c r="D472" s="4"/>
      <c r="G472" s="4"/>
    </row>
    <row r="473" spans="4:7">
      <c r="D473" s="4"/>
      <c r="G473" s="4"/>
    </row>
    <row r="474" spans="4:7">
      <c r="D474" s="4"/>
      <c r="G474" s="4"/>
    </row>
    <row r="475" spans="4:7">
      <c r="D475" s="4"/>
      <c r="G475" s="4"/>
    </row>
    <row r="476" spans="4:7">
      <c r="D476" s="4"/>
      <c r="G476" s="4"/>
    </row>
    <row r="477" spans="4:7">
      <c r="D477" s="4"/>
      <c r="G477" s="4"/>
    </row>
    <row r="478" spans="4:7">
      <c r="D478" s="4"/>
      <c r="G478" s="4"/>
    </row>
    <row r="479" spans="4:7">
      <c r="D479" s="4"/>
      <c r="G479" s="4"/>
    </row>
    <row r="480" spans="4:7">
      <c r="D480" s="4"/>
      <c r="G480" s="4"/>
    </row>
    <row r="481" spans="4:7">
      <c r="D481" s="4"/>
      <c r="G481" s="4"/>
    </row>
    <row r="482" spans="4:7">
      <c r="D482" s="4"/>
      <c r="G482" s="4"/>
    </row>
    <row r="483" spans="4:7">
      <c r="D483" s="4"/>
      <c r="G483" s="4"/>
    </row>
    <row r="484" spans="4:7">
      <c r="D484" s="4"/>
      <c r="G484" s="4"/>
    </row>
    <row r="485" spans="4:7">
      <c r="D485" s="4"/>
      <c r="G485" s="4"/>
    </row>
    <row r="486" spans="4:7">
      <c r="D486" s="4"/>
      <c r="G486" s="4"/>
    </row>
    <row r="487" spans="4:7">
      <c r="D487" s="4"/>
      <c r="G487" s="4"/>
    </row>
    <row r="488" spans="4:7">
      <c r="D488" s="4"/>
      <c r="G488" s="4"/>
    </row>
    <row r="489" spans="4:7">
      <c r="D489" s="4"/>
      <c r="G489" s="4"/>
    </row>
    <row r="490" spans="4:7">
      <c r="D490" s="4"/>
      <c r="G490" s="4"/>
    </row>
    <row r="491" spans="4:7">
      <c r="D491" s="4"/>
      <c r="G491" s="4"/>
    </row>
    <row r="492" spans="4:7">
      <c r="D492" s="4"/>
      <c r="G492" s="4"/>
    </row>
    <row r="493" spans="4:7">
      <c r="D493" s="4"/>
      <c r="G493" s="4"/>
    </row>
    <row r="494" spans="4:7">
      <c r="D494" s="4"/>
      <c r="G494" s="4"/>
    </row>
    <row r="495" spans="4:7">
      <c r="D495" s="4"/>
      <c r="G495" s="4"/>
    </row>
    <row r="496" spans="4:7">
      <c r="D496" s="4"/>
      <c r="G496" s="4"/>
    </row>
    <row r="497" spans="4:7">
      <c r="D497" s="4"/>
      <c r="G497" s="4"/>
    </row>
    <row r="498" spans="4:7">
      <c r="D498" s="4"/>
      <c r="G498" s="4"/>
    </row>
    <row r="499" spans="4:7">
      <c r="D499" s="4"/>
      <c r="G499" s="4"/>
    </row>
    <row r="500" spans="4:7">
      <c r="D500" s="4"/>
      <c r="G500" s="4"/>
    </row>
    <row r="501" spans="4:7">
      <c r="D501" s="4"/>
      <c r="G501" s="4"/>
    </row>
    <row r="502" spans="4:7">
      <c r="D502" s="4"/>
      <c r="G502" s="4"/>
    </row>
    <row r="503" spans="4:7">
      <c r="D503" s="4"/>
      <c r="G503" s="4"/>
    </row>
    <row r="504" spans="4:7">
      <c r="D504" s="4"/>
      <c r="G504" s="4"/>
    </row>
    <row r="505" spans="4:7">
      <c r="D505" s="4"/>
      <c r="G505" s="4"/>
    </row>
    <row r="506" spans="4:7">
      <c r="D506" s="4"/>
      <c r="G506" s="4"/>
    </row>
    <row r="507" spans="4:7">
      <c r="D507" s="4"/>
      <c r="G507" s="4"/>
    </row>
    <row r="508" spans="4:7">
      <c r="D508" s="4"/>
      <c r="G508" s="4"/>
    </row>
    <row r="509" spans="4:7">
      <c r="D509" s="4"/>
      <c r="G509" s="4"/>
    </row>
    <row r="510" spans="4:7">
      <c r="D510" s="4"/>
      <c r="G510" s="4"/>
    </row>
    <row r="511" spans="4:7">
      <c r="D511" s="4"/>
      <c r="G511" s="4"/>
    </row>
    <row r="512" spans="4:7">
      <c r="D512" s="4"/>
      <c r="G512" s="4"/>
    </row>
    <row r="513" spans="4:7">
      <c r="D513" s="4"/>
      <c r="G513" s="4"/>
    </row>
    <row r="514" spans="4:7">
      <c r="D514" s="4"/>
      <c r="G514" s="4"/>
    </row>
    <row r="515" spans="4:7">
      <c r="D515" s="4"/>
      <c r="G515" s="4"/>
    </row>
    <row r="516" spans="4:7">
      <c r="D516" s="4"/>
      <c r="G516" s="4"/>
    </row>
    <row r="517" spans="4:7">
      <c r="D517" s="4"/>
      <c r="G517" s="4"/>
    </row>
    <row r="518" spans="4:7">
      <c r="D518" s="4"/>
      <c r="G518" s="4"/>
    </row>
    <row r="519" spans="4:7">
      <c r="D519" s="4"/>
      <c r="G519" s="4"/>
    </row>
    <row r="520" spans="4:7">
      <c r="D520" s="4"/>
      <c r="G520" s="4"/>
    </row>
    <row r="521" spans="4:7">
      <c r="D521" s="4"/>
      <c r="G521" s="4"/>
    </row>
    <row r="522" spans="4:7">
      <c r="D522" s="4"/>
      <c r="G522" s="4"/>
    </row>
    <row r="523" spans="4:7">
      <c r="D523" s="4"/>
      <c r="G523" s="4"/>
    </row>
    <row r="524" spans="4:7">
      <c r="D524" s="4"/>
      <c r="G524" s="4"/>
    </row>
    <row r="525" spans="4:7">
      <c r="D525" s="4"/>
      <c r="G525" s="4"/>
    </row>
    <row r="526" spans="4:7">
      <c r="D526" s="4"/>
      <c r="G526" s="4"/>
    </row>
    <row r="527" spans="4:7">
      <c r="D527" s="4"/>
      <c r="G527" s="4"/>
    </row>
    <row r="528" spans="4:7">
      <c r="D528" s="4"/>
      <c r="G528" s="4"/>
    </row>
    <row r="529" spans="4:7">
      <c r="D529" s="4"/>
      <c r="G529" s="4"/>
    </row>
    <row r="530" spans="4:7">
      <c r="D530" s="4"/>
      <c r="G530" s="4"/>
    </row>
    <row r="531" spans="4:7">
      <c r="D531" s="4"/>
      <c r="G531" s="4"/>
    </row>
    <row r="532" spans="4:7">
      <c r="D532" s="4"/>
      <c r="G532" s="4"/>
    </row>
    <row r="533" spans="4:7">
      <c r="D533" s="4"/>
      <c r="G533" s="4"/>
    </row>
    <row r="534" spans="4:7">
      <c r="D534" s="4"/>
      <c r="G534" s="4"/>
    </row>
    <row r="535" spans="4:7">
      <c r="D535" s="4"/>
      <c r="G535" s="4"/>
    </row>
    <row r="536" spans="4:7">
      <c r="D536" s="4"/>
      <c r="G536" s="4"/>
    </row>
    <row r="537" spans="4:7">
      <c r="D537" s="4"/>
      <c r="G537" s="4"/>
    </row>
    <row r="538" spans="4:7">
      <c r="D538" s="4"/>
      <c r="G538" s="4"/>
    </row>
    <row r="539" spans="4:7">
      <c r="D539" s="4"/>
      <c r="G539" s="4"/>
    </row>
    <row r="540" spans="4:7">
      <c r="D540" s="4"/>
      <c r="G540" s="4"/>
    </row>
    <row r="541" spans="4:7">
      <c r="D541" s="4"/>
      <c r="G541" s="4"/>
    </row>
    <row r="542" spans="4:7">
      <c r="D542" s="4"/>
      <c r="G542" s="4"/>
    </row>
    <row r="543" spans="4:7">
      <c r="D543" s="4"/>
      <c r="G543" s="4"/>
    </row>
    <row r="544" spans="4:7">
      <c r="D544" s="4"/>
      <c r="G544" s="4"/>
    </row>
    <row r="545" spans="4:7">
      <c r="D545" s="4"/>
      <c r="G545" s="4"/>
    </row>
    <row r="546" spans="4:7">
      <c r="D546" s="4"/>
      <c r="G546" s="4"/>
    </row>
    <row r="547" spans="4:7">
      <c r="D547" s="4"/>
      <c r="G547" s="4"/>
    </row>
    <row r="548" spans="4:7">
      <c r="D548" s="4"/>
      <c r="G548" s="4"/>
    </row>
    <row r="549" spans="4:7">
      <c r="D549" s="4"/>
      <c r="G549" s="4"/>
    </row>
    <row r="550" spans="4:7">
      <c r="D550" s="4"/>
      <c r="G550" s="4"/>
    </row>
    <row r="551" spans="4:7">
      <c r="D551" s="4"/>
      <c r="G551" s="4"/>
    </row>
    <row r="552" spans="4:7">
      <c r="D552" s="4"/>
      <c r="G552" s="4"/>
    </row>
    <row r="553" spans="4:7">
      <c r="D553" s="4"/>
      <c r="G553" s="4"/>
    </row>
    <row r="554" spans="4:7">
      <c r="D554" s="4"/>
      <c r="G554" s="4"/>
    </row>
    <row r="555" spans="4:7">
      <c r="D555" s="4"/>
      <c r="G555" s="4"/>
    </row>
    <row r="556" spans="4:7">
      <c r="D556" s="4"/>
      <c r="G556" s="4"/>
    </row>
    <row r="557" spans="4:7">
      <c r="D557" s="4"/>
      <c r="G557" s="4"/>
    </row>
    <row r="558" spans="4:7">
      <c r="D558" s="4"/>
      <c r="G558" s="4"/>
    </row>
    <row r="559" spans="4:7">
      <c r="D559" s="4"/>
      <c r="G559" s="4"/>
    </row>
    <row r="560" spans="4:7">
      <c r="D560" s="4"/>
      <c r="G560" s="4"/>
    </row>
    <row r="561" spans="4:7">
      <c r="D561" s="4"/>
      <c r="G561" s="4"/>
    </row>
    <row r="562" spans="4:7">
      <c r="D562" s="4"/>
      <c r="G562" s="4"/>
    </row>
    <row r="563" spans="4:7">
      <c r="D563" s="4"/>
      <c r="G563" s="4"/>
    </row>
    <row r="564" spans="4:7">
      <c r="D564" s="4"/>
      <c r="G564" s="4"/>
    </row>
    <row r="565" spans="4:7">
      <c r="D565" s="4"/>
      <c r="G565" s="4"/>
    </row>
    <row r="566" spans="4:7">
      <c r="D566" s="4"/>
      <c r="G566" s="4"/>
    </row>
    <row r="567" spans="4:7">
      <c r="D567" s="4"/>
      <c r="G567" s="4"/>
    </row>
    <row r="568" spans="4:7">
      <c r="D568" s="4"/>
      <c r="G568" s="4"/>
    </row>
    <row r="569" spans="4:7">
      <c r="D569" s="4"/>
      <c r="G569" s="4"/>
    </row>
    <row r="570" spans="4:7">
      <c r="D570" s="4"/>
      <c r="G570" s="4"/>
    </row>
    <row r="571" spans="4:7">
      <c r="D571" s="4"/>
      <c r="G571" s="4"/>
    </row>
    <row r="572" spans="4:7">
      <c r="D572" s="4"/>
      <c r="G572" s="4"/>
    </row>
    <row r="573" spans="4:7">
      <c r="D573" s="4"/>
      <c r="G573" s="4"/>
    </row>
    <row r="574" spans="4:7">
      <c r="D574" s="4"/>
      <c r="G574" s="4"/>
    </row>
    <row r="575" spans="4:7">
      <c r="D575" s="4"/>
      <c r="G575" s="4"/>
    </row>
    <row r="576" spans="4:7">
      <c r="D576" s="4"/>
      <c r="G576" s="4"/>
    </row>
    <row r="577" spans="4:7">
      <c r="D577" s="4"/>
      <c r="G577" s="4"/>
    </row>
    <row r="578" spans="4:7">
      <c r="D578" s="4"/>
      <c r="G578" s="4"/>
    </row>
    <row r="579" spans="4:7">
      <c r="D579" s="4"/>
      <c r="G579" s="4"/>
    </row>
    <row r="580" spans="4:7">
      <c r="D580" s="4"/>
      <c r="G580" s="4"/>
    </row>
    <row r="581" spans="4:7">
      <c r="D581" s="4"/>
      <c r="G581" s="4"/>
    </row>
    <row r="582" spans="4:7">
      <c r="D582" s="4"/>
      <c r="G582" s="4"/>
    </row>
    <row r="583" spans="4:7">
      <c r="D583" s="4"/>
      <c r="G583" s="4"/>
    </row>
    <row r="584" spans="4:7">
      <c r="D584" s="4"/>
      <c r="G584" s="4"/>
    </row>
    <row r="585" spans="4:7">
      <c r="D585" s="4"/>
      <c r="G585" s="4"/>
    </row>
    <row r="586" spans="4:7">
      <c r="D586" s="4"/>
      <c r="G586" s="4"/>
    </row>
    <row r="587" spans="4:7">
      <c r="D587" s="4"/>
      <c r="G587" s="4"/>
    </row>
    <row r="588" spans="4:7">
      <c r="D588" s="4"/>
      <c r="G588" s="4"/>
    </row>
    <row r="589" spans="4:7">
      <c r="D589" s="4"/>
      <c r="G589" s="4"/>
    </row>
    <row r="590" spans="4:7">
      <c r="D590" s="4"/>
      <c r="G590" s="4"/>
    </row>
    <row r="591" spans="4:7">
      <c r="D591" s="4"/>
      <c r="G591" s="4"/>
    </row>
    <row r="592" spans="4:7">
      <c r="D592" s="4"/>
      <c r="G592" s="4"/>
    </row>
    <row r="593" spans="4:7">
      <c r="D593" s="4"/>
      <c r="G593" s="4"/>
    </row>
    <row r="594" spans="4:7">
      <c r="D594" s="4"/>
      <c r="G594" s="4"/>
    </row>
    <row r="595" spans="4:7">
      <c r="D595" s="4"/>
      <c r="G595" s="4"/>
    </row>
    <row r="596" spans="4:7">
      <c r="D596" s="4"/>
      <c r="G596" s="4"/>
    </row>
    <row r="597" spans="4:7">
      <c r="D597" s="4"/>
      <c r="G597" s="4"/>
    </row>
    <row r="598" spans="4:7">
      <c r="D598" s="4"/>
      <c r="G598" s="4"/>
    </row>
    <row r="599" spans="4:7">
      <c r="D599" s="4"/>
      <c r="G599" s="4"/>
    </row>
    <row r="600" spans="4:7">
      <c r="D600" s="4"/>
      <c r="G600" s="4"/>
    </row>
    <row r="601" spans="4:7">
      <c r="D601" s="4"/>
      <c r="G601" s="4"/>
    </row>
    <row r="602" spans="4:7">
      <c r="D602" s="4"/>
      <c r="G602" s="4"/>
    </row>
    <row r="603" spans="4:7">
      <c r="D603" s="4"/>
      <c r="G603" s="4"/>
    </row>
    <row r="604" spans="4:7">
      <c r="D604" s="4"/>
      <c r="G604" s="4"/>
    </row>
    <row r="605" spans="4:7">
      <c r="D605" s="4"/>
      <c r="G605" s="4"/>
    </row>
    <row r="606" spans="4:7">
      <c r="D606" s="4"/>
      <c r="G606" s="4"/>
    </row>
    <row r="607" spans="4:7">
      <c r="D607" s="4"/>
      <c r="G607" s="4"/>
    </row>
    <row r="608" spans="4:7">
      <c r="D608" s="4"/>
      <c r="G608" s="4"/>
    </row>
    <row r="609" spans="4:7">
      <c r="D609" s="4"/>
      <c r="G609" s="4"/>
    </row>
    <row r="610" spans="4:7">
      <c r="D610" s="4"/>
      <c r="G610" s="4"/>
    </row>
    <row r="611" spans="4:7">
      <c r="D611" s="4"/>
      <c r="G611" s="4"/>
    </row>
    <row r="612" spans="4:7">
      <c r="D612" s="4"/>
      <c r="G612" s="4"/>
    </row>
    <row r="613" spans="4:7">
      <c r="D613" s="4"/>
      <c r="G613" s="4"/>
    </row>
    <row r="614" spans="4:7">
      <c r="D614" s="4"/>
      <c r="G614" s="4"/>
    </row>
    <row r="615" spans="4:7">
      <c r="D615" s="4"/>
      <c r="G615" s="4"/>
    </row>
    <row r="616" spans="4:7">
      <c r="D616" s="4"/>
      <c r="G616" s="4"/>
    </row>
    <row r="617" spans="4:7">
      <c r="D617" s="4"/>
      <c r="G617" s="4"/>
    </row>
    <row r="618" spans="4:7">
      <c r="D618" s="4"/>
      <c r="G618" s="4"/>
    </row>
    <row r="619" spans="4:7">
      <c r="D619" s="4"/>
      <c r="G619" s="4"/>
    </row>
    <row r="620" spans="4:7">
      <c r="D620" s="4"/>
      <c r="G620" s="4"/>
    </row>
    <row r="621" spans="4:7">
      <c r="D621" s="4"/>
      <c r="G621" s="4"/>
    </row>
    <row r="622" spans="4:7">
      <c r="D622" s="4"/>
      <c r="G622" s="4"/>
    </row>
    <row r="623" spans="4:7">
      <c r="D623" s="4"/>
      <c r="G623" s="4"/>
    </row>
    <row r="624" spans="4:7">
      <c r="D624" s="4"/>
      <c r="G624" s="4"/>
    </row>
    <row r="625" spans="4:7">
      <c r="D625" s="4"/>
      <c r="G625" s="4"/>
    </row>
    <row r="626" spans="4:7">
      <c r="D626" s="4"/>
      <c r="G626" s="4"/>
    </row>
    <row r="627" spans="4:7">
      <c r="D627" s="4"/>
      <c r="G627" s="4"/>
    </row>
    <row r="628" spans="4:7">
      <c r="D628" s="4"/>
      <c r="G628" s="4"/>
    </row>
    <row r="629" spans="4:7">
      <c r="D629" s="4"/>
      <c r="G629" s="4"/>
    </row>
    <row r="630" spans="4:7">
      <c r="D630" s="4"/>
      <c r="G630" s="4"/>
    </row>
    <row r="631" spans="4:7">
      <c r="D631" s="4"/>
      <c r="G631" s="4"/>
    </row>
    <row r="632" spans="4:7">
      <c r="D632" s="4"/>
      <c r="G632" s="4"/>
    </row>
    <row r="633" spans="4:7">
      <c r="D633" s="4"/>
      <c r="G633" s="4"/>
    </row>
    <row r="634" spans="4:7">
      <c r="D634" s="4"/>
      <c r="G634" s="4"/>
    </row>
    <row r="635" spans="4:7">
      <c r="D635" s="4"/>
      <c r="G635" s="4"/>
    </row>
    <row r="636" spans="4:7">
      <c r="D636" s="4"/>
      <c r="G636" s="4"/>
    </row>
    <row r="637" spans="4:7">
      <c r="D637" s="4"/>
      <c r="G637" s="4"/>
    </row>
    <row r="638" spans="4:7">
      <c r="D638" s="4"/>
      <c r="G638" s="4"/>
    </row>
    <row r="639" spans="4:7">
      <c r="D639" s="4"/>
      <c r="G639" s="4"/>
    </row>
    <row r="640" spans="4:7">
      <c r="D640" s="4"/>
      <c r="G640" s="4"/>
    </row>
    <row r="641" spans="4:7">
      <c r="D641" s="4"/>
      <c r="G641" s="4"/>
    </row>
    <row r="642" spans="4:7">
      <c r="D642" s="4"/>
      <c r="G642" s="4"/>
    </row>
    <row r="643" spans="4:7">
      <c r="D643" s="4"/>
      <c r="G643" s="4"/>
    </row>
    <row r="644" spans="4:7">
      <c r="D644" s="4"/>
      <c r="G644" s="4"/>
    </row>
    <row r="645" spans="4:7">
      <c r="D645" s="4"/>
      <c r="G645" s="4"/>
    </row>
    <row r="646" spans="4:7">
      <c r="D646" s="4"/>
      <c r="G646" s="4"/>
    </row>
    <row r="647" spans="4:7">
      <c r="D647" s="4"/>
      <c r="G647" s="4"/>
    </row>
    <row r="648" spans="4:7">
      <c r="D648" s="4"/>
      <c r="G648" s="4"/>
    </row>
    <row r="649" spans="4:7">
      <c r="D649" s="4"/>
      <c r="G649" s="4"/>
    </row>
    <row r="650" spans="4:7">
      <c r="D650" s="4"/>
      <c r="G650" s="4"/>
    </row>
    <row r="651" spans="4:7">
      <c r="D651" s="4"/>
      <c r="G651" s="4"/>
    </row>
    <row r="652" spans="4:7">
      <c r="D652" s="4"/>
      <c r="G652" s="4"/>
    </row>
    <row r="653" spans="4:7">
      <c r="D653" s="4"/>
      <c r="G653" s="4"/>
    </row>
    <row r="654" spans="4:7">
      <c r="D654" s="4"/>
      <c r="G654" s="4"/>
    </row>
    <row r="655" spans="4:7">
      <c r="D655" s="4"/>
      <c r="G655" s="4"/>
    </row>
    <row r="656" spans="4:7">
      <c r="D656" s="4"/>
      <c r="G656" s="4"/>
    </row>
    <row r="657" spans="4:7">
      <c r="D657" s="4"/>
      <c r="G657" s="4"/>
    </row>
    <row r="658" spans="4:7">
      <c r="D658" s="4"/>
      <c r="G658" s="4"/>
    </row>
    <row r="659" spans="4:7">
      <c r="D659" s="4"/>
      <c r="G659" s="4"/>
    </row>
    <row r="660" spans="4:7">
      <c r="D660" s="4"/>
      <c r="G660" s="4"/>
    </row>
    <row r="661" spans="4:7">
      <c r="D661" s="4"/>
      <c r="G661" s="4"/>
    </row>
    <row r="662" spans="4:7">
      <c r="D662" s="4"/>
      <c r="G662" s="4"/>
    </row>
    <row r="663" spans="4:7">
      <c r="D663" s="4"/>
      <c r="G663" s="4"/>
    </row>
    <row r="664" spans="4:7">
      <c r="D664" s="4"/>
      <c r="G664" s="4"/>
    </row>
    <row r="665" spans="4:7">
      <c r="D665" s="4"/>
      <c r="G665" s="4"/>
    </row>
    <row r="666" spans="4:7">
      <c r="D666" s="4"/>
      <c r="G666" s="4"/>
    </row>
    <row r="667" spans="4:7">
      <c r="D667" s="4"/>
      <c r="G667" s="4"/>
    </row>
    <row r="668" spans="4:7">
      <c r="D668" s="4"/>
      <c r="G668" s="4"/>
    </row>
    <row r="669" spans="4:7">
      <c r="D669" s="4"/>
      <c r="G669" s="4"/>
    </row>
    <row r="670" spans="4:7">
      <c r="D670" s="4"/>
      <c r="G670" s="4"/>
    </row>
    <row r="671" spans="4:7">
      <c r="D671" s="4"/>
      <c r="G671" s="4"/>
    </row>
    <row r="672" spans="4:7">
      <c r="D672" s="4"/>
      <c r="G672" s="4"/>
    </row>
    <row r="673" spans="4:7">
      <c r="D673" s="4"/>
      <c r="G673" s="4"/>
    </row>
    <row r="674" spans="4:7">
      <c r="D674" s="4"/>
      <c r="G674" s="4"/>
    </row>
    <row r="675" spans="4:7">
      <c r="D675" s="4"/>
      <c r="G675" s="4"/>
    </row>
    <row r="676" spans="4:7">
      <c r="D676" s="4"/>
      <c r="G676" s="4"/>
    </row>
    <row r="677" spans="4:7">
      <c r="D677" s="4"/>
      <c r="G677" s="4"/>
    </row>
    <row r="678" spans="4:7">
      <c r="D678" s="4"/>
      <c r="G678" s="4"/>
    </row>
    <row r="679" spans="4:7">
      <c r="D679" s="4"/>
      <c r="G679" s="4"/>
    </row>
    <row r="680" spans="4:7">
      <c r="D680" s="4"/>
      <c r="G680" s="4"/>
    </row>
    <row r="681" spans="4:7">
      <c r="D681" s="4"/>
      <c r="G681" s="4"/>
    </row>
    <row r="682" spans="4:7">
      <c r="D682" s="4"/>
      <c r="G682" s="4"/>
    </row>
    <row r="683" spans="4:7">
      <c r="D683" s="4"/>
      <c r="G683" s="4"/>
    </row>
    <row r="684" spans="4:7">
      <c r="D684" s="4"/>
      <c r="G684" s="4"/>
    </row>
    <row r="685" spans="4:7">
      <c r="D685" s="4"/>
      <c r="G685" s="4"/>
    </row>
    <row r="686" spans="4:7">
      <c r="D686" s="4"/>
      <c r="G686" s="4"/>
    </row>
    <row r="687" spans="4:7">
      <c r="D687" s="4"/>
      <c r="G687" s="4"/>
    </row>
    <row r="688" spans="4:7">
      <c r="D688" s="4"/>
      <c r="G688" s="4"/>
    </row>
    <row r="689" spans="4:7">
      <c r="D689" s="4"/>
      <c r="G689" s="4"/>
    </row>
    <row r="690" spans="4:7">
      <c r="D690" s="4"/>
      <c r="G690" s="4"/>
    </row>
    <row r="691" spans="4:7">
      <c r="D691" s="4"/>
      <c r="G691" s="4"/>
    </row>
    <row r="692" spans="4:7">
      <c r="D692" s="4"/>
      <c r="G692" s="4"/>
    </row>
    <row r="693" spans="4:7">
      <c r="D693" s="4"/>
      <c r="G693" s="4"/>
    </row>
    <row r="694" spans="4:7">
      <c r="D694" s="4"/>
      <c r="G694" s="4"/>
    </row>
    <row r="695" spans="4:7">
      <c r="D695" s="4"/>
      <c r="G695" s="4"/>
    </row>
    <row r="696" spans="4:7">
      <c r="D696" s="4"/>
      <c r="G696" s="4"/>
    </row>
    <row r="697" spans="4:7">
      <c r="D697" s="4"/>
      <c r="G697" s="4"/>
    </row>
    <row r="698" spans="4:7">
      <c r="D698" s="4"/>
      <c r="G698" s="4"/>
    </row>
    <row r="699" spans="4:7">
      <c r="D699" s="4"/>
      <c r="G699" s="4"/>
    </row>
    <row r="700" spans="4:7">
      <c r="D700" s="4"/>
      <c r="G700" s="4"/>
    </row>
    <row r="701" spans="4:7">
      <c r="D701" s="4"/>
      <c r="G701" s="4"/>
    </row>
    <row r="702" spans="4:7">
      <c r="D702" s="4"/>
      <c r="G702" s="4"/>
    </row>
    <row r="703" spans="4:7">
      <c r="D703" s="4"/>
      <c r="G703" s="4"/>
    </row>
    <row r="704" spans="4:7">
      <c r="D704" s="4"/>
      <c r="G704" s="4"/>
    </row>
    <row r="705" spans="4:7">
      <c r="D705" s="4"/>
      <c r="G705" s="4"/>
    </row>
    <row r="706" spans="4:7">
      <c r="D706" s="4"/>
      <c r="G706" s="4"/>
    </row>
    <row r="707" spans="4:7">
      <c r="D707" s="4"/>
      <c r="G707" s="4"/>
    </row>
    <row r="708" spans="4:7">
      <c r="D708" s="4"/>
      <c r="G708" s="4"/>
    </row>
    <row r="709" spans="4:7">
      <c r="D709" s="4"/>
      <c r="G709" s="4"/>
    </row>
    <row r="710" spans="4:7">
      <c r="D710" s="4"/>
      <c r="G710" s="4"/>
    </row>
    <row r="711" spans="4:7">
      <c r="D711" s="4"/>
      <c r="G711" s="4"/>
    </row>
    <row r="712" spans="4:7">
      <c r="D712" s="4"/>
      <c r="G712" s="4"/>
    </row>
    <row r="713" spans="4:7">
      <c r="D713" s="4"/>
      <c r="G713" s="4"/>
    </row>
    <row r="714" spans="4:7">
      <c r="D714" s="4"/>
      <c r="G714" s="4"/>
    </row>
    <row r="715" spans="4:7">
      <c r="D715" s="4"/>
      <c r="G715" s="4"/>
    </row>
    <row r="716" spans="4:7">
      <c r="D716" s="4"/>
      <c r="G716" s="4"/>
    </row>
    <row r="717" spans="4:7">
      <c r="D717" s="4"/>
      <c r="G717" s="4"/>
    </row>
    <row r="718" spans="4:7">
      <c r="D718" s="4"/>
      <c r="G718" s="4"/>
    </row>
    <row r="719" spans="4:7">
      <c r="D719" s="4"/>
      <c r="G719" s="4"/>
    </row>
    <row r="720" spans="4:7">
      <c r="D720" s="4"/>
      <c r="G720" s="4"/>
    </row>
    <row r="721" spans="4:7">
      <c r="D721" s="4"/>
      <c r="G721" s="4"/>
    </row>
    <row r="722" spans="4:7">
      <c r="D722" s="4"/>
      <c r="G722" s="4"/>
    </row>
    <row r="723" spans="4:7">
      <c r="D723" s="4"/>
      <c r="G723" s="4"/>
    </row>
    <row r="724" spans="4:7">
      <c r="D724" s="4"/>
      <c r="G724" s="4"/>
    </row>
    <row r="725" spans="4:7">
      <c r="D725" s="4"/>
      <c r="G725" s="4"/>
    </row>
    <row r="726" spans="4:7">
      <c r="D726" s="4"/>
      <c r="G726" s="4"/>
    </row>
    <row r="727" spans="4:7">
      <c r="D727" s="4"/>
      <c r="G727" s="4"/>
    </row>
    <row r="728" spans="4:7">
      <c r="D728" s="4"/>
      <c r="G728" s="4"/>
    </row>
    <row r="729" spans="4:7">
      <c r="D729" s="4"/>
      <c r="G729" s="4"/>
    </row>
    <row r="730" spans="4:7">
      <c r="D730" s="4"/>
      <c r="G730" s="4"/>
    </row>
    <row r="731" spans="4:7">
      <c r="D731" s="4"/>
      <c r="G731" s="4"/>
    </row>
    <row r="732" spans="4:7">
      <c r="D732" s="4"/>
      <c r="G732" s="4"/>
    </row>
    <row r="733" spans="4:7">
      <c r="D733" s="4"/>
      <c r="G733" s="4"/>
    </row>
    <row r="734" spans="4:7">
      <c r="D734" s="4"/>
      <c r="G734" s="4"/>
    </row>
    <row r="735" spans="4:7">
      <c r="D735" s="4"/>
      <c r="G735" s="4"/>
    </row>
    <row r="736" spans="4:7">
      <c r="D736" s="4"/>
      <c r="G736" s="4"/>
    </row>
    <row r="737" spans="4:7">
      <c r="D737" s="4"/>
      <c r="G737" s="4"/>
    </row>
    <row r="738" spans="4:7">
      <c r="D738" s="4"/>
      <c r="G738" s="4"/>
    </row>
    <row r="739" spans="4:7">
      <c r="D739" s="4"/>
      <c r="G739" s="4"/>
    </row>
    <row r="740" spans="4:7">
      <c r="D740" s="4"/>
      <c r="G740" s="4"/>
    </row>
    <row r="741" spans="4:7">
      <c r="D741" s="4"/>
      <c r="G741" s="4"/>
    </row>
    <row r="742" spans="4:7">
      <c r="D742" s="4"/>
      <c r="G742" s="4"/>
    </row>
    <row r="743" spans="4:7">
      <c r="D743" s="4"/>
      <c r="G743" s="4"/>
    </row>
    <row r="744" spans="4:7">
      <c r="D744" s="4"/>
      <c r="G744" s="4"/>
    </row>
    <row r="745" spans="4:7">
      <c r="D745" s="4"/>
      <c r="G745" s="4"/>
    </row>
    <row r="746" spans="4:7">
      <c r="D746" s="4"/>
      <c r="G746" s="4"/>
    </row>
    <row r="747" spans="4:7">
      <c r="D747" s="4"/>
      <c r="G747" s="4"/>
    </row>
    <row r="748" spans="4:7">
      <c r="D748" s="4"/>
      <c r="G748" s="4"/>
    </row>
    <row r="749" spans="4:7">
      <c r="D749" s="4"/>
      <c r="G749" s="4"/>
    </row>
    <row r="750" spans="4:7">
      <c r="D750" s="4"/>
      <c r="G750" s="4"/>
    </row>
    <row r="751" spans="4:7">
      <c r="D751" s="4"/>
      <c r="G751" s="4"/>
    </row>
    <row r="752" spans="4:7">
      <c r="D752" s="4"/>
      <c r="G752" s="4"/>
    </row>
    <row r="753" spans="4:7">
      <c r="D753" s="4"/>
      <c r="G753" s="4"/>
    </row>
    <row r="754" spans="4:7">
      <c r="G754" s="4"/>
    </row>
    <row r="755" spans="4:7">
      <c r="G755" s="4"/>
    </row>
    <row r="756" spans="4:7">
      <c r="G756" s="4"/>
    </row>
    <row r="757" spans="4:7">
      <c r="G757" s="4"/>
    </row>
    <row r="758" spans="4:7">
      <c r="G758" s="4"/>
    </row>
    <row r="759" spans="4:7">
      <c r="G759" s="4"/>
    </row>
    <row r="760" spans="4:7">
      <c r="G760" s="4"/>
    </row>
    <row r="761" spans="4:7">
      <c r="G761" s="4"/>
    </row>
    <row r="762" spans="4:7">
      <c r="G762" s="4"/>
    </row>
    <row r="763" spans="4:7">
      <c r="G763" s="4"/>
    </row>
    <row r="764" spans="4:7">
      <c r="G764" s="4"/>
    </row>
    <row r="765" spans="4:7">
      <c r="G765" s="4"/>
    </row>
    <row r="766" spans="4:7">
      <c r="G766" s="4"/>
    </row>
    <row r="767" spans="4:7">
      <c r="G767" s="4"/>
    </row>
    <row r="768" spans="4:7">
      <c r="G768" s="4"/>
    </row>
    <row r="769" spans="7:7">
      <c r="G769" s="4"/>
    </row>
    <row r="770" spans="7:7">
      <c r="G770" s="4"/>
    </row>
    <row r="771" spans="7:7">
      <c r="G771" s="4"/>
    </row>
    <row r="772" spans="7:7">
      <c r="G772" s="4"/>
    </row>
    <row r="773" spans="7:7">
      <c r="G773" s="4"/>
    </row>
    <row r="774" spans="7:7">
      <c r="G774" s="4"/>
    </row>
    <row r="775" spans="7:7">
      <c r="G775" s="4"/>
    </row>
    <row r="776" spans="7:7">
      <c r="G776" s="4"/>
    </row>
    <row r="777" spans="7:7">
      <c r="G777" s="4"/>
    </row>
    <row r="778" spans="7:7">
      <c r="G778" s="4"/>
    </row>
    <row r="779" spans="7:7">
      <c r="G779" s="4"/>
    </row>
    <row r="780" spans="7:7">
      <c r="G780" s="4"/>
    </row>
    <row r="781" spans="7:7">
      <c r="G781" s="4"/>
    </row>
    <row r="782" spans="7:7">
      <c r="G782" s="4"/>
    </row>
    <row r="783" spans="7:7">
      <c r="G783" s="4"/>
    </row>
    <row r="784" spans="7:7">
      <c r="G784" s="4"/>
    </row>
    <row r="785" spans="7:7">
      <c r="G785" s="4"/>
    </row>
    <row r="786" spans="7:7">
      <c r="G786" s="4"/>
    </row>
    <row r="787" spans="7:7">
      <c r="G787" s="4"/>
    </row>
    <row r="788" spans="7:7">
      <c r="G788" s="4"/>
    </row>
    <row r="789" spans="7:7">
      <c r="G789" s="4"/>
    </row>
    <row r="790" spans="7:7">
      <c r="G790" s="4"/>
    </row>
    <row r="791" spans="7:7">
      <c r="G791" s="4"/>
    </row>
    <row r="792" spans="7:7">
      <c r="G792" s="4"/>
    </row>
    <row r="793" spans="7:7">
      <c r="G793" s="4"/>
    </row>
    <row r="794" spans="7:7">
      <c r="G794" s="4"/>
    </row>
    <row r="795" spans="7:7">
      <c r="G795" s="4"/>
    </row>
    <row r="796" spans="7:7">
      <c r="G796" s="4"/>
    </row>
    <row r="797" spans="7:7">
      <c r="G797" s="4"/>
    </row>
    <row r="798" spans="7:7">
      <c r="G798" s="4"/>
    </row>
    <row r="799" spans="7:7">
      <c r="G799" s="4"/>
    </row>
    <row r="800" spans="7:7">
      <c r="G800" s="4"/>
    </row>
    <row r="801" spans="7:7">
      <c r="G801" s="4"/>
    </row>
    <row r="802" spans="7:7">
      <c r="G802" s="4"/>
    </row>
    <row r="803" spans="7:7">
      <c r="G803" s="4"/>
    </row>
    <row r="804" spans="7:7">
      <c r="G804" s="4"/>
    </row>
    <row r="805" spans="7:7">
      <c r="G805" s="4"/>
    </row>
    <row r="806" spans="7:7">
      <c r="G806" s="4"/>
    </row>
    <row r="807" spans="7:7">
      <c r="G807" s="4"/>
    </row>
    <row r="808" spans="7:7">
      <c r="G808" s="4"/>
    </row>
    <row r="809" spans="7:7">
      <c r="G809" s="4"/>
    </row>
    <row r="810" spans="7:7">
      <c r="G810" s="4"/>
    </row>
    <row r="811" spans="7:7">
      <c r="G811" s="4"/>
    </row>
    <row r="812" spans="7:7">
      <c r="G812" s="4"/>
    </row>
    <row r="813" spans="7:7">
      <c r="G813" s="4"/>
    </row>
    <row r="814" spans="7:7">
      <c r="G814" s="4"/>
    </row>
    <row r="815" spans="7:7">
      <c r="G815" s="4"/>
    </row>
    <row r="816" spans="7:7">
      <c r="G816" s="4"/>
    </row>
    <row r="817" spans="7:7">
      <c r="G817" s="4"/>
    </row>
    <row r="818" spans="7:7">
      <c r="G818" s="4"/>
    </row>
    <row r="819" spans="7:7">
      <c r="G819" s="4"/>
    </row>
    <row r="820" spans="7:7">
      <c r="G820" s="4"/>
    </row>
    <row r="821" spans="7:7">
      <c r="G821" s="4"/>
    </row>
    <row r="822" spans="7:7">
      <c r="G822" s="4"/>
    </row>
    <row r="823" spans="7:7">
      <c r="G823" s="4"/>
    </row>
    <row r="824" spans="7:7">
      <c r="G824" s="4"/>
    </row>
    <row r="825" spans="7:7">
      <c r="G825" s="4"/>
    </row>
    <row r="826" spans="7:7">
      <c r="G826" s="4"/>
    </row>
    <row r="827" spans="7:7">
      <c r="G827" s="4"/>
    </row>
    <row r="828" spans="7:7">
      <c r="G828" s="4"/>
    </row>
    <row r="829" spans="7:7">
      <c r="G829" s="4"/>
    </row>
    <row r="830" spans="7:7">
      <c r="G830" s="4"/>
    </row>
    <row r="831" spans="7:7">
      <c r="G831" s="4"/>
    </row>
    <row r="832" spans="7:7">
      <c r="G832" s="4"/>
    </row>
    <row r="833" spans="7:7">
      <c r="G833" s="4"/>
    </row>
    <row r="834" spans="7:7">
      <c r="G834" s="4"/>
    </row>
    <row r="835" spans="7:7">
      <c r="G835" s="4"/>
    </row>
    <row r="836" spans="7:7">
      <c r="G836" s="4"/>
    </row>
    <row r="837" spans="7:7">
      <c r="G837" s="4"/>
    </row>
    <row r="838" spans="7:7">
      <c r="G838" s="4"/>
    </row>
    <row r="839" spans="7:7">
      <c r="G839" s="4"/>
    </row>
    <row r="840" spans="7:7">
      <c r="G840" s="4"/>
    </row>
    <row r="841" spans="7:7">
      <c r="G841" s="4"/>
    </row>
    <row r="842" spans="7:7">
      <c r="G842" s="4"/>
    </row>
    <row r="843" spans="7:7">
      <c r="G843" s="4"/>
    </row>
    <row r="844" spans="7:7">
      <c r="G844" s="4"/>
    </row>
    <row r="845" spans="7:7">
      <c r="G845" s="4"/>
    </row>
    <row r="846" spans="7:7">
      <c r="G846" s="4"/>
    </row>
    <row r="847" spans="7:7">
      <c r="G847" s="4"/>
    </row>
    <row r="848" spans="7:7">
      <c r="G848" s="4"/>
    </row>
    <row r="849" spans="7:7">
      <c r="G849" s="4"/>
    </row>
    <row r="850" spans="7:7">
      <c r="G850" s="4"/>
    </row>
    <row r="851" spans="7:7">
      <c r="G851" s="4"/>
    </row>
    <row r="852" spans="7:7">
      <c r="G852" s="4"/>
    </row>
    <row r="853" spans="7:7">
      <c r="G853" s="4"/>
    </row>
    <row r="854" spans="7:7">
      <c r="G854" s="4"/>
    </row>
    <row r="855" spans="7:7">
      <c r="G855" s="4"/>
    </row>
    <row r="856" spans="7:7">
      <c r="G856" s="4"/>
    </row>
    <row r="857" spans="7:7">
      <c r="G857" s="4"/>
    </row>
    <row r="858" spans="7:7">
      <c r="G858" s="4"/>
    </row>
    <row r="859" spans="7:7">
      <c r="G859" s="4"/>
    </row>
    <row r="860" spans="7:7">
      <c r="G860" s="4"/>
    </row>
    <row r="861" spans="7:7">
      <c r="G861" s="4"/>
    </row>
    <row r="862" spans="7:7">
      <c r="G862" s="4"/>
    </row>
    <row r="863" spans="7:7">
      <c r="G863" s="4"/>
    </row>
    <row r="864" spans="7:7">
      <c r="G864" s="4"/>
    </row>
    <row r="865" spans="7:7">
      <c r="G865" s="4"/>
    </row>
    <row r="866" spans="7:7">
      <c r="G866" s="4"/>
    </row>
    <row r="867" spans="7:7">
      <c r="G867" s="4"/>
    </row>
    <row r="868" spans="7:7">
      <c r="G868" s="4"/>
    </row>
    <row r="869" spans="7:7">
      <c r="G869" s="4"/>
    </row>
    <row r="870" spans="7:7">
      <c r="G870" s="4"/>
    </row>
    <row r="871" spans="7:7">
      <c r="G871" s="4"/>
    </row>
    <row r="872" spans="7:7">
      <c r="G872" s="4"/>
    </row>
    <row r="873" spans="7:7">
      <c r="G873" s="4"/>
    </row>
    <row r="874" spans="7:7">
      <c r="G874" s="4"/>
    </row>
    <row r="875" spans="7:7">
      <c r="G875" s="4"/>
    </row>
    <row r="876" spans="7:7">
      <c r="G876" s="4"/>
    </row>
    <row r="877" spans="7:7">
      <c r="G877" s="4"/>
    </row>
    <row r="878" spans="7:7">
      <c r="G878" s="4"/>
    </row>
    <row r="879" spans="7:7">
      <c r="G879" s="4"/>
    </row>
    <row r="880" spans="7:7">
      <c r="G880" s="4"/>
    </row>
    <row r="881" spans="7:7">
      <c r="G881" s="4"/>
    </row>
    <row r="882" spans="7:7">
      <c r="G882" s="4"/>
    </row>
    <row r="883" spans="7:7">
      <c r="G883" s="4"/>
    </row>
    <row r="884" spans="7:7">
      <c r="G884" s="4"/>
    </row>
    <row r="885" spans="7:7">
      <c r="G885" s="4"/>
    </row>
    <row r="886" spans="7:7">
      <c r="G886" s="4"/>
    </row>
    <row r="887" spans="7:7">
      <c r="G887" s="4"/>
    </row>
    <row r="888" spans="7:7">
      <c r="G888" s="4"/>
    </row>
    <row r="889" spans="7:7">
      <c r="G889" s="4"/>
    </row>
    <row r="890" spans="7:7">
      <c r="G890" s="4"/>
    </row>
    <row r="891" spans="7:7">
      <c r="G891" s="4"/>
    </row>
    <row r="892" spans="7:7">
      <c r="G892" s="4"/>
    </row>
    <row r="893" spans="7:7">
      <c r="G893" s="4"/>
    </row>
    <row r="894" spans="7:7">
      <c r="G894" s="4"/>
    </row>
    <row r="895" spans="7:7">
      <c r="G895" s="4"/>
    </row>
    <row r="896" spans="7:7">
      <c r="G896" s="4"/>
    </row>
    <row r="897" spans="7:7">
      <c r="G897" s="4"/>
    </row>
    <row r="898" spans="7:7">
      <c r="G898" s="4"/>
    </row>
    <row r="899" spans="7:7">
      <c r="G899" s="4"/>
    </row>
    <row r="900" spans="7:7">
      <c r="G900" s="4"/>
    </row>
    <row r="901" spans="7:7">
      <c r="G901" s="4"/>
    </row>
    <row r="902" spans="7:7">
      <c r="G902" s="4"/>
    </row>
    <row r="903" spans="7:7">
      <c r="G903" s="4"/>
    </row>
    <row r="904" spans="7:7">
      <c r="G904" s="4"/>
    </row>
    <row r="905" spans="7:7">
      <c r="G905" s="4"/>
    </row>
    <row r="906" spans="7:7">
      <c r="G906" s="4"/>
    </row>
    <row r="907" spans="7:7">
      <c r="G907" s="4"/>
    </row>
    <row r="908" spans="7:7">
      <c r="G908" s="4"/>
    </row>
    <row r="909" spans="7:7">
      <c r="G909" s="4"/>
    </row>
    <row r="910" spans="7:7">
      <c r="G910" s="4"/>
    </row>
    <row r="911" spans="7:7">
      <c r="G911" s="4"/>
    </row>
    <row r="912" spans="7:7">
      <c r="G912" s="4"/>
    </row>
    <row r="913" spans="7:7">
      <c r="G913" s="4"/>
    </row>
    <row r="914" spans="7:7">
      <c r="G914" s="4"/>
    </row>
    <row r="915" spans="7:7">
      <c r="G915" s="4"/>
    </row>
    <row r="916" spans="7:7">
      <c r="G916" s="4"/>
    </row>
    <row r="917" spans="7:7">
      <c r="G917" s="4"/>
    </row>
    <row r="918" spans="7:7">
      <c r="G918" s="4"/>
    </row>
    <row r="919" spans="7:7">
      <c r="G919" s="4"/>
    </row>
    <row r="920" spans="7:7">
      <c r="G920" s="4"/>
    </row>
    <row r="921" spans="7:7">
      <c r="G921" s="4"/>
    </row>
    <row r="922" spans="7:7">
      <c r="G922" s="4"/>
    </row>
    <row r="923" spans="7:7">
      <c r="G923" s="4"/>
    </row>
    <row r="924" spans="7:7">
      <c r="G924" s="4"/>
    </row>
    <row r="925" spans="7:7">
      <c r="G925" s="4"/>
    </row>
    <row r="926" spans="7:7">
      <c r="G926" s="4"/>
    </row>
    <row r="927" spans="7:7">
      <c r="G927" s="4"/>
    </row>
    <row r="928" spans="7:7">
      <c r="G928" s="4"/>
    </row>
    <row r="929" spans="7:7">
      <c r="G929" s="4"/>
    </row>
    <row r="930" spans="7:7">
      <c r="G930" s="4"/>
    </row>
    <row r="931" spans="7:7">
      <c r="G931" s="4"/>
    </row>
    <row r="932" spans="7:7">
      <c r="G932" s="4"/>
    </row>
    <row r="933" spans="7:7">
      <c r="G933" s="4"/>
    </row>
    <row r="934" spans="7:7">
      <c r="G934" s="4"/>
    </row>
    <row r="935" spans="7:7">
      <c r="G935" s="4"/>
    </row>
    <row r="936" spans="7:7">
      <c r="G936" s="4"/>
    </row>
    <row r="937" spans="7:7">
      <c r="G937" s="4"/>
    </row>
    <row r="938" spans="7:7">
      <c r="G938" s="4"/>
    </row>
    <row r="939" spans="7:7">
      <c r="G939" s="4"/>
    </row>
    <row r="940" spans="7:7">
      <c r="G940" s="4"/>
    </row>
    <row r="941" spans="7:7">
      <c r="G941" s="4"/>
    </row>
    <row r="942" spans="7:7">
      <c r="G942" s="4"/>
    </row>
    <row r="943" spans="7:7">
      <c r="G943" s="4"/>
    </row>
    <row r="944" spans="7:7">
      <c r="G944" s="4"/>
    </row>
    <row r="945" spans="7:7">
      <c r="G945" s="4"/>
    </row>
    <row r="946" spans="7:7">
      <c r="G946" s="4"/>
    </row>
    <row r="947" spans="7:7">
      <c r="G947" s="4"/>
    </row>
    <row r="948" spans="7:7">
      <c r="G948" s="4"/>
    </row>
    <row r="949" spans="7:7">
      <c r="G949" s="4"/>
    </row>
    <row r="950" spans="7:7">
      <c r="G950" s="4"/>
    </row>
    <row r="951" spans="7:7">
      <c r="G951" s="4"/>
    </row>
    <row r="952" spans="7:7">
      <c r="G952" s="4"/>
    </row>
    <row r="953" spans="7:7">
      <c r="G953" s="4"/>
    </row>
    <row r="954" spans="7:7">
      <c r="G954" s="4"/>
    </row>
    <row r="955" spans="7:7">
      <c r="G955" s="4"/>
    </row>
    <row r="956" spans="7:7">
      <c r="G956" s="4"/>
    </row>
    <row r="957" spans="7:7">
      <c r="G957" s="4"/>
    </row>
    <row r="958" spans="7:7">
      <c r="G958" s="4"/>
    </row>
    <row r="959" spans="7:7">
      <c r="G959" s="4"/>
    </row>
    <row r="960" spans="7:7">
      <c r="G960" s="4"/>
    </row>
    <row r="961" spans="7:7">
      <c r="G961" s="4"/>
    </row>
    <row r="962" spans="7:7">
      <c r="G962" s="4"/>
    </row>
    <row r="963" spans="7:7">
      <c r="G963" s="4"/>
    </row>
    <row r="964" spans="7:7">
      <c r="G964" s="4"/>
    </row>
    <row r="965" spans="7:7">
      <c r="G965" s="4"/>
    </row>
    <row r="966" spans="7:7">
      <c r="G966" s="4"/>
    </row>
    <row r="967" spans="7:7">
      <c r="G967" s="4"/>
    </row>
    <row r="968" spans="7:7">
      <c r="G968" s="4"/>
    </row>
    <row r="969" spans="7:7">
      <c r="G969" s="4"/>
    </row>
    <row r="970" spans="7:7">
      <c r="G970" s="4"/>
    </row>
    <row r="971" spans="7:7">
      <c r="G971" s="4"/>
    </row>
    <row r="972" spans="7:7">
      <c r="G972" s="4"/>
    </row>
    <row r="973" spans="7:7">
      <c r="G973" s="4"/>
    </row>
    <row r="974" spans="7:7">
      <c r="G974" s="4"/>
    </row>
    <row r="975" spans="7:7">
      <c r="G975" s="4"/>
    </row>
    <row r="976" spans="7:7">
      <c r="G976" s="4"/>
    </row>
    <row r="977" spans="7:7">
      <c r="G977" s="4"/>
    </row>
    <row r="978" spans="7:7">
      <c r="G978" s="4"/>
    </row>
    <row r="979" spans="7:7">
      <c r="G979" s="4"/>
    </row>
    <row r="980" spans="7:7">
      <c r="G980" s="4"/>
    </row>
    <row r="981" spans="7:7">
      <c r="G981" s="4"/>
    </row>
    <row r="982" spans="7:7">
      <c r="G982" s="4"/>
    </row>
    <row r="983" spans="7:7">
      <c r="G983" s="4"/>
    </row>
    <row r="984" spans="7:7">
      <c r="G984" s="4"/>
    </row>
    <row r="985" spans="7:7">
      <c r="G985" s="4"/>
    </row>
    <row r="986" spans="7:7">
      <c r="G986" s="4"/>
    </row>
    <row r="987" spans="7:7">
      <c r="G987" s="4"/>
    </row>
    <row r="988" spans="7:7">
      <c r="G988" s="4"/>
    </row>
    <row r="989" spans="7:7">
      <c r="G989" s="4"/>
    </row>
    <row r="990" spans="7:7">
      <c r="G990" s="4"/>
    </row>
    <row r="991" spans="7:7">
      <c r="G991" s="4"/>
    </row>
    <row r="992" spans="7:7">
      <c r="G992" s="4"/>
    </row>
    <row r="993" spans="7:7">
      <c r="G993" s="4"/>
    </row>
    <row r="994" spans="7:7">
      <c r="G994" s="4"/>
    </row>
    <row r="995" spans="7:7">
      <c r="G995" s="4"/>
    </row>
    <row r="996" spans="7:7">
      <c r="G996" s="4"/>
    </row>
    <row r="997" spans="7:7">
      <c r="G997" s="4"/>
    </row>
    <row r="998" spans="7:7">
      <c r="G998" s="4"/>
    </row>
    <row r="999" spans="7:7">
      <c r="G999" s="4"/>
    </row>
    <row r="1000" spans="7:7">
      <c r="G1000" s="4"/>
    </row>
    <row r="1001" spans="7:7">
      <c r="G1001" s="4"/>
    </row>
    <row r="1002" spans="7:7">
      <c r="G1002" s="4"/>
    </row>
    <row r="1003" spans="7:7">
      <c r="G1003" s="4"/>
    </row>
    <row r="1004" spans="7:7">
      <c r="G1004" s="4"/>
    </row>
    <row r="1005" spans="7:7">
      <c r="G1005" s="4"/>
    </row>
    <row r="1006" spans="7:7">
      <c r="G1006" s="4"/>
    </row>
    <row r="1007" spans="7:7">
      <c r="G1007" s="4"/>
    </row>
    <row r="1008" spans="7:7">
      <c r="G1008" s="4"/>
    </row>
    <row r="1009" spans="7:7">
      <c r="G1009" s="4"/>
    </row>
    <row r="1010" spans="7:7">
      <c r="G1010" s="4"/>
    </row>
    <row r="1011" spans="7:7">
      <c r="G1011" s="4"/>
    </row>
    <row r="1012" spans="7:7">
      <c r="G1012" s="4"/>
    </row>
    <row r="1013" spans="7:7">
      <c r="G1013" s="4"/>
    </row>
    <row r="1014" spans="7:7">
      <c r="G1014" s="4"/>
    </row>
    <row r="1015" spans="7:7">
      <c r="G1015" s="4"/>
    </row>
    <row r="1016" spans="7:7">
      <c r="G1016" s="4"/>
    </row>
    <row r="1017" spans="7:7">
      <c r="G1017" s="4"/>
    </row>
    <row r="1018" spans="7:7">
      <c r="G1018" s="4"/>
    </row>
    <row r="1019" spans="7:7">
      <c r="G1019" s="4"/>
    </row>
    <row r="1020" spans="7:7">
      <c r="G1020" s="4"/>
    </row>
    <row r="1021" spans="7:7">
      <c r="G1021" s="4"/>
    </row>
    <row r="1022" spans="7:7">
      <c r="G1022" s="4"/>
    </row>
    <row r="1023" spans="7:7">
      <c r="G1023" s="4"/>
    </row>
    <row r="1024" spans="7:7">
      <c r="G1024" s="4"/>
    </row>
    <row r="1025" spans="7:7">
      <c r="G1025" s="4"/>
    </row>
    <row r="1026" spans="7:7">
      <c r="G1026" s="4"/>
    </row>
    <row r="1027" spans="7:7">
      <c r="G1027" s="4"/>
    </row>
    <row r="1028" spans="7:7">
      <c r="G1028" s="4"/>
    </row>
    <row r="1029" spans="7:7">
      <c r="G1029" s="4"/>
    </row>
    <row r="1030" spans="7:7">
      <c r="G1030" s="4"/>
    </row>
    <row r="1031" spans="7:7">
      <c r="G1031" s="4"/>
    </row>
    <row r="1032" spans="7:7">
      <c r="G1032" s="4"/>
    </row>
    <row r="1033" spans="7:7">
      <c r="G1033" s="4"/>
    </row>
    <row r="1034" spans="7:7">
      <c r="G1034" s="4"/>
    </row>
    <row r="1035" spans="7:7">
      <c r="G1035" s="4"/>
    </row>
    <row r="1036" spans="7:7">
      <c r="G1036" s="4"/>
    </row>
    <row r="1037" spans="7:7">
      <c r="G1037" s="4"/>
    </row>
    <row r="1038" spans="7:7">
      <c r="G1038" s="4"/>
    </row>
    <row r="1039" spans="7:7">
      <c r="G1039" s="4"/>
    </row>
    <row r="1040" spans="7:7">
      <c r="G1040" s="4"/>
    </row>
    <row r="1041" spans="7:7">
      <c r="G1041" s="4"/>
    </row>
    <row r="1042" spans="7:7">
      <c r="G1042" s="4"/>
    </row>
    <row r="1043" spans="7:7">
      <c r="G1043" s="4"/>
    </row>
    <row r="1044" spans="7:7">
      <c r="G1044" s="4"/>
    </row>
    <row r="1045" spans="7:7">
      <c r="G1045" s="4"/>
    </row>
    <row r="1046" spans="7:7">
      <c r="G1046" s="4"/>
    </row>
    <row r="1047" spans="7:7">
      <c r="G1047" s="4"/>
    </row>
    <row r="1048" spans="7:7">
      <c r="G1048" s="4"/>
    </row>
    <row r="1049" spans="7:7">
      <c r="G1049" s="4"/>
    </row>
    <row r="1050" spans="7:7">
      <c r="G1050" s="4"/>
    </row>
    <row r="1051" spans="7:7">
      <c r="G1051" s="4"/>
    </row>
    <row r="1052" spans="7:7">
      <c r="G1052" s="4"/>
    </row>
    <row r="1053" spans="7:7">
      <c r="G1053" s="4"/>
    </row>
    <row r="1054" spans="7:7">
      <c r="G1054" s="4"/>
    </row>
    <row r="1055" spans="7:7">
      <c r="G1055" s="4"/>
    </row>
    <row r="1056" spans="7:7">
      <c r="G1056" s="4"/>
    </row>
    <row r="1057" spans="7:7">
      <c r="G1057" s="4"/>
    </row>
    <row r="1058" spans="7:7">
      <c r="G1058" s="4"/>
    </row>
    <row r="1059" spans="7:7">
      <c r="G1059" s="4"/>
    </row>
    <row r="1060" spans="7:7">
      <c r="G1060" s="4"/>
    </row>
    <row r="1061" spans="7:7">
      <c r="G1061" s="4"/>
    </row>
    <row r="1062" spans="7:7">
      <c r="G1062" s="4"/>
    </row>
    <row r="1063" spans="7:7">
      <c r="G1063" s="4"/>
    </row>
    <row r="1064" spans="7:7">
      <c r="G1064" s="4"/>
    </row>
    <row r="1065" spans="7:7">
      <c r="G1065" s="4"/>
    </row>
    <row r="1066" spans="7:7">
      <c r="G1066" s="4"/>
    </row>
    <row r="1067" spans="7:7">
      <c r="G1067" s="4"/>
    </row>
    <row r="1068" spans="7:7">
      <c r="G1068" s="4"/>
    </row>
    <row r="1069" spans="7:7">
      <c r="G1069" s="4"/>
    </row>
    <row r="1070" spans="7:7">
      <c r="G1070" s="4"/>
    </row>
    <row r="1071" spans="7:7">
      <c r="G1071" s="4"/>
    </row>
    <row r="1072" spans="7:7">
      <c r="G1072" s="4"/>
    </row>
    <row r="1073" spans="7:7">
      <c r="G1073" s="4"/>
    </row>
    <row r="1074" spans="7:7">
      <c r="G1074" s="4"/>
    </row>
    <row r="1075" spans="7:7">
      <c r="G1075" s="4"/>
    </row>
    <row r="1076" spans="7:7">
      <c r="G1076" s="4"/>
    </row>
    <row r="1077" spans="7:7">
      <c r="G1077" s="4"/>
    </row>
    <row r="1078" spans="7:7">
      <c r="G1078" s="4"/>
    </row>
    <row r="1079" spans="7:7">
      <c r="G1079" s="4"/>
    </row>
    <row r="1080" spans="7:7">
      <c r="G1080" s="4"/>
    </row>
    <row r="1081" spans="7:7">
      <c r="G1081" s="4"/>
    </row>
    <row r="1082" spans="7:7">
      <c r="G1082" s="4"/>
    </row>
    <row r="1083" spans="7:7">
      <c r="G1083" s="4"/>
    </row>
    <row r="1084" spans="7:7">
      <c r="G1084" s="4"/>
    </row>
    <row r="1085" spans="7:7">
      <c r="G1085" s="4"/>
    </row>
    <row r="1086" spans="7:7">
      <c r="G1086" s="4"/>
    </row>
    <row r="1087" spans="7:7">
      <c r="G1087" s="4"/>
    </row>
    <row r="1088" spans="7:7">
      <c r="G1088" s="4"/>
    </row>
    <row r="1089" spans="7:7">
      <c r="G1089" s="4"/>
    </row>
    <row r="1090" spans="7:7">
      <c r="G1090" s="4"/>
    </row>
    <row r="1091" spans="7:7">
      <c r="G1091" s="4"/>
    </row>
    <row r="1092" spans="7:7">
      <c r="G1092" s="4"/>
    </row>
    <row r="1093" spans="7:7">
      <c r="G1093" s="4"/>
    </row>
    <row r="1094" spans="7:7">
      <c r="G1094" s="4"/>
    </row>
    <row r="1095" spans="7:7">
      <c r="G1095" s="4"/>
    </row>
    <row r="1096" spans="7:7">
      <c r="G1096" s="4"/>
    </row>
    <row r="1097" spans="7:7">
      <c r="G1097" s="4"/>
    </row>
    <row r="1098" spans="7:7">
      <c r="G1098" s="4"/>
    </row>
    <row r="1099" spans="7:7">
      <c r="G1099" s="4"/>
    </row>
    <row r="1100" spans="7:7">
      <c r="G1100" s="4"/>
    </row>
    <row r="1101" spans="7:7">
      <c r="G1101" s="4"/>
    </row>
    <row r="1102" spans="7:7">
      <c r="G1102" s="4"/>
    </row>
    <row r="1103" spans="7:7">
      <c r="G1103" s="4"/>
    </row>
    <row r="1104" spans="7:7">
      <c r="G1104" s="4"/>
    </row>
    <row r="1105" spans="7:7">
      <c r="G1105" s="4"/>
    </row>
    <row r="1106" spans="7:7">
      <c r="G1106" s="4"/>
    </row>
    <row r="1107" spans="7:7">
      <c r="G1107" s="4"/>
    </row>
    <row r="1108" spans="7:7">
      <c r="G1108" s="4"/>
    </row>
    <row r="1109" spans="7:7">
      <c r="G1109" s="4"/>
    </row>
    <row r="1110" spans="7:7">
      <c r="G1110" s="4"/>
    </row>
    <row r="1111" spans="7:7">
      <c r="G1111" s="4"/>
    </row>
    <row r="1112" spans="7:7">
      <c r="G1112" s="4"/>
    </row>
    <row r="1113" spans="7:7">
      <c r="G1113" s="4"/>
    </row>
    <row r="1114" spans="7:7">
      <c r="G1114" s="4"/>
    </row>
    <row r="1115" spans="7:7">
      <c r="G1115" s="4"/>
    </row>
    <row r="1116" spans="7:7">
      <c r="G1116" s="4"/>
    </row>
    <row r="1117" spans="7:7">
      <c r="G1117" s="4"/>
    </row>
    <row r="1118" spans="7:7">
      <c r="G1118" s="4"/>
    </row>
    <row r="1119" spans="7:7">
      <c r="G1119" s="4"/>
    </row>
    <row r="1120" spans="7:7">
      <c r="G1120" s="4"/>
    </row>
    <row r="1121" spans="7:7">
      <c r="G1121" s="4"/>
    </row>
    <row r="1122" spans="7:7">
      <c r="G1122" s="4"/>
    </row>
    <row r="1123" spans="7:7">
      <c r="G1123" s="4"/>
    </row>
    <row r="1124" spans="7:7">
      <c r="G1124" s="4"/>
    </row>
    <row r="1125" spans="7:7">
      <c r="G1125" s="4"/>
    </row>
    <row r="1126" spans="7:7">
      <c r="G1126" s="4"/>
    </row>
    <row r="1127" spans="7:7">
      <c r="G1127" s="4"/>
    </row>
    <row r="1128" spans="7:7">
      <c r="G1128" s="4"/>
    </row>
    <row r="1129" spans="7:7">
      <c r="G1129" s="4"/>
    </row>
    <row r="1130" spans="7:7">
      <c r="G1130" s="4"/>
    </row>
    <row r="1131" spans="7:7">
      <c r="G1131" s="4"/>
    </row>
    <row r="1132" spans="7:7">
      <c r="G1132" s="4"/>
    </row>
    <row r="1133" spans="7:7">
      <c r="G1133" s="4"/>
    </row>
    <row r="1134" spans="7:7">
      <c r="G1134" s="4"/>
    </row>
    <row r="1135" spans="7:7">
      <c r="G1135" s="4"/>
    </row>
    <row r="1136" spans="7:7">
      <c r="G1136" s="4"/>
    </row>
    <row r="1137" spans="7:7">
      <c r="G1137" s="4"/>
    </row>
    <row r="1138" spans="7:7">
      <c r="G1138" s="4"/>
    </row>
    <row r="1139" spans="7:7">
      <c r="G1139" s="4"/>
    </row>
    <row r="1140" spans="7:7">
      <c r="G1140" s="4"/>
    </row>
    <row r="1141" spans="7:7">
      <c r="G1141" s="4"/>
    </row>
    <row r="1142" spans="7:7">
      <c r="G1142" s="4"/>
    </row>
    <row r="1143" spans="7:7">
      <c r="G1143" s="4"/>
    </row>
    <row r="1144" spans="7:7">
      <c r="G1144" s="4"/>
    </row>
    <row r="1145" spans="7:7">
      <c r="G1145" s="4"/>
    </row>
    <row r="1146" spans="7:7">
      <c r="G1146" s="4"/>
    </row>
    <row r="1147" spans="7:7">
      <c r="G1147" s="4"/>
    </row>
    <row r="1148" spans="7:7">
      <c r="G1148" s="4"/>
    </row>
    <row r="1149" spans="7:7">
      <c r="G1149" s="4"/>
    </row>
    <row r="1150" spans="7:7">
      <c r="G1150" s="4"/>
    </row>
    <row r="1151" spans="7:7">
      <c r="G1151" s="4"/>
    </row>
    <row r="1152" spans="7:7">
      <c r="G1152" s="4"/>
    </row>
    <row r="1153" spans="7:7">
      <c r="G1153" s="4"/>
    </row>
    <row r="1154" spans="7:7">
      <c r="G1154" s="4"/>
    </row>
    <row r="1155" spans="7:7">
      <c r="G1155" s="4"/>
    </row>
    <row r="1156" spans="7:7">
      <c r="G1156" s="4"/>
    </row>
    <row r="1157" spans="7:7">
      <c r="G1157" s="4"/>
    </row>
    <row r="1158" spans="7:7">
      <c r="G1158" s="4"/>
    </row>
    <row r="1159" spans="7:7">
      <c r="G1159" s="4"/>
    </row>
    <row r="1160" spans="7:7">
      <c r="G1160" s="4"/>
    </row>
    <row r="1161" spans="7:7">
      <c r="G1161" s="4"/>
    </row>
    <row r="1162" spans="7:7">
      <c r="G1162" s="4"/>
    </row>
    <row r="1163" spans="7:7">
      <c r="G1163" s="4"/>
    </row>
    <row r="1164" spans="7:7">
      <c r="G1164" s="4"/>
    </row>
    <row r="1165" spans="7:7">
      <c r="G1165" s="4"/>
    </row>
    <row r="1166" spans="7:7">
      <c r="G1166" s="4"/>
    </row>
    <row r="1167" spans="7:7">
      <c r="G1167" s="4"/>
    </row>
    <row r="1168" spans="7:7">
      <c r="G1168" s="4"/>
    </row>
    <row r="1169" spans="7:7">
      <c r="G1169" s="4"/>
    </row>
    <row r="1170" spans="7:7">
      <c r="G1170" s="4"/>
    </row>
    <row r="1171" spans="7:7">
      <c r="G1171" s="4"/>
    </row>
    <row r="1172" spans="7:7">
      <c r="G1172" s="4"/>
    </row>
    <row r="1173" spans="7:7">
      <c r="G1173" s="4"/>
    </row>
    <row r="1174" spans="7:7">
      <c r="G1174" s="4"/>
    </row>
    <row r="1175" spans="7:7">
      <c r="G1175" s="4"/>
    </row>
    <row r="1176" spans="7:7">
      <c r="G1176" s="4"/>
    </row>
    <row r="1177" spans="7:7">
      <c r="G1177" s="4"/>
    </row>
    <row r="1178" spans="7:7">
      <c r="G1178" s="4"/>
    </row>
    <row r="1179" spans="7:7">
      <c r="G1179" s="4"/>
    </row>
    <row r="1180" spans="7:7">
      <c r="G1180" s="4"/>
    </row>
    <row r="1181" spans="7:7">
      <c r="G1181" s="4"/>
    </row>
    <row r="1182" spans="7:7">
      <c r="G1182" s="4"/>
    </row>
    <row r="1183" spans="7:7">
      <c r="G1183" s="4"/>
    </row>
    <row r="1184" spans="7:7">
      <c r="G1184" s="4"/>
    </row>
    <row r="1185" spans="7:7">
      <c r="G1185" s="4"/>
    </row>
    <row r="1186" spans="7:7">
      <c r="G1186" s="4"/>
    </row>
    <row r="1187" spans="7:7">
      <c r="G1187" s="4"/>
    </row>
    <row r="1188" spans="7:7">
      <c r="G1188" s="4"/>
    </row>
    <row r="1189" spans="7:7">
      <c r="G1189" s="4"/>
    </row>
    <row r="1190" spans="7:7">
      <c r="G1190" s="4"/>
    </row>
    <row r="1191" spans="7:7">
      <c r="G1191" s="4"/>
    </row>
    <row r="1192" spans="7:7">
      <c r="G1192" s="4"/>
    </row>
    <row r="1193" spans="7:7">
      <c r="G1193" s="4"/>
    </row>
    <row r="1194" spans="7:7">
      <c r="G1194" s="4"/>
    </row>
    <row r="1195" spans="7:7">
      <c r="G1195" s="4"/>
    </row>
    <row r="1196" spans="7:7">
      <c r="G1196" s="4"/>
    </row>
    <row r="1197" spans="7:7">
      <c r="G1197" s="4"/>
    </row>
    <row r="1198" spans="7:7">
      <c r="G1198" s="4"/>
    </row>
    <row r="1199" spans="7:7">
      <c r="G1199" s="4"/>
    </row>
    <row r="1200" spans="7:7">
      <c r="G1200" s="4"/>
    </row>
    <row r="1201" spans="7:7">
      <c r="G1201" s="4"/>
    </row>
    <row r="1202" spans="7:7">
      <c r="G1202" s="4"/>
    </row>
    <row r="1203" spans="7:7">
      <c r="G1203" s="4"/>
    </row>
    <row r="1204" spans="7:7">
      <c r="G1204" s="4"/>
    </row>
    <row r="1205" spans="7:7">
      <c r="G1205" s="4"/>
    </row>
    <row r="1206" spans="7:7">
      <c r="G1206" s="4"/>
    </row>
    <row r="1207" spans="7:7">
      <c r="G1207" s="4"/>
    </row>
    <row r="1208" spans="7:7">
      <c r="G1208" s="4"/>
    </row>
    <row r="1209" spans="7:7">
      <c r="G1209" s="4"/>
    </row>
    <row r="1210" spans="7:7">
      <c r="G1210" s="4"/>
    </row>
    <row r="1211" spans="7:7">
      <c r="G1211" s="4"/>
    </row>
    <row r="1212" spans="7:7">
      <c r="G1212" s="4"/>
    </row>
    <row r="1213" spans="7:7">
      <c r="G1213" s="4"/>
    </row>
    <row r="1214" spans="7:7">
      <c r="G1214" s="4"/>
    </row>
    <row r="1215" spans="7:7">
      <c r="G1215" s="4"/>
    </row>
    <row r="1216" spans="7:7">
      <c r="G1216" s="4"/>
    </row>
    <row r="1217" spans="7:7">
      <c r="G1217" s="4"/>
    </row>
    <row r="1218" spans="7:7">
      <c r="G1218" s="4"/>
    </row>
    <row r="1219" spans="7:7">
      <c r="G1219" s="4"/>
    </row>
    <row r="1220" spans="7:7">
      <c r="G1220" s="4"/>
    </row>
    <row r="1221" spans="7:7">
      <c r="G1221" s="4"/>
    </row>
    <row r="1222" spans="7:7">
      <c r="G1222" s="4"/>
    </row>
    <row r="1223" spans="7:7">
      <c r="G1223" s="4"/>
    </row>
    <row r="1224" spans="7:7">
      <c r="G1224" s="4"/>
    </row>
    <row r="1225" spans="7:7">
      <c r="G1225" s="4"/>
    </row>
    <row r="1226" spans="7:7">
      <c r="G1226" s="4"/>
    </row>
    <row r="1227" spans="7:7">
      <c r="G1227" s="4"/>
    </row>
    <row r="1228" spans="7:7">
      <c r="G1228" s="4"/>
    </row>
    <row r="1229" spans="7:7">
      <c r="G1229" s="4"/>
    </row>
    <row r="1230" spans="7:7">
      <c r="G1230" s="4"/>
    </row>
    <row r="1231" spans="7:7">
      <c r="G1231" s="4"/>
    </row>
    <row r="1232" spans="7:7">
      <c r="G1232" s="4"/>
    </row>
    <row r="1233" spans="7:7">
      <c r="G1233" s="4"/>
    </row>
    <row r="1234" spans="7:7">
      <c r="G1234" s="4"/>
    </row>
    <row r="1235" spans="7:7">
      <c r="G1235" s="4"/>
    </row>
    <row r="1236" spans="7:7">
      <c r="G1236" s="4"/>
    </row>
    <row r="1237" spans="7:7">
      <c r="G1237" s="4"/>
    </row>
    <row r="1238" spans="7:7">
      <c r="G1238" s="4"/>
    </row>
    <row r="1239" spans="7:7">
      <c r="G1239" s="4"/>
    </row>
    <row r="1240" spans="7:7">
      <c r="G1240" s="4"/>
    </row>
    <row r="1241" spans="7:7">
      <c r="G1241" s="4"/>
    </row>
    <row r="1242" spans="7:7">
      <c r="G1242" s="4"/>
    </row>
    <row r="1243" spans="7:7">
      <c r="G1243" s="4"/>
    </row>
    <row r="1244" spans="7:7">
      <c r="G1244" s="4"/>
    </row>
    <row r="1245" spans="7:7">
      <c r="G1245" s="4"/>
    </row>
    <row r="1246" spans="7:7">
      <c r="G1246" s="4"/>
    </row>
    <row r="1247" spans="7:7">
      <c r="G1247" s="4"/>
    </row>
    <row r="1248" spans="7:7">
      <c r="G1248" s="4"/>
    </row>
    <row r="1249" spans="7:7">
      <c r="G1249" s="4"/>
    </row>
    <row r="1250" spans="7:7">
      <c r="G1250" s="4"/>
    </row>
    <row r="1251" spans="7:7">
      <c r="G1251" s="4"/>
    </row>
    <row r="1252" spans="7:7">
      <c r="G1252" s="4"/>
    </row>
    <row r="1253" spans="7:7">
      <c r="G1253" s="4"/>
    </row>
    <row r="1254" spans="7:7">
      <c r="G1254" s="4"/>
    </row>
    <row r="1255" spans="7:7">
      <c r="G1255" s="4"/>
    </row>
    <row r="1256" spans="7:7">
      <c r="G1256" s="4"/>
    </row>
    <row r="1257" spans="7:7">
      <c r="G1257" s="4"/>
    </row>
    <row r="1258" spans="7:7">
      <c r="G1258" s="4"/>
    </row>
    <row r="1259" spans="7:7">
      <c r="G1259" s="4"/>
    </row>
    <row r="1260" spans="7:7">
      <c r="G1260" s="4"/>
    </row>
    <row r="1261" spans="7:7">
      <c r="G1261" s="4"/>
    </row>
    <row r="1262" spans="7:7">
      <c r="G1262" s="4"/>
    </row>
    <row r="1263" spans="7:7">
      <c r="G1263" s="4"/>
    </row>
    <row r="1264" spans="7:7">
      <c r="G1264" s="4"/>
    </row>
  </sheetData>
  <phoneticPr fontId="5" type="noConversion"/>
  <pageMargins left="0.75" right="0.75" top="1" bottom="1" header="0.5" footer="0.5"/>
  <pageSetup orientation="portrait" r:id="rId1"/>
  <headerFooter alignWithMargins="0"/>
  <drawing r:id="rId2"/>
  <legacyDrawing r:id="rId3"/>
  <controls>
    <control shapeId="1026" r:id="rId4" name="CommandButton1"/>
  </controls>
</worksheet>
</file>

<file path=xl/worksheets/sheet2.xml><?xml version="1.0" encoding="utf-8"?>
<worksheet xmlns="http://schemas.openxmlformats.org/spreadsheetml/2006/main" xmlns:r="http://schemas.openxmlformats.org/officeDocument/2006/relationships">
  <dimension ref="A1:AT158"/>
  <sheetViews>
    <sheetView tabSelected="1" topLeftCell="A77" workbookViewId="0">
      <selection activeCell="A110" sqref="A110"/>
    </sheetView>
  </sheetViews>
  <sheetFormatPr defaultRowHeight="12.75"/>
  <sheetData>
    <row r="1" spans="1:46">
      <c r="C1" s="19" t="s">
        <v>259</v>
      </c>
    </row>
    <row r="2" spans="1:46">
      <c r="C2" s="19" t="s">
        <v>371</v>
      </c>
    </row>
    <row r="3" spans="1:46">
      <c r="C3" s="32" t="s">
        <v>372</v>
      </c>
      <c r="X3" s="19" t="s">
        <v>416</v>
      </c>
      <c r="AC3" s="19" t="s">
        <v>417</v>
      </c>
    </row>
    <row r="4" spans="1:46">
      <c r="C4" s="19" t="s">
        <v>411</v>
      </c>
    </row>
    <row r="5" spans="1:46">
      <c r="A5" s="19" t="s">
        <v>418</v>
      </c>
      <c r="M5" s="19" t="s">
        <v>374</v>
      </c>
      <c r="X5" s="19" t="s">
        <v>414</v>
      </c>
      <c r="Z5" s="19" t="s">
        <v>415</v>
      </c>
      <c r="AM5" s="19" t="s">
        <v>374</v>
      </c>
    </row>
    <row r="6" spans="1:46">
      <c r="C6" s="26" t="s">
        <v>93</v>
      </c>
      <c r="D6" s="24" t="s">
        <v>154</v>
      </c>
      <c r="E6" s="24" t="s">
        <v>155</v>
      </c>
      <c r="F6" s="24" t="s">
        <v>156</v>
      </c>
      <c r="G6" s="24" t="s">
        <v>159</v>
      </c>
      <c r="H6" s="24" t="s">
        <v>238</v>
      </c>
      <c r="I6" s="24" t="s">
        <v>157</v>
      </c>
      <c r="J6" s="24" t="s">
        <v>160</v>
      </c>
      <c r="K6" s="24" t="s">
        <v>265</v>
      </c>
      <c r="M6" s="24" t="s">
        <v>154</v>
      </c>
      <c r="N6" s="24" t="s">
        <v>155</v>
      </c>
      <c r="O6" s="24" t="s">
        <v>156</v>
      </c>
      <c r="P6" s="24" t="s">
        <v>159</v>
      </c>
      <c r="Q6" s="24" t="s">
        <v>238</v>
      </c>
      <c r="R6" s="24" t="s">
        <v>157</v>
      </c>
      <c r="S6" s="24" t="s">
        <v>160</v>
      </c>
      <c r="T6" s="24" t="s">
        <v>265</v>
      </c>
      <c r="U6" s="27" t="s">
        <v>373</v>
      </c>
      <c r="X6" s="19" t="s">
        <v>412</v>
      </c>
      <c r="Y6" s="19" t="s">
        <v>413</v>
      </c>
      <c r="Z6" s="19" t="s">
        <v>412</v>
      </c>
      <c r="AA6" s="19" t="s">
        <v>413</v>
      </c>
      <c r="AB6" s="24"/>
      <c r="AC6" s="25" t="s">
        <v>237</v>
      </c>
      <c r="AD6" s="24" t="s">
        <v>154</v>
      </c>
      <c r="AE6" s="24" t="s">
        <v>155</v>
      </c>
      <c r="AF6" s="24" t="s">
        <v>156</v>
      </c>
      <c r="AG6" s="24" t="s">
        <v>159</v>
      </c>
      <c r="AH6" s="24" t="s">
        <v>238</v>
      </c>
      <c r="AI6" s="24" t="s">
        <v>157</v>
      </c>
      <c r="AJ6" s="24" t="s">
        <v>160</v>
      </c>
      <c r="AK6" s="24" t="s">
        <v>265</v>
      </c>
      <c r="AM6" s="24" t="s">
        <v>154</v>
      </c>
      <c r="AN6" s="24" t="s">
        <v>155</v>
      </c>
      <c r="AO6" s="24" t="s">
        <v>156</v>
      </c>
      <c r="AP6" s="24" t="s">
        <v>159</v>
      </c>
      <c r="AQ6" s="24" t="s">
        <v>238</v>
      </c>
      <c r="AR6" s="24" t="s">
        <v>157</v>
      </c>
      <c r="AS6" s="24" t="s">
        <v>160</v>
      </c>
      <c r="AT6" s="24" t="s">
        <v>265</v>
      </c>
    </row>
    <row r="7" spans="1:46">
      <c r="C7" s="26">
        <v>0.1</v>
      </c>
      <c r="D7" s="24">
        <v>0.70124165290477558</v>
      </c>
      <c r="E7" s="24">
        <v>2.711823160493787</v>
      </c>
      <c r="F7" s="24">
        <v>419.1944195151342</v>
      </c>
      <c r="G7" s="24">
        <v>0.6553228497505188</v>
      </c>
      <c r="H7" s="24">
        <v>32.188904523297197</v>
      </c>
      <c r="I7" s="24">
        <v>20.110593619841023</v>
      </c>
      <c r="J7" s="24">
        <v>32.225399017333984</v>
      </c>
      <c r="K7" s="24">
        <v>0.51570504903793335</v>
      </c>
      <c r="M7" s="24">
        <v>0.69710429268931706</v>
      </c>
      <c r="N7" s="24">
        <v>2.6963270281481075</v>
      </c>
      <c r="O7" s="24">
        <v>416.21312842632386</v>
      </c>
      <c r="P7" s="24">
        <v>0.65624535083770752</v>
      </c>
      <c r="Q7" s="24">
        <v>32.192344375546291</v>
      </c>
      <c r="R7" s="24">
        <v>20.080545179350533</v>
      </c>
      <c r="S7" s="24">
        <v>32.180400848388672</v>
      </c>
      <c r="T7" s="24">
        <v>0.52520766636900473</v>
      </c>
      <c r="U7">
        <f>F7/O7</f>
        <v>1.0071628953658487</v>
      </c>
      <c r="X7">
        <v>245.789122812584</v>
      </c>
      <c r="Y7">
        <v>0.71395379304885798</v>
      </c>
      <c r="Z7">
        <v>247.24218928215299</v>
      </c>
      <c r="AA7">
        <v>0.71341633796691695</v>
      </c>
      <c r="AB7" s="24"/>
      <c r="AC7" s="24">
        <v>1.5</v>
      </c>
      <c r="AD7" s="24">
        <v>1.8747150245374431</v>
      </c>
      <c r="AE7" s="24">
        <v>0.73092407209876642</v>
      </c>
      <c r="AF7" s="24">
        <v>95.591881392581655</v>
      </c>
      <c r="AG7" s="24">
        <v>0.7745700478553772</v>
      </c>
      <c r="AH7" s="24">
        <v>32.628627160690812</v>
      </c>
      <c r="AI7" s="24">
        <v>11.658200610079998</v>
      </c>
      <c r="AJ7" s="24">
        <v>20.23309326171875</v>
      </c>
      <c r="AK7" s="24">
        <v>0.10715296864509583</v>
      </c>
      <c r="AM7" s="24">
        <v>1.8811947753870351</v>
      </c>
      <c r="AN7" s="24">
        <v>0.7409826602469145</v>
      </c>
      <c r="AO7" s="24">
        <v>96.984032866343227</v>
      </c>
      <c r="AP7" s="24">
        <v>0.77395772933959961</v>
      </c>
      <c r="AQ7" s="24">
        <v>32.626394341798182</v>
      </c>
      <c r="AR7" s="24">
        <v>11.753431344710904</v>
      </c>
      <c r="AS7" s="24">
        <v>20.35809326171875</v>
      </c>
      <c r="AT7" s="24">
        <v>0.10737553393534453</v>
      </c>
    </row>
    <row r="8" spans="1:46">
      <c r="C8" s="26">
        <v>0.15</v>
      </c>
      <c r="D8" s="24">
        <v>0.74697221665088265</v>
      </c>
      <c r="E8" s="24">
        <v>2.8977767486419328</v>
      </c>
      <c r="F8" s="24">
        <v>422.81332484927714</v>
      </c>
      <c r="G8" s="24">
        <v>0.69426566362380981</v>
      </c>
      <c r="H8" s="24">
        <v>32.147626296308076</v>
      </c>
      <c r="I8" s="24">
        <v>20.182619966189055</v>
      </c>
      <c r="J8" s="24">
        <v>32.263404846191406</v>
      </c>
      <c r="K8" s="24">
        <v>0.55907177925109863</v>
      </c>
      <c r="M8" s="24">
        <v>0.71367326477625115</v>
      </c>
      <c r="N8" s="24">
        <v>2.7583115575308232</v>
      </c>
      <c r="O8" s="24">
        <v>397.71464373940586</v>
      </c>
      <c r="P8" s="24">
        <v>0.70255637168884277</v>
      </c>
      <c r="Q8" s="24">
        <v>32.17858496654992</v>
      </c>
      <c r="R8" s="24">
        <v>19.924072868906876</v>
      </c>
      <c r="S8" s="24">
        <v>31.880403518676758</v>
      </c>
      <c r="T8" s="24">
        <v>0.52157316082670069</v>
      </c>
      <c r="U8" s="24">
        <f t="shared" ref="U8:U26" si="0">F8/O8</f>
        <v>1.0631072591994291</v>
      </c>
      <c r="X8">
        <v>231.049047126646</v>
      </c>
      <c r="Y8">
        <v>0.76341634988784701</v>
      </c>
      <c r="Z8">
        <v>237.81019672008</v>
      </c>
      <c r="AA8">
        <v>0.76073002815246504</v>
      </c>
      <c r="AB8" s="24"/>
      <c r="AC8" s="24">
        <v>1.5</v>
      </c>
      <c r="AD8" s="24">
        <v>1.8899164684056959</v>
      </c>
      <c r="AE8" s="24">
        <v>0.7577469738271615</v>
      </c>
      <c r="AF8" s="24">
        <v>93.275344133417136</v>
      </c>
      <c r="AG8" s="24">
        <v>0.82293736934661865</v>
      </c>
      <c r="AH8" s="24">
        <v>32.622672976977135</v>
      </c>
      <c r="AI8" s="24">
        <v>11.501337723016011</v>
      </c>
      <c r="AJ8" s="24">
        <v>20.015098571777344</v>
      </c>
      <c r="AK8" s="24">
        <v>0.10932061076164246</v>
      </c>
      <c r="AM8" s="24">
        <v>1.8811947753870351</v>
      </c>
      <c r="AN8" s="24">
        <v>0.7409826602469145</v>
      </c>
      <c r="AO8" s="24">
        <v>91.098777625542809</v>
      </c>
      <c r="AP8" s="24">
        <v>0.82395774126052856</v>
      </c>
      <c r="AQ8" s="24">
        <v>32.626394341798182</v>
      </c>
      <c r="AR8" s="24">
        <v>11.346285616633077</v>
      </c>
      <c r="AS8" s="24">
        <v>19.813095092773438</v>
      </c>
      <c r="AT8" s="24">
        <v>0.10896098328552108</v>
      </c>
    </row>
    <row r="9" spans="1:46">
      <c r="C9" s="26">
        <v>0.2</v>
      </c>
      <c r="D9" s="24">
        <v>0.79314486461968692</v>
      </c>
      <c r="E9" s="24">
        <v>3.0682342044444</v>
      </c>
      <c r="F9" s="24">
        <v>423.36300193475279</v>
      </c>
      <c r="G9" s="24">
        <v>0.73415040969848633</v>
      </c>
      <c r="H9" s="24">
        <v>32.109787921568049</v>
      </c>
      <c r="I9" s="24">
        <v>20.22497911067763</v>
      </c>
      <c r="J9" s="24">
        <v>32.257415771484375</v>
      </c>
      <c r="K9" s="24">
        <v>0.58334487676620483</v>
      </c>
      <c r="M9" s="24">
        <v>0.72613440359543202</v>
      </c>
      <c r="N9" s="24">
        <v>2.8047999545678604</v>
      </c>
      <c r="O9" s="24">
        <v>378.94039677875924</v>
      </c>
      <c r="P9" s="24">
        <v>0.74979138374328613</v>
      </c>
      <c r="Q9" s="24">
        <v>32.168265409802636</v>
      </c>
      <c r="R9" s="24">
        <v>19.746653959188183</v>
      </c>
      <c r="S9" s="24">
        <v>31.554409027099609</v>
      </c>
      <c r="T9" s="24">
        <v>0.51769800109151132</v>
      </c>
      <c r="U9" s="24">
        <f t="shared" si="0"/>
        <v>1.1172284758595672</v>
      </c>
      <c r="X9">
        <v>223.14377305648301</v>
      </c>
      <c r="Y9">
        <v>0.810730040073393</v>
      </c>
      <c r="Z9">
        <v>225.67421146770999</v>
      </c>
      <c r="AA9">
        <v>0.80965584516525202</v>
      </c>
      <c r="AB9" s="24"/>
      <c r="AC9" s="24">
        <v>1.5</v>
      </c>
      <c r="AD9" s="24">
        <v>1.8899164684056959</v>
      </c>
      <c r="AE9" s="24">
        <v>0.7577469738271615</v>
      </c>
      <c r="AF9" s="24">
        <v>87.932730506300331</v>
      </c>
      <c r="AG9" s="24">
        <v>0.87293738126754761</v>
      </c>
      <c r="AH9" s="24">
        <v>32.622672976977135</v>
      </c>
      <c r="AI9" s="24">
        <v>11.118708739575643</v>
      </c>
      <c r="AJ9" s="24">
        <v>19.506097793579102</v>
      </c>
      <c r="AK9" s="24">
        <v>0.11108165234327316</v>
      </c>
      <c r="AM9" s="24">
        <v>1.872571286893052</v>
      </c>
      <c r="AN9" s="24">
        <v>0.72757120938271702</v>
      </c>
      <c r="AO9" s="24">
        <v>84.253703554929004</v>
      </c>
      <c r="AP9" s="24">
        <v>0.87477415800094604</v>
      </c>
      <c r="AQ9" s="24">
        <v>32.629371433655024</v>
      </c>
      <c r="AR9" s="24">
        <v>10.840293459416316</v>
      </c>
      <c r="AS9" s="24">
        <v>19.147092819213867</v>
      </c>
      <c r="AT9" s="24">
        <v>0.10774450247972672</v>
      </c>
    </row>
    <row r="10" spans="1:46">
      <c r="C10" s="24">
        <v>0.25</v>
      </c>
      <c r="D10" s="24">
        <v>0.83555930284102564</v>
      </c>
      <c r="E10" s="24">
        <v>3.2231955279011886</v>
      </c>
      <c r="F10" s="24">
        <v>421.31824710790039</v>
      </c>
      <c r="G10" s="24">
        <v>0.77497166395187378</v>
      </c>
      <c r="H10" s="24">
        <v>32.075389399077118</v>
      </c>
      <c r="I10" s="24">
        <v>20.241114417948751</v>
      </c>
      <c r="J10" s="24">
        <v>32.213401794433594</v>
      </c>
      <c r="K10" s="24">
        <v>0.6093670129776001</v>
      </c>
      <c r="M10" s="24">
        <v>0.75115034823547178</v>
      </c>
      <c r="N10" s="24">
        <v>2.8977767486419328</v>
      </c>
      <c r="O10" s="24">
        <v>369.58008938743643</v>
      </c>
      <c r="P10" s="24">
        <v>0.79426568746566772</v>
      </c>
      <c r="Q10" s="24">
        <v>32.147626296308076</v>
      </c>
      <c r="R10" s="24">
        <v>19.666529596103086</v>
      </c>
      <c r="S10" s="24">
        <v>31.375410079956055</v>
      </c>
      <c r="T10" s="24">
        <v>0.5259206629614579</v>
      </c>
      <c r="U10" s="24">
        <f t="shared" si="0"/>
        <v>1.139991734420049</v>
      </c>
      <c r="X10">
        <v>216.109970956322</v>
      </c>
      <c r="Y10">
        <v>0.85804504156112604</v>
      </c>
      <c r="Z10">
        <v>217.300118821664</v>
      </c>
      <c r="AA10">
        <v>0.85750818252563299</v>
      </c>
      <c r="AB10" s="24"/>
      <c r="AC10" s="24">
        <v>1.5</v>
      </c>
      <c r="AD10" s="24">
        <v>1.8899164684056959</v>
      </c>
      <c r="AE10" s="24">
        <v>0.7577469738271615</v>
      </c>
      <c r="AF10" s="24">
        <v>83.168987523371158</v>
      </c>
      <c r="AG10" s="24">
        <v>0.92293739318847656</v>
      </c>
      <c r="AH10" s="24">
        <v>32.622672976977135</v>
      </c>
      <c r="AI10" s="24">
        <v>10.759905306064644</v>
      </c>
      <c r="AJ10" s="24">
        <v>19.033096313476563</v>
      </c>
      <c r="AK10" s="24">
        <v>0.11019740998744965</v>
      </c>
      <c r="AM10" s="24">
        <v>1.8704275528986418</v>
      </c>
      <c r="AN10" s="24">
        <v>0.72421834666666751</v>
      </c>
      <c r="AO10" s="24">
        <v>79.313556852788338</v>
      </c>
      <c r="AP10" s="24">
        <v>0.92497831583023071</v>
      </c>
      <c r="AQ10" s="24">
        <v>32.630115706619229</v>
      </c>
      <c r="AR10" s="24">
        <v>10.452491230583732</v>
      </c>
      <c r="AS10" s="24">
        <v>18.640096664428711</v>
      </c>
      <c r="AT10" s="24">
        <v>0.1095086324319748</v>
      </c>
    </row>
    <row r="11" spans="1:46">
      <c r="C11" s="24">
        <f t="shared" ref="C11:C26" si="1">C10+0.25</f>
        <v>0.5</v>
      </c>
      <c r="D11" s="24">
        <v>0.89142074963175311</v>
      </c>
      <c r="E11" s="24">
        <v>3.4246452483950134</v>
      </c>
      <c r="F11" s="24">
        <v>342.44309253077807</v>
      </c>
      <c r="G11" s="24">
        <v>1.0130634307861328</v>
      </c>
      <c r="H11" s="24">
        <v>32.030671319838909</v>
      </c>
      <c r="I11" s="24">
        <v>19.458750710761297</v>
      </c>
      <c r="J11" s="24">
        <v>30.790399551391602</v>
      </c>
      <c r="K11" s="24">
        <v>0.59035307168960571</v>
      </c>
      <c r="M11" s="24">
        <v>0.8185397910884229</v>
      </c>
      <c r="N11" s="24">
        <v>3.1457148661727943</v>
      </c>
      <c r="O11" s="24">
        <v>309.5120405586112</v>
      </c>
      <c r="P11" s="24">
        <v>1.0295590162277222</v>
      </c>
      <c r="Q11" s="24">
        <v>32.092588660322583</v>
      </c>
      <c r="R11" s="24">
        <v>18.953103465191397</v>
      </c>
      <c r="S11" s="24">
        <v>30.075395584106445</v>
      </c>
      <c r="T11" s="24">
        <v>0.52151624707557831</v>
      </c>
      <c r="U11" s="24">
        <f t="shared" si="0"/>
        <v>1.1063966749491636</v>
      </c>
      <c r="W11" s="24"/>
      <c r="X11" s="24">
        <v>171.848608441934</v>
      </c>
      <c r="Y11" s="24">
        <v>1.1053614616394001</v>
      </c>
      <c r="Z11">
        <v>175.46255300396001</v>
      </c>
      <c r="AA11">
        <v>1.10321545600891</v>
      </c>
      <c r="AB11" s="24"/>
      <c r="AC11" s="24">
        <v>1.5</v>
      </c>
      <c r="AD11" s="24">
        <v>1.8899164684056959</v>
      </c>
      <c r="AE11" s="24">
        <v>0.7577469738271615</v>
      </c>
      <c r="AF11" s="24">
        <v>65.442340712701693</v>
      </c>
      <c r="AG11" s="24">
        <v>1.1729373931884766</v>
      </c>
      <c r="AH11" s="24">
        <v>32.622672976977135</v>
      </c>
      <c r="AI11" s="24">
        <v>9.2517875920939439</v>
      </c>
      <c r="AJ11" s="24">
        <v>17.08808708190918</v>
      </c>
      <c r="AK11" s="24">
        <v>0.11862968653440475</v>
      </c>
      <c r="AM11" s="24">
        <v>1.8147493031414723</v>
      </c>
      <c r="AN11" s="24">
        <v>0.6336910533333342</v>
      </c>
      <c r="AO11" s="24">
        <v>54.378064932591727</v>
      </c>
      <c r="AP11" s="24">
        <v>1.180492639541626</v>
      </c>
      <c r="AQ11" s="24">
        <v>32.650211076652887</v>
      </c>
      <c r="AR11" s="24">
        <v>8.1438109271972134</v>
      </c>
      <c r="AS11" s="24">
        <v>15.72808837890625</v>
      </c>
      <c r="AT11" s="24">
        <v>0.10726326098532532</v>
      </c>
    </row>
    <row r="12" spans="1:46">
      <c r="C12" s="24">
        <f t="shared" si="1"/>
        <v>0.75</v>
      </c>
      <c r="D12" s="24">
        <v>0.92188223988296725</v>
      </c>
      <c r="E12" s="24">
        <v>3.5331181748147658</v>
      </c>
      <c r="F12" s="24">
        <v>284.80587811465989</v>
      </c>
      <c r="G12" s="24">
        <v>1.2566624879837036</v>
      </c>
      <c r="H12" s="24">
        <v>32.006592354095254</v>
      </c>
      <c r="I12" s="24">
        <v>18.634877588109557</v>
      </c>
      <c r="J12" s="24">
        <v>29.395414352416992</v>
      </c>
      <c r="K12" s="24">
        <v>0.56018823385238647</v>
      </c>
      <c r="M12" s="24">
        <v>0.86552967359616417</v>
      </c>
      <c r="N12" s="24">
        <v>3.3161723219752619</v>
      </c>
      <c r="O12" s="24">
        <v>264.62041883115444</v>
      </c>
      <c r="P12" s="24">
        <v>1.2694721221923828</v>
      </c>
      <c r="Q12" s="24">
        <v>32.054750285582557</v>
      </c>
      <c r="R12" s="24">
        <v>18.227972661794908</v>
      </c>
      <c r="S12" s="24">
        <v>28.835411071777344</v>
      </c>
      <c r="T12" s="24">
        <v>0.5187233652457347</v>
      </c>
      <c r="U12" s="24">
        <f t="shared" si="0"/>
        <v>1.076280807704356</v>
      </c>
      <c r="W12" s="24"/>
      <c r="X12" s="24">
        <v>146.67953117863399</v>
      </c>
      <c r="Y12" s="24">
        <v>1.3505343198776201</v>
      </c>
      <c r="Z12" s="24">
        <v>151.78954171102501</v>
      </c>
      <c r="AA12">
        <v>1.3467829227447501</v>
      </c>
      <c r="AB12" s="24"/>
      <c r="AC12" s="24">
        <v>1.5</v>
      </c>
      <c r="AD12" s="24">
        <v>1.9099342688994398</v>
      </c>
      <c r="AE12" s="24">
        <v>0.79127560098765537</v>
      </c>
      <c r="AF12" s="24">
        <v>56.412395385217486</v>
      </c>
      <c r="AG12" s="24">
        <v>1.4208972454071045</v>
      </c>
      <c r="AH12" s="24">
        <v>32.615230247335035</v>
      </c>
      <c r="AI12" s="24">
        <v>8.3647892270693802</v>
      </c>
      <c r="AJ12" s="24">
        <v>15.967082977294922</v>
      </c>
      <c r="AK12" s="24">
        <v>0.13115854561328888</v>
      </c>
      <c r="AM12" s="24">
        <v>1.7589516921520965</v>
      </c>
      <c r="AN12" s="24">
        <v>0.53645803456790198</v>
      </c>
      <c r="AO12" s="24">
        <v>37.832343299038115</v>
      </c>
      <c r="AP12" s="24">
        <v>1.4364217519760132</v>
      </c>
      <c r="AQ12" s="24">
        <v>32.67179499261497</v>
      </c>
      <c r="AR12" s="24">
        <v>6.2101119168005408</v>
      </c>
      <c r="AS12" s="24">
        <v>13.396081924438477</v>
      </c>
      <c r="AT12" s="24">
        <v>0.10924612272744953</v>
      </c>
    </row>
    <row r="13" spans="1:46">
      <c r="C13" s="24">
        <f t="shared" si="1"/>
        <v>1</v>
      </c>
      <c r="D13" s="24">
        <v>0.93502611011604653</v>
      </c>
      <c r="E13" s="24">
        <v>3.5796065718518015</v>
      </c>
      <c r="F13" s="24">
        <v>241.11238533435682</v>
      </c>
      <c r="G13" s="24">
        <v>1.5039217472076416</v>
      </c>
      <c r="H13" s="24">
        <v>31.996272797347974</v>
      </c>
      <c r="I13" s="24">
        <v>17.789620284002453</v>
      </c>
      <c r="J13" s="24">
        <v>28.042417526245117</v>
      </c>
      <c r="K13" s="24">
        <v>0.52135497331619263</v>
      </c>
      <c r="M13" s="24">
        <v>0.91751298178627982</v>
      </c>
      <c r="N13" s="24">
        <v>3.5021259101234077</v>
      </c>
      <c r="O13" s="24">
        <v>235.17903909602964</v>
      </c>
      <c r="P13" s="24">
        <v>1.5084905624389648</v>
      </c>
      <c r="Q13" s="24">
        <v>32.013472058593436</v>
      </c>
      <c r="R13" s="24">
        <v>17.640773605677694</v>
      </c>
      <c r="S13" s="24">
        <v>27.842414855957031</v>
      </c>
      <c r="T13" s="24">
        <v>0.51934592438791782</v>
      </c>
      <c r="U13" s="24">
        <f t="shared" si="0"/>
        <v>1.0252290606387946</v>
      </c>
      <c r="W13" s="24"/>
      <c r="X13" s="24">
        <v>128.63427825259799</v>
      </c>
      <c r="Y13" s="24">
        <v>1.59624731540679</v>
      </c>
      <c r="Z13" s="24">
        <v>128.63427825259799</v>
      </c>
      <c r="AA13">
        <v>1.59624731540679</v>
      </c>
      <c r="AB13" s="24"/>
      <c r="AC13" s="24">
        <v>1.5</v>
      </c>
      <c r="AD13" s="24">
        <v>1.9398664082620698</v>
      </c>
      <c r="AE13" s="24">
        <v>0.84156854172839624</v>
      </c>
      <c r="AF13" s="24">
        <v>51.114596321740351</v>
      </c>
      <c r="AG13" s="24">
        <v>1.6678385734558105</v>
      </c>
      <c r="AH13" s="24">
        <v>32.604066152871894</v>
      </c>
      <c r="AI13" s="24">
        <v>7.8018885712494965</v>
      </c>
      <c r="AJ13" s="24">
        <v>15.261087417602539</v>
      </c>
      <c r="AK13" s="24">
        <v>0.14836935698986053</v>
      </c>
      <c r="AM13" s="24">
        <v>1.673829208799922</v>
      </c>
      <c r="AN13" s="24">
        <v>0.37552062419753135</v>
      </c>
      <c r="AO13" s="24">
        <v>22.426083887821871</v>
      </c>
      <c r="AP13" s="24">
        <v>1.6962497234344482</v>
      </c>
      <c r="AQ13" s="24">
        <v>32.707520094897035</v>
      </c>
      <c r="AR13" s="24">
        <v>4.0304331716948676</v>
      </c>
      <c r="AS13" s="24">
        <v>10.872087478637695</v>
      </c>
      <c r="AT13" s="24">
        <v>0.10841616847055659</v>
      </c>
    </row>
    <row r="14" spans="1:46">
      <c r="C14" s="24">
        <f t="shared" si="1"/>
        <v>1.25</v>
      </c>
      <c r="D14" s="24">
        <v>0.97036314252112443</v>
      </c>
      <c r="E14" s="24">
        <v>3.7035756306172321</v>
      </c>
      <c r="F14" s="24">
        <v>214.79900439089815</v>
      </c>
      <c r="G14" s="24">
        <v>1.7466199398040771</v>
      </c>
      <c r="H14" s="24">
        <v>31.968753979355228</v>
      </c>
      <c r="I14" s="24">
        <v>17.169887293961434</v>
      </c>
      <c r="J14" s="24">
        <v>27.045413970947266</v>
      </c>
      <c r="K14" s="24">
        <v>0.52257710695266724</v>
      </c>
      <c r="M14" s="24">
        <v>0.95706259286387152</v>
      </c>
      <c r="N14" s="24">
        <v>3.6415911012345172</v>
      </c>
      <c r="O14" s="24">
        <v>210.76364429332983</v>
      </c>
      <c r="P14" s="24">
        <v>1.7502695322036743</v>
      </c>
      <c r="Q14" s="24">
        <v>31.982513388351599</v>
      </c>
      <c r="R14" s="24">
        <v>17.050483484813768</v>
      </c>
      <c r="S14" s="24">
        <v>26.88841438293457</v>
      </c>
      <c r="T14" s="24">
        <v>0.52107434350144444</v>
      </c>
      <c r="U14" s="24">
        <f t="shared" si="0"/>
        <v>1.0191463765541657</v>
      </c>
      <c r="W14" s="24"/>
      <c r="X14" s="24">
        <v>113.307158456717</v>
      </c>
      <c r="Y14" s="24">
        <v>1.84410500526428</v>
      </c>
      <c r="Z14" s="24">
        <v>110.693878564477</v>
      </c>
      <c r="AA14">
        <v>1.8467829227447501</v>
      </c>
      <c r="AB14" s="24"/>
      <c r="AC14" s="24">
        <v>1.5</v>
      </c>
      <c r="AD14" s="24">
        <v>1.9398664082620698</v>
      </c>
      <c r="AE14" s="24">
        <v>0.83821567901234684</v>
      </c>
      <c r="AF14" s="24">
        <v>44.269745336310464</v>
      </c>
      <c r="AG14" s="24">
        <v>1.9180424213409424</v>
      </c>
      <c r="AH14" s="24">
        <v>32.604810425836099</v>
      </c>
      <c r="AI14" s="24">
        <v>7.0181348853613388</v>
      </c>
      <c r="AJ14" s="24">
        <v>14.308099746704102</v>
      </c>
      <c r="AK14" s="24">
        <v>0.1517464816570282</v>
      </c>
      <c r="AM14" s="24">
        <v>1.589528317913302</v>
      </c>
      <c r="AN14" s="24">
        <v>0.20117176296296316</v>
      </c>
      <c r="AO14" s="24">
        <v>10.413675603930603</v>
      </c>
      <c r="AP14" s="24">
        <v>1.9569170475006104</v>
      </c>
      <c r="AQ14" s="24">
        <v>32.746222289035934</v>
      </c>
      <c r="AR14" s="24">
        <v>2.0161680610593096</v>
      </c>
      <c r="AS14" s="24">
        <v>8.6210927963256836</v>
      </c>
      <c r="AT14" s="24">
        <v>0.10827149072340447</v>
      </c>
    </row>
    <row r="15" spans="1:46">
      <c r="C15" s="24">
        <f t="shared" si="1"/>
        <v>1.5</v>
      </c>
      <c r="D15" s="24">
        <v>0.97481060509723882</v>
      </c>
      <c r="E15" s="24">
        <v>3.7345678953085906</v>
      </c>
      <c r="F15" s="24">
        <v>189.64932839294207</v>
      </c>
      <c r="G15" s="24">
        <v>1.9947960376739502</v>
      </c>
      <c r="H15" s="24">
        <v>31.961874274857042</v>
      </c>
      <c r="I15" s="24">
        <v>16.442586128885257</v>
      </c>
      <c r="J15" s="24">
        <v>25.948408126831055</v>
      </c>
      <c r="K15" s="24">
        <v>0.51194941997528076</v>
      </c>
      <c r="M15" s="24">
        <v>0.99715724866499789</v>
      </c>
      <c r="N15" s="24">
        <v>3.7810562923456268</v>
      </c>
      <c r="O15" s="24">
        <v>192.2736872158213</v>
      </c>
      <c r="P15" s="24">
        <v>1.9920614957809448</v>
      </c>
      <c r="Q15" s="24">
        <v>31.951554718109762</v>
      </c>
      <c r="R15" s="24">
        <v>16.532594172202039</v>
      </c>
      <c r="S15" s="24">
        <v>26.064407348632812</v>
      </c>
      <c r="T15" s="24">
        <v>0.52474181842497181</v>
      </c>
      <c r="U15" s="24">
        <f t="shared" si="0"/>
        <v>0.98635092060239382</v>
      </c>
      <c r="W15" s="24"/>
      <c r="X15" s="24">
        <v>104.826351851734</v>
      </c>
      <c r="Y15" s="24">
        <v>2.0882184505462602</v>
      </c>
      <c r="Z15" s="24">
        <v>97.039625651326304</v>
      </c>
      <c r="AA15">
        <v>2.09731864929199</v>
      </c>
      <c r="AB15" s="24"/>
      <c r="AC15" s="24">
        <v>1.5</v>
      </c>
      <c r="AD15" s="24">
        <v>1.9398664082620698</v>
      </c>
      <c r="AE15" s="24">
        <v>0.83821567901234684</v>
      </c>
      <c r="AF15" s="24">
        <v>39.164939097452987</v>
      </c>
      <c r="AG15" s="24">
        <v>2.1680424213409424</v>
      </c>
      <c r="AH15" s="24">
        <v>32.604810425836099</v>
      </c>
      <c r="AI15" s="24">
        <v>6.390306849721445</v>
      </c>
      <c r="AJ15" s="24">
        <v>13.555096626281738</v>
      </c>
      <c r="AK15" s="24">
        <v>0.16912470757961273</v>
      </c>
      <c r="AM15" s="24">
        <v>1.5043131923801438</v>
      </c>
      <c r="AN15" s="24">
        <v>1.0058588148148152E-2</v>
      </c>
      <c r="AO15" s="24">
        <v>0.45926223672374444</v>
      </c>
      <c r="AP15" s="24">
        <v>2.2186343669891357</v>
      </c>
      <c r="AQ15" s="24">
        <v>32.788645847995888</v>
      </c>
      <c r="AR15" s="24">
        <v>9.50107937540417E-2</v>
      </c>
      <c r="AS15" s="24">
        <v>6.5380926132202148</v>
      </c>
      <c r="AT15" s="24">
        <v>0.10860476476241301</v>
      </c>
    </row>
    <row r="16" spans="1:46">
      <c r="C16" s="24">
        <f t="shared" si="1"/>
        <v>1.75</v>
      </c>
      <c r="D16" s="24">
        <v>1.001648439439649</v>
      </c>
      <c r="E16" s="24">
        <v>3.8275446893826635</v>
      </c>
      <c r="F16" s="24">
        <v>173.14579167850161</v>
      </c>
      <c r="G16" s="24">
        <v>2.2393283843994141</v>
      </c>
      <c r="H16" s="24">
        <v>31.941235161362481</v>
      </c>
      <c r="I16" s="24">
        <v>15.896761353129369</v>
      </c>
      <c r="J16" s="24">
        <v>25.119411468505859</v>
      </c>
      <c r="K16" s="24">
        <v>0.5158575177192688</v>
      </c>
      <c r="M16" s="24">
        <v>1.0106534339527755</v>
      </c>
      <c r="N16" s="24">
        <v>3.8275446893826635</v>
      </c>
      <c r="O16" s="24">
        <v>173.14579167850161</v>
      </c>
      <c r="P16" s="24">
        <v>2.2393283843994141</v>
      </c>
      <c r="Q16" s="24">
        <v>31.941235161362481</v>
      </c>
      <c r="R16" s="24">
        <v>15.896761353129369</v>
      </c>
      <c r="S16" s="24">
        <v>25.119411468505859</v>
      </c>
      <c r="T16" s="24">
        <v>0.51585753853602401</v>
      </c>
      <c r="U16" s="24">
        <f t="shared" si="0"/>
        <v>1</v>
      </c>
      <c r="W16" s="24"/>
      <c r="X16" s="24">
        <v>94.8440558116082</v>
      </c>
      <c r="Y16" s="24">
        <v>2.3366141319274898</v>
      </c>
      <c r="Z16" s="24">
        <v>82.662166064100504</v>
      </c>
      <c r="AA16">
        <v>2.3526792526245099</v>
      </c>
      <c r="AB16" s="24"/>
      <c r="AC16" s="24">
        <v>1.5</v>
      </c>
      <c r="AD16" s="24">
        <v>1.9398664082620698</v>
      </c>
      <c r="AE16" s="24">
        <v>0.83821567901234684</v>
      </c>
      <c r="AF16" s="24">
        <v>35.115698768763053</v>
      </c>
      <c r="AG16" s="24">
        <v>2.4180424213409424</v>
      </c>
      <c r="AH16" s="24">
        <v>32.604810425836099</v>
      </c>
      <c r="AI16" s="24">
        <v>5.8648350104021558</v>
      </c>
      <c r="AJ16" s="24">
        <v>12.932092666625977</v>
      </c>
      <c r="AK16" s="24">
        <v>0.17503423988819122</v>
      </c>
      <c r="AM16" s="24">
        <v>1.5014377275853523</v>
      </c>
      <c r="AN16" s="24">
        <v>3.3528627160493837E-3</v>
      </c>
      <c r="AO16" s="24">
        <v>0.13756122777186663</v>
      </c>
      <c r="AP16" s="24">
        <v>2.469045877456665</v>
      </c>
      <c r="AQ16" s="24">
        <v>32.790134393924305</v>
      </c>
      <c r="AR16" s="24">
        <v>2.8822882846687693E-2</v>
      </c>
      <c r="AS16" s="24">
        <v>6.4673252105712891</v>
      </c>
      <c r="AT16" s="24">
        <v>0.11632641793271184</v>
      </c>
    </row>
    <row r="17" spans="3:46">
      <c r="C17" s="24">
        <f t="shared" si="1"/>
        <v>2</v>
      </c>
      <c r="D17" s="24">
        <v>1.0151674316338291</v>
      </c>
      <c r="E17" s="24">
        <v>3.8740330864196992</v>
      </c>
      <c r="F17" s="24">
        <v>157.82195815543645</v>
      </c>
      <c r="G17" s="24">
        <v>2.4865965843200684</v>
      </c>
      <c r="H17" s="24">
        <v>31.930915604615201</v>
      </c>
      <c r="I17" s="24">
        <v>15.315606168924061</v>
      </c>
      <c r="J17" s="24">
        <v>24.272407531738281</v>
      </c>
      <c r="K17" s="24">
        <v>0.50827294588088989</v>
      </c>
      <c r="M17" s="24">
        <v>1.0287590911210842</v>
      </c>
      <c r="N17" s="24">
        <v>3.8895292187653792</v>
      </c>
      <c r="O17" s="24">
        <v>158.51127056120143</v>
      </c>
      <c r="P17" s="24">
        <v>2.4856863021850586</v>
      </c>
      <c r="Q17" s="24">
        <v>31.927475752366107</v>
      </c>
      <c r="R17" s="24">
        <v>15.345370652055246</v>
      </c>
      <c r="S17" s="24">
        <v>24.309408187866211</v>
      </c>
      <c r="T17" s="24">
        <v>0.52062494340592991</v>
      </c>
      <c r="U17" s="24">
        <f t="shared" si="0"/>
        <v>0.99565133505444436</v>
      </c>
      <c r="W17" s="24"/>
      <c r="X17" s="24">
        <v>87.148096759279795</v>
      </c>
      <c r="Y17" s="24">
        <v>2.5844757556915199</v>
      </c>
      <c r="Z17" s="24">
        <v>73.633902695269498</v>
      </c>
      <c r="AA17">
        <v>2.6042883396148602</v>
      </c>
      <c r="AB17" s="24"/>
      <c r="AC17" s="24">
        <v>1.5</v>
      </c>
      <c r="AD17" s="24">
        <v>1.9398664082620698</v>
      </c>
      <c r="AE17" s="24">
        <v>0.83821567901234684</v>
      </c>
      <c r="AF17" s="24">
        <v>31.825299517572315</v>
      </c>
      <c r="AG17" s="24">
        <v>2.6680424213409424</v>
      </c>
      <c r="AH17" s="24">
        <v>32.604810425836099</v>
      </c>
      <c r="AI17" s="24">
        <v>5.4186198988868632</v>
      </c>
      <c r="AJ17" s="24">
        <v>12.408086776733398</v>
      </c>
      <c r="AK17" s="24">
        <v>0.1817953884601593</v>
      </c>
      <c r="AM17" s="24">
        <v>1.5014377275853523</v>
      </c>
      <c r="AN17" s="24">
        <v>3.3528627160493837E-3</v>
      </c>
      <c r="AO17" s="24">
        <v>0.12491329629179089</v>
      </c>
      <c r="AP17" s="24">
        <v>2.719045877456665</v>
      </c>
      <c r="AQ17" s="24">
        <v>32.790134393924305</v>
      </c>
      <c r="AR17" s="24">
        <v>2.6034184254751722E-2</v>
      </c>
      <c r="AS17" s="24">
        <v>6.4643254280090332</v>
      </c>
      <c r="AT17" s="24">
        <v>0.12878693195226287</v>
      </c>
    </row>
    <row r="18" spans="3:46">
      <c r="C18" s="24">
        <f t="shared" si="1"/>
        <v>2.25</v>
      </c>
      <c r="D18" s="24">
        <v>1.0151674316338291</v>
      </c>
      <c r="E18" s="24">
        <v>3.8740330864196992</v>
      </c>
      <c r="F18" s="24">
        <v>143.40423619733934</v>
      </c>
      <c r="G18" s="24">
        <v>2.7365965843200684</v>
      </c>
      <c r="H18" s="24">
        <v>31.930915604615201</v>
      </c>
      <c r="I18" s="24">
        <v>14.691140177624108</v>
      </c>
      <c r="J18" s="24">
        <v>23.396417617797852</v>
      </c>
      <c r="K18" s="24">
        <v>0.51282584667205811</v>
      </c>
      <c r="M18" s="24">
        <v>1.0469957320974721</v>
      </c>
      <c r="N18" s="24">
        <v>3.951513748148094</v>
      </c>
      <c r="O18" s="24">
        <v>146.51590476082995</v>
      </c>
      <c r="P18" s="24">
        <v>2.7320470809936523</v>
      </c>
      <c r="Q18" s="24">
        <v>31.913716343369735</v>
      </c>
      <c r="R18" s="24">
        <v>14.841984462066053</v>
      </c>
      <c r="S18" s="24">
        <v>23.581418991088867</v>
      </c>
      <c r="T18" s="24">
        <v>0.52674561203408954</v>
      </c>
      <c r="U18" s="24">
        <f t="shared" si="0"/>
        <v>0.97876224722107785</v>
      </c>
      <c r="W18" s="24"/>
      <c r="X18" s="24">
        <v>79.127613838401302</v>
      </c>
      <c r="Y18" s="24">
        <v>2.83501029014587</v>
      </c>
      <c r="Z18" s="24">
        <v>64.880743794907502</v>
      </c>
      <c r="AA18">
        <v>2.8580451011657702</v>
      </c>
      <c r="AB18" s="24"/>
      <c r="AC18" s="24">
        <v>1.5</v>
      </c>
      <c r="AD18" s="24">
        <v>1.9398664082620698</v>
      </c>
      <c r="AE18" s="24">
        <v>0.83821567901234684</v>
      </c>
      <c r="AF18" s="24">
        <v>29.098702776421078</v>
      </c>
      <c r="AG18" s="24">
        <v>2.9180424213409424</v>
      </c>
      <c r="AH18" s="24">
        <v>32.604810425836099</v>
      </c>
      <c r="AI18" s="24">
        <v>5.0349341826163743</v>
      </c>
      <c r="AJ18" s="24">
        <v>11.961122512817383</v>
      </c>
      <c r="AK18" s="24">
        <v>0.18946379423141479</v>
      </c>
      <c r="AM18" s="24">
        <v>1.5014377275853523</v>
      </c>
      <c r="AN18" s="24">
        <v>3.3528627160493837E-3</v>
      </c>
      <c r="AO18" s="24">
        <v>0.11439533040797252</v>
      </c>
      <c r="AP18" s="24">
        <v>2.969045877456665</v>
      </c>
      <c r="AQ18" s="24">
        <v>32.790134393924305</v>
      </c>
      <c r="AR18" s="24">
        <v>2.4174978933111317E-2</v>
      </c>
      <c r="AS18" s="24">
        <v>6.4623250961303711</v>
      </c>
      <c r="AT18" s="24">
        <v>0.1386914431373972</v>
      </c>
    </row>
    <row r="19" spans="3:46">
      <c r="C19" s="24">
        <f t="shared" si="1"/>
        <v>2.5</v>
      </c>
      <c r="D19" s="24">
        <v>1.0469957320974721</v>
      </c>
      <c r="E19" s="24">
        <v>3.982506012839452</v>
      </c>
      <c r="F19" s="24">
        <v>135.36810530413015</v>
      </c>
      <c r="G19" s="24">
        <v>2.9802284240722656</v>
      </c>
      <c r="H19" s="24">
        <v>31.90683663887155</v>
      </c>
      <c r="I19" s="24">
        <v>14.32198567898255</v>
      </c>
      <c r="J19" s="24">
        <v>22.852418899536133</v>
      </c>
      <c r="K19" s="24">
        <v>0.52053940296173096</v>
      </c>
      <c r="M19" s="24">
        <v>1.037860776342997</v>
      </c>
      <c r="N19" s="24">
        <v>3.9205214834567363</v>
      </c>
      <c r="O19" s="24">
        <v>133.09872943811544</v>
      </c>
      <c r="P19" s="24">
        <v>2.9838664531707764</v>
      </c>
      <c r="Q19" s="24">
        <v>31.920596047867921</v>
      </c>
      <c r="R19" s="24">
        <v>14.201355876085088</v>
      </c>
      <c r="S19" s="24">
        <v>22.706418991088867</v>
      </c>
      <c r="T19" s="24">
        <v>0.5194750920239849</v>
      </c>
      <c r="U19" s="24">
        <f t="shared" si="0"/>
        <v>1.0170503195304346</v>
      </c>
      <c r="X19">
        <v>73.939411296055496</v>
      </c>
      <c r="Y19">
        <v>3.0828726291656401</v>
      </c>
      <c r="Z19">
        <v>55.153449174924702</v>
      </c>
      <c r="AA19">
        <v>3.1161041259765598</v>
      </c>
      <c r="AB19" s="24"/>
      <c r="AC19" s="24">
        <v>1.5</v>
      </c>
      <c r="AD19" s="24">
        <v>1.9398664082620698</v>
      </c>
      <c r="AE19" s="24">
        <v>0.83821567901234684</v>
      </c>
      <c r="AF19" s="24">
        <v>26.802434358392173</v>
      </c>
      <c r="AG19" s="24">
        <v>3.1680424213409424</v>
      </c>
      <c r="AH19" s="24">
        <v>32.604810425836099</v>
      </c>
      <c r="AI19" s="24">
        <v>4.7012754233313077</v>
      </c>
      <c r="AJ19" s="24">
        <v>11.575096130371094</v>
      </c>
      <c r="AK19" s="24">
        <v>0.20882128179073334</v>
      </c>
      <c r="AM19" s="24">
        <v>1.5014377275853523</v>
      </c>
      <c r="AN19" s="24">
        <v>3.3528627160493837E-3</v>
      </c>
      <c r="AO19" s="24">
        <v>0.10551107308680077</v>
      </c>
      <c r="AP19" s="24">
        <v>3.219045877456665</v>
      </c>
      <c r="AQ19" s="24">
        <v>32.790134393924305</v>
      </c>
      <c r="AR19" s="24">
        <v>2.2315715268208441E-2</v>
      </c>
      <c r="AS19" s="24">
        <v>6.4603252410888672</v>
      </c>
      <c r="AT19" s="24">
        <v>0.15024670622258568</v>
      </c>
    </row>
    <row r="20" spans="3:46">
      <c r="C20" s="24">
        <f t="shared" si="1"/>
        <v>2.75</v>
      </c>
      <c r="D20" s="24">
        <v>1.0561648264916308</v>
      </c>
      <c r="E20" s="24">
        <v>4.0134982775308092</v>
      </c>
      <c r="F20" s="24">
        <v>125.93423634485703</v>
      </c>
      <c r="G20" s="24">
        <v>3.2284102439880371</v>
      </c>
      <c r="H20" s="24">
        <v>31.899956934373364</v>
      </c>
      <c r="I20" s="24">
        <v>13.840762106690143</v>
      </c>
      <c r="J20" s="24">
        <v>22.187410354614258</v>
      </c>
      <c r="K20" s="24">
        <v>0.52804011106491089</v>
      </c>
      <c r="M20" s="24">
        <v>1.0653689537802913</v>
      </c>
      <c r="N20" s="24">
        <v>4.0134982775308092</v>
      </c>
      <c r="O20" s="24">
        <v>125.93423634485703</v>
      </c>
      <c r="P20" s="24">
        <v>3.2284102439880371</v>
      </c>
      <c r="Q20" s="24">
        <v>31.899956934373364</v>
      </c>
      <c r="R20" s="24">
        <v>13.840762106690143</v>
      </c>
      <c r="S20" s="24">
        <v>22.187410354614258</v>
      </c>
      <c r="T20" s="24">
        <v>0.52804008407451508</v>
      </c>
      <c r="U20" s="24">
        <f t="shared" si="0"/>
        <v>1</v>
      </c>
      <c r="X20">
        <v>69.240689414307298</v>
      </c>
      <c r="Y20">
        <v>3.3312699794769198</v>
      </c>
      <c r="Z20">
        <v>48.844991859001198</v>
      </c>
      <c r="AA20">
        <v>3.37040710449218</v>
      </c>
      <c r="AB20" s="24"/>
      <c r="AC20" s="24">
        <v>1.5</v>
      </c>
      <c r="AD20" s="24">
        <v>1.9445855164133354</v>
      </c>
      <c r="AE20" s="24">
        <v>0.84827426716049503</v>
      </c>
      <c r="AF20" s="24">
        <v>25.144673727525259</v>
      </c>
      <c r="AG20" s="24">
        <v>3.4174308776855469</v>
      </c>
      <c r="AH20" s="24">
        <v>32.60257760694347</v>
      </c>
      <c r="AI20" s="24">
        <v>4.4548751736395422</v>
      </c>
      <c r="AJ20" s="24">
        <v>11.290088653564453</v>
      </c>
      <c r="AK20" s="24">
        <v>0.21987368166446686</v>
      </c>
      <c r="AM20" s="24">
        <v>1.5014377275853523</v>
      </c>
      <c r="AN20" s="24">
        <v>3.3528627160493837E-3</v>
      </c>
      <c r="AO20" s="24">
        <v>9.790732018006966E-2</v>
      </c>
      <c r="AP20" s="24">
        <v>3.469045877456665</v>
      </c>
      <c r="AQ20" s="24">
        <v>32.790134393924305</v>
      </c>
      <c r="AR20" s="24">
        <v>2.0456393258629153E-2</v>
      </c>
      <c r="AS20" s="24">
        <v>6.4583253860473633</v>
      </c>
      <c r="AT20" s="24">
        <v>0.1639029262714746</v>
      </c>
    </row>
    <row r="21" spans="3:46">
      <c r="C21" s="24">
        <f t="shared" si="1"/>
        <v>3</v>
      </c>
      <c r="D21" s="24">
        <v>1.0607624540871043</v>
      </c>
      <c r="E21" s="24">
        <v>4.0289944098764892</v>
      </c>
      <c r="F21" s="24">
        <v>117.36505180149385</v>
      </c>
      <c r="G21" s="24">
        <v>3.477501392364502</v>
      </c>
      <c r="H21" s="24">
        <v>31.896517082124269</v>
      </c>
      <c r="I21" s="24">
        <v>13.364753359324656</v>
      </c>
      <c r="J21" s="24">
        <v>21.543415069580078</v>
      </c>
      <c r="K21" s="24">
        <v>0.52285128831863403</v>
      </c>
      <c r="M21" s="24">
        <v>1.0469957320974721</v>
      </c>
      <c r="N21" s="24">
        <v>3.951513748148094</v>
      </c>
      <c r="O21" s="24">
        <v>114.95776451382713</v>
      </c>
      <c r="P21" s="24">
        <v>3.4820470809936523</v>
      </c>
      <c r="Q21" s="24">
        <v>31.913716343369735</v>
      </c>
      <c r="R21" s="24">
        <v>13.215683495234972</v>
      </c>
      <c r="S21" s="24">
        <v>21.367416381835938</v>
      </c>
      <c r="T21" s="24">
        <v>0.52171189988047129</v>
      </c>
      <c r="U21" s="24">
        <f t="shared" si="0"/>
        <v>1.0209406236964287</v>
      </c>
      <c r="X21">
        <v>64.407160325293901</v>
      </c>
      <c r="Y21">
        <v>3.5812699794769198</v>
      </c>
      <c r="Z21">
        <v>39.8450355897943</v>
      </c>
      <c r="AA21">
        <v>3.63225889205932</v>
      </c>
      <c r="AB21" s="24"/>
      <c r="AC21" s="24">
        <v>1.5</v>
      </c>
      <c r="AD21" s="24">
        <v>1.9398664082620698</v>
      </c>
      <c r="AE21" s="24">
        <v>0.83821567901234684</v>
      </c>
      <c r="AF21" s="24">
        <v>23.148927734630366</v>
      </c>
      <c r="AG21" s="24">
        <v>3.6680424213409424</v>
      </c>
      <c r="AH21" s="24">
        <v>32.604810425836099</v>
      </c>
      <c r="AI21" s="24">
        <v>4.1504088618203347</v>
      </c>
      <c r="AJ21" s="24">
        <v>10.943080902099609</v>
      </c>
      <c r="AK21" s="24">
        <v>0.23218405246734619</v>
      </c>
      <c r="AM21" s="24">
        <v>1.5014377275853523</v>
      </c>
      <c r="AN21" s="24">
        <v>3.3528627160493837E-3</v>
      </c>
      <c r="AO21" s="24">
        <v>9.1325839248011895E-2</v>
      </c>
      <c r="AP21" s="24">
        <v>3.719045877456665</v>
      </c>
      <c r="AQ21" s="24">
        <v>32.790134393924305</v>
      </c>
      <c r="AR21" s="24">
        <v>1.9526710374143923E-2</v>
      </c>
      <c r="AS21" s="24">
        <v>6.4573254585266113</v>
      </c>
      <c r="AT21" s="24">
        <v>0.17170648060049273</v>
      </c>
    </row>
    <row r="22" spans="3:46">
      <c r="C22" s="24">
        <f t="shared" si="1"/>
        <v>3.25</v>
      </c>
      <c r="D22" s="24">
        <v>1.0699844749515597</v>
      </c>
      <c r="E22" s="24">
        <v>4.0599866745678455</v>
      </c>
      <c r="F22" s="24">
        <v>110.3895602729133</v>
      </c>
      <c r="G22" s="24">
        <v>3.7256844043731689</v>
      </c>
      <c r="H22" s="24">
        <v>31.889637377626084</v>
      </c>
      <c r="I22" s="24">
        <v>12.950779150742537</v>
      </c>
      <c r="J22" s="24">
        <v>20.985410690307617</v>
      </c>
      <c r="K22" s="24">
        <v>0.53193950653076172</v>
      </c>
      <c r="M22" s="24">
        <v>1.0287590911210842</v>
      </c>
      <c r="N22" s="24">
        <v>3.8895292187653792</v>
      </c>
      <c r="O22" s="24">
        <v>105.47173060563358</v>
      </c>
      <c r="P22" s="24">
        <v>3.7356863021850586</v>
      </c>
      <c r="Q22" s="24">
        <v>31.927475752366107</v>
      </c>
      <c r="R22" s="24">
        <v>12.62282716074175</v>
      </c>
      <c r="S22" s="24">
        <v>20.602411270141602</v>
      </c>
      <c r="T22" s="24">
        <v>0.51609583473609888</v>
      </c>
      <c r="U22" s="24">
        <f t="shared" si="0"/>
        <v>1.046626993214588</v>
      </c>
      <c r="W22" s="24"/>
      <c r="X22" s="24">
        <v>60.204431099617402</v>
      </c>
      <c r="Y22">
        <v>3.8312699794769198</v>
      </c>
      <c r="Z22">
        <v>35.613586212929498</v>
      </c>
      <c r="AA22">
        <v>3.88603544235229</v>
      </c>
      <c r="AB22" s="24"/>
      <c r="AC22" s="24">
        <v>1.5</v>
      </c>
      <c r="AD22" s="24">
        <v>1.9398664082620698</v>
      </c>
      <c r="AE22" s="24">
        <v>0.83821567901234684</v>
      </c>
      <c r="AF22" s="24">
        <v>21.671855423227115</v>
      </c>
      <c r="AG22" s="24">
        <v>3.9180424213409424</v>
      </c>
      <c r="AH22" s="24">
        <v>32.604810425836099</v>
      </c>
      <c r="AI22" s="24">
        <v>3.9203926310691037</v>
      </c>
      <c r="AJ22" s="24">
        <v>10.681103706359863</v>
      </c>
      <c r="AK22" s="24">
        <v>0.2463480532169342</v>
      </c>
      <c r="AM22" s="24">
        <v>1.5014377275853523</v>
      </c>
      <c r="AN22" s="24">
        <v>3.3528627160493837E-3</v>
      </c>
      <c r="AO22" s="24">
        <v>8.5573459440629857E-2</v>
      </c>
      <c r="AP22" s="24">
        <v>3.969045877456665</v>
      </c>
      <c r="AQ22" s="24">
        <v>32.790134393924305</v>
      </c>
      <c r="AR22" s="24">
        <v>1.8597012902959252E-2</v>
      </c>
      <c r="AS22" s="24">
        <v>6.4563255310058594</v>
      </c>
      <c r="AT22" s="24">
        <v>0.18029039037316896</v>
      </c>
    </row>
    <row r="23" spans="3:46">
      <c r="C23" s="24">
        <f t="shared" si="1"/>
        <v>3.5</v>
      </c>
      <c r="D23" s="24">
        <v>1.0699844749515597</v>
      </c>
      <c r="E23" s="24">
        <v>4.0599866745678455</v>
      </c>
      <c r="F23" s="24">
        <v>103.44801560349075</v>
      </c>
      <c r="G23" s="24">
        <v>3.9756844043731689</v>
      </c>
      <c r="H23" s="24">
        <v>31.889637377626084</v>
      </c>
      <c r="I23" s="24">
        <v>12.50754919376066</v>
      </c>
      <c r="J23" s="24">
        <v>20.4044189453125</v>
      </c>
      <c r="K23" s="24">
        <v>0.5274956226348877</v>
      </c>
      <c r="M23" s="24">
        <v>1.0333058281750689</v>
      </c>
      <c r="N23" s="24">
        <v>3.9050253511110573</v>
      </c>
      <c r="O23" s="24">
        <v>99.27259055977801</v>
      </c>
      <c r="P23" s="24">
        <v>3.9847762584686279</v>
      </c>
      <c r="Q23" s="24">
        <v>31.924035900117016</v>
      </c>
      <c r="R23" s="24">
        <v>12.211733295128848</v>
      </c>
      <c r="S23" s="24">
        <v>20.062416076660156</v>
      </c>
      <c r="T23" s="24">
        <v>0.52548140553602796</v>
      </c>
      <c r="U23" s="24">
        <f t="shared" si="0"/>
        <v>1.0420602003047201</v>
      </c>
      <c r="W23" s="24"/>
      <c r="X23" s="24">
        <v>57.433177386869197</v>
      </c>
      <c r="Y23" s="27">
        <v>4.0791339874267498</v>
      </c>
      <c r="Z23">
        <v>28.567468237376001</v>
      </c>
      <c r="AA23">
        <v>4.1479220390319798</v>
      </c>
      <c r="AB23" s="24"/>
      <c r="AC23" s="24">
        <v>1.5</v>
      </c>
      <c r="AD23" s="24">
        <v>1.9860375507331138</v>
      </c>
      <c r="AE23" s="24">
        <v>0.90862579604938398</v>
      </c>
      <c r="AF23" s="24">
        <v>22.10591588228727</v>
      </c>
      <c r="AG23" s="24">
        <v>4.1637630462646484</v>
      </c>
      <c r="AH23" s="24">
        <v>32.5891806935877</v>
      </c>
      <c r="AI23" s="24">
        <v>3.9897717225494662</v>
      </c>
      <c r="AJ23" s="24">
        <v>10.750119209289551</v>
      </c>
      <c r="AK23" s="24">
        <v>0.26336053013801575</v>
      </c>
      <c r="AM23" s="24">
        <v>1.5014377275853523</v>
      </c>
      <c r="AN23" s="24">
        <v>3.3528627160493837E-3</v>
      </c>
      <c r="AO23" s="24">
        <v>8.0502795341886743E-2</v>
      </c>
      <c r="AP23" s="24">
        <v>4.2190461158752441</v>
      </c>
      <c r="AQ23" s="24">
        <v>32.790134393924305</v>
      </c>
      <c r="AR23" s="24">
        <v>1.6737574199784395E-2</v>
      </c>
      <c r="AS23" s="24">
        <v>6.4543251991271973</v>
      </c>
      <c r="AT23" s="24">
        <v>0.20031951321193089</v>
      </c>
    </row>
    <row r="24" spans="3:46">
      <c r="C24" s="24">
        <f t="shared" si="1"/>
        <v>3.75</v>
      </c>
      <c r="D24" s="24">
        <v>1.0699844749515597</v>
      </c>
      <c r="E24" s="24">
        <v>4.0599866745678455</v>
      </c>
      <c r="F24" s="24">
        <v>97.327822483110026</v>
      </c>
      <c r="G24" s="24">
        <v>4.2256841659545898</v>
      </c>
      <c r="H24" s="24">
        <v>31.889637377626084</v>
      </c>
      <c r="I24" s="24">
        <v>12.091683718358819</v>
      </c>
      <c r="J24" s="24">
        <v>19.865415573120117</v>
      </c>
      <c r="K24" s="24">
        <v>0.53759747743606567</v>
      </c>
      <c r="M24" s="24">
        <v>1.001648439439649</v>
      </c>
      <c r="N24" s="24">
        <v>3.7965524246913058</v>
      </c>
      <c r="O24" s="24">
        <v>90.680767519180463</v>
      </c>
      <c r="P24" s="24">
        <v>4.2411503791809082</v>
      </c>
      <c r="Q24" s="24">
        <v>31.948114865860667</v>
      </c>
      <c r="R24" s="24">
        <v>11.58776812499228</v>
      </c>
      <c r="S24" s="24">
        <v>19.288408279418945</v>
      </c>
      <c r="T24" s="24">
        <v>0.52029100356144453</v>
      </c>
      <c r="U24" s="24">
        <f t="shared" si="0"/>
        <v>1.0733017060373204</v>
      </c>
      <c r="W24" s="24"/>
      <c r="X24" s="24">
        <v>53.900918333022403</v>
      </c>
      <c r="Y24">
        <v>4.32966756820678</v>
      </c>
      <c r="Z24">
        <v>22.566009595680001</v>
      </c>
      <c r="AA24">
        <v>4.4092926979064897</v>
      </c>
      <c r="AB24" s="24"/>
      <c r="AC24" s="24">
        <v>1.5</v>
      </c>
      <c r="AD24" s="24">
        <v>1.9760574660933821</v>
      </c>
      <c r="AE24" s="24">
        <v>0.89186148246913699</v>
      </c>
      <c r="AF24" s="24">
        <v>20.464334944099335</v>
      </c>
      <c r="AG24" s="24">
        <v>4.4147815704345703</v>
      </c>
      <c r="AH24" s="24">
        <v>32.592902058408747</v>
      </c>
      <c r="AI24" s="24">
        <v>3.7302430524774777</v>
      </c>
      <c r="AJ24" s="24">
        <v>10.458097457885742</v>
      </c>
      <c r="AK24" s="24">
        <v>0.28196704387664795</v>
      </c>
      <c r="AM24" s="24">
        <v>1.5014377275853523</v>
      </c>
      <c r="AN24" s="24">
        <v>3.3528627160493837E-3</v>
      </c>
      <c r="AO24" s="24">
        <v>7.5999440703444457E-2</v>
      </c>
      <c r="AP24" s="24">
        <v>4.4690461158752441</v>
      </c>
      <c r="AQ24" s="24">
        <v>32.790134393924305</v>
      </c>
      <c r="AR24" s="24">
        <v>1.5807832967440521E-2</v>
      </c>
      <c r="AS24" s="24">
        <v>6.4533252716064453</v>
      </c>
      <c r="AT24" s="24">
        <v>0.21210135019488713</v>
      </c>
    </row>
    <row r="25" spans="3:46">
      <c r="C25" s="24">
        <f t="shared" si="1"/>
        <v>4</v>
      </c>
      <c r="D25" s="24">
        <v>1.0885419079995147</v>
      </c>
      <c r="E25" s="24">
        <v>4.1219712039505616</v>
      </c>
      <c r="F25" s="24">
        <v>93.370043102039816</v>
      </c>
      <c r="G25" s="24">
        <v>4.4720520973205566</v>
      </c>
      <c r="H25" s="24">
        <v>31.875877968629709</v>
      </c>
      <c r="I25" s="24">
        <v>11.813991553583531</v>
      </c>
      <c r="J25" s="24">
        <v>19.492424011230469</v>
      </c>
      <c r="K25" s="24">
        <v>0.54947137832641602</v>
      </c>
      <c r="M25" s="24">
        <v>0.97926566413862171</v>
      </c>
      <c r="N25" s="24">
        <v>3.7190717629629111</v>
      </c>
      <c r="O25" s="24">
        <v>83.800366919000183</v>
      </c>
      <c r="P25" s="24">
        <v>4.4957079887390137</v>
      </c>
      <c r="Q25" s="24">
        <v>31.965314127106133</v>
      </c>
      <c r="R25" s="24">
        <v>11.05085259703473</v>
      </c>
      <c r="S25" s="24">
        <v>18.626413345336914</v>
      </c>
      <c r="T25" s="24">
        <v>0.51599275395022937</v>
      </c>
      <c r="U25" s="24">
        <f t="shared" si="0"/>
        <v>1.1141961131541285</v>
      </c>
      <c r="W25" s="24"/>
      <c r="X25" s="24">
        <v>52.587657506561001</v>
      </c>
      <c r="Y25" s="24">
        <v>4.5753974914550701</v>
      </c>
      <c r="Z25">
        <v>19.195104829620401</v>
      </c>
      <c r="AA25">
        <v>4.6652588844299299</v>
      </c>
      <c r="AB25" s="24"/>
      <c r="AC25" s="24">
        <v>1.5</v>
      </c>
      <c r="AD25" s="24">
        <v>1.9810291429106726</v>
      </c>
      <c r="AE25" s="24">
        <v>0.89856720790123568</v>
      </c>
      <c r="AF25" s="24">
        <v>19.514913834361433</v>
      </c>
      <c r="AG25" s="24">
        <v>4.6643738746643066</v>
      </c>
      <c r="AH25" s="24">
        <v>32.591413512480329</v>
      </c>
      <c r="AI25" s="24">
        <v>3.5778899399938</v>
      </c>
      <c r="AJ25" s="24">
        <v>10.285055160522461</v>
      </c>
      <c r="AK25" s="24">
        <v>0.2813534140586853</v>
      </c>
      <c r="AM25" s="24">
        <v>1.5014377275853523</v>
      </c>
      <c r="AN25" s="24">
        <v>3.3528627160493837E-3</v>
      </c>
      <c r="AO25" s="24">
        <v>7.1973232789192668E-2</v>
      </c>
      <c r="AP25" s="24">
        <v>4.7190461158752441</v>
      </c>
      <c r="AQ25" s="24">
        <v>32.790134393924305</v>
      </c>
      <c r="AR25" s="24">
        <v>1.5807832967440521E-2</v>
      </c>
      <c r="AS25" s="24">
        <v>6.4533252716064453</v>
      </c>
      <c r="AT25" s="24">
        <v>0.21210135019488713</v>
      </c>
    </row>
    <row r="26" spans="3:46">
      <c r="C26" s="24">
        <f t="shared" si="1"/>
        <v>4.25</v>
      </c>
      <c r="D26" s="24">
        <v>1.0978776606971723</v>
      </c>
      <c r="E26" s="24">
        <v>4.1684596009875978</v>
      </c>
      <c r="F26" s="24">
        <v>89.475627748211181</v>
      </c>
      <c r="G26" s="24">
        <v>4.7193293571472168</v>
      </c>
      <c r="H26" s="24">
        <v>31.865558411882429</v>
      </c>
      <c r="I26" s="24">
        <v>11.529078634760694</v>
      </c>
      <c r="J26" s="24">
        <v>19.117412567138672</v>
      </c>
      <c r="K26" s="24">
        <v>0.54653000831604004</v>
      </c>
      <c r="M26" s="24">
        <v>0.98372776782220006</v>
      </c>
      <c r="N26" s="24">
        <v>3.7345678953085906</v>
      </c>
      <c r="O26" s="24">
        <v>79.7319263513957</v>
      </c>
      <c r="P26" s="24">
        <v>4.7447957992553711</v>
      </c>
      <c r="Q26" s="24">
        <v>31.961874274857042</v>
      </c>
      <c r="R26" s="24">
        <v>10.720637163603078</v>
      </c>
      <c r="S26" s="24">
        <v>18.207405090332031</v>
      </c>
      <c r="T26" s="24">
        <v>0.52703984238923951</v>
      </c>
      <c r="U26" s="24">
        <f t="shared" si="0"/>
        <v>1.1222057692908722</v>
      </c>
      <c r="W26" s="24"/>
      <c r="X26" s="24">
        <v>49.863132910950299</v>
      </c>
      <c r="Y26" s="24">
        <v>4.8253974914550701</v>
      </c>
      <c r="Z26">
        <v>13.9506862555283</v>
      </c>
      <c r="AA26">
        <v>4.9277544021606401</v>
      </c>
      <c r="AB26" s="24"/>
      <c r="AC26" s="24">
        <v>1.5</v>
      </c>
      <c r="AD26" s="24">
        <v>1.9810291429106726</v>
      </c>
      <c r="AE26" s="24">
        <v>0.89856720790123568</v>
      </c>
      <c r="AF26" s="24">
        <v>18.522167172352965</v>
      </c>
      <c r="AG26" s="24">
        <v>4.9143738746643066</v>
      </c>
      <c r="AH26" s="24">
        <v>32.591413512480329</v>
      </c>
      <c r="AI26" s="24">
        <v>3.4172104030281374</v>
      </c>
      <c r="AJ26" s="24">
        <v>10.104035377502441</v>
      </c>
      <c r="AK26" s="24">
        <v>0.28072091937065125</v>
      </c>
      <c r="AM26" s="24">
        <v>1.5014377275853523</v>
      </c>
      <c r="AN26" s="24">
        <v>3.3528627160493837E-3</v>
      </c>
      <c r="AO26" s="24">
        <v>6.83521537417177E-2</v>
      </c>
      <c r="AP26" s="24">
        <v>4.9690461158752441</v>
      </c>
      <c r="AQ26" s="24">
        <v>32.790134393924305</v>
      </c>
      <c r="AR26" s="24">
        <v>1.48780771476899E-2</v>
      </c>
      <c r="AS26" s="24">
        <v>6.4523253440856934</v>
      </c>
      <c r="AT26" s="24">
        <v>0.22535591681415487</v>
      </c>
    </row>
    <row r="31" spans="3:46">
      <c r="C31" s="24"/>
      <c r="D31" s="19"/>
      <c r="E31" s="24"/>
      <c r="F31" s="24"/>
      <c r="G31" s="24"/>
      <c r="H31" s="24"/>
      <c r="I31" s="24"/>
      <c r="J31" s="24"/>
      <c r="K31" s="24"/>
      <c r="L31" s="24"/>
      <c r="M31" s="24"/>
    </row>
    <row r="32" spans="3:46">
      <c r="C32" s="24"/>
      <c r="D32" s="24"/>
      <c r="E32" s="24"/>
      <c r="F32" s="24"/>
      <c r="G32" s="24"/>
      <c r="H32" s="24"/>
      <c r="I32" s="24"/>
      <c r="J32" s="24"/>
      <c r="K32" s="24"/>
      <c r="L32" s="24"/>
      <c r="M32" s="24"/>
      <c r="O32" s="19"/>
    </row>
    <row r="33" spans="3:22">
      <c r="C33" s="19"/>
      <c r="D33" s="19"/>
      <c r="E33" s="24"/>
      <c r="F33" s="24"/>
      <c r="G33" s="24"/>
      <c r="H33" s="24"/>
      <c r="I33" s="24"/>
      <c r="J33" s="24"/>
      <c r="K33" s="24"/>
      <c r="L33" s="24"/>
      <c r="M33" s="24"/>
      <c r="O33" s="19"/>
      <c r="P33" s="19"/>
      <c r="Q33" s="24"/>
      <c r="R33" s="24"/>
      <c r="S33" s="24"/>
      <c r="T33" s="24"/>
      <c r="U33" s="24"/>
      <c r="V33" s="24"/>
    </row>
    <row r="34" spans="3:22">
      <c r="C34" s="24"/>
      <c r="D34" s="24"/>
      <c r="E34" s="24"/>
      <c r="F34" s="24"/>
      <c r="G34" s="24"/>
      <c r="H34" s="24"/>
      <c r="I34" s="24"/>
      <c r="J34" s="24"/>
      <c r="K34" s="24"/>
      <c r="L34" s="24"/>
      <c r="M34" s="24"/>
      <c r="O34" s="24"/>
      <c r="P34" s="24"/>
      <c r="Q34" s="24"/>
      <c r="R34" s="24"/>
      <c r="S34" s="24"/>
      <c r="T34" s="24"/>
      <c r="U34" s="24"/>
      <c r="V34" s="24"/>
    </row>
    <row r="35" spans="3:22">
      <c r="C35" s="24"/>
      <c r="D35" s="24"/>
      <c r="E35" s="24"/>
      <c r="F35" s="24"/>
      <c r="G35" s="24"/>
      <c r="H35" s="24"/>
      <c r="I35" s="24"/>
      <c r="J35" s="24"/>
      <c r="K35" s="24"/>
      <c r="L35" s="24"/>
      <c r="M35" s="24"/>
      <c r="O35" s="24"/>
      <c r="P35" s="24"/>
      <c r="Q35" s="24"/>
      <c r="R35" s="24"/>
      <c r="S35" s="24"/>
      <c r="T35" s="24"/>
      <c r="U35" s="24"/>
      <c r="V35" s="24"/>
    </row>
    <row r="36" spans="3:22">
      <c r="C36" s="24"/>
      <c r="D36" s="24"/>
      <c r="E36" s="24"/>
      <c r="F36" s="24"/>
      <c r="G36" s="24"/>
      <c r="H36" s="24"/>
      <c r="I36" s="24"/>
      <c r="J36" s="24"/>
      <c r="K36" s="24"/>
      <c r="L36" s="24"/>
      <c r="M36" s="24"/>
      <c r="O36" s="24"/>
      <c r="P36" s="24"/>
      <c r="Q36" s="24"/>
      <c r="R36" s="24"/>
      <c r="S36" s="24"/>
      <c r="T36" s="24"/>
      <c r="U36" s="24"/>
      <c r="V36" s="24"/>
    </row>
    <row r="37" spans="3:22">
      <c r="C37" s="24"/>
      <c r="D37" s="24"/>
      <c r="E37" s="24"/>
      <c r="F37" s="24"/>
      <c r="G37" s="24"/>
      <c r="H37" s="24"/>
      <c r="I37" s="24"/>
      <c r="J37" s="24"/>
      <c r="K37" s="24"/>
      <c r="L37" s="24"/>
      <c r="M37" s="24"/>
      <c r="O37" s="24"/>
      <c r="P37" s="24"/>
      <c r="Q37" s="24"/>
      <c r="R37" s="24"/>
      <c r="S37" s="24"/>
      <c r="T37" s="24"/>
      <c r="U37" s="24"/>
      <c r="V37" s="24"/>
    </row>
    <row r="38" spans="3:22">
      <c r="C38" s="24"/>
      <c r="D38" s="24"/>
      <c r="E38" s="24"/>
      <c r="F38" s="24"/>
      <c r="G38" s="24"/>
      <c r="H38" s="24"/>
      <c r="I38" s="24"/>
      <c r="J38" s="24"/>
      <c r="K38" s="24"/>
      <c r="L38" s="24"/>
      <c r="M38" s="24"/>
      <c r="O38" s="24"/>
      <c r="P38" s="24"/>
      <c r="Q38" s="24"/>
      <c r="R38" s="24"/>
      <c r="S38" s="24"/>
      <c r="T38" s="24"/>
      <c r="U38" s="24"/>
      <c r="V38" s="24"/>
    </row>
    <row r="39" spans="3:22">
      <c r="C39" s="24"/>
      <c r="D39" s="24"/>
      <c r="E39" s="24"/>
      <c r="F39" s="24"/>
      <c r="G39" s="24"/>
      <c r="H39" s="24"/>
      <c r="I39" s="24"/>
      <c r="J39" s="24"/>
      <c r="K39" s="24"/>
      <c r="L39" s="24"/>
      <c r="M39" s="24"/>
      <c r="O39" s="24"/>
      <c r="P39" s="24"/>
      <c r="Q39" s="24"/>
      <c r="R39" s="24"/>
      <c r="S39" s="24"/>
      <c r="T39" s="24"/>
      <c r="U39" s="24"/>
      <c r="V39" s="24"/>
    </row>
    <row r="40" spans="3:22">
      <c r="C40" s="24"/>
      <c r="D40" s="24"/>
      <c r="E40" s="24"/>
      <c r="F40" s="24"/>
      <c r="G40" s="24"/>
      <c r="H40" s="24"/>
      <c r="I40" s="24"/>
      <c r="J40" s="24"/>
      <c r="K40" s="24"/>
      <c r="L40" s="24"/>
      <c r="M40" s="24"/>
      <c r="O40" s="24"/>
      <c r="P40" s="24"/>
      <c r="Q40" s="24"/>
      <c r="R40" s="24"/>
      <c r="S40" s="24"/>
      <c r="T40" s="24"/>
      <c r="U40" s="24"/>
      <c r="V40" s="24"/>
    </row>
    <row r="43" spans="3:22">
      <c r="C43" s="19"/>
      <c r="D43" s="24"/>
      <c r="E43" s="24"/>
      <c r="F43" s="24"/>
      <c r="G43" s="24"/>
      <c r="H43" s="24"/>
      <c r="I43" s="24"/>
      <c r="J43" s="24"/>
      <c r="K43" s="24"/>
      <c r="L43" s="24"/>
      <c r="M43" s="24"/>
    </row>
    <row r="44" spans="3:22">
      <c r="C44" s="19"/>
      <c r="D44" s="24"/>
      <c r="E44" s="24"/>
      <c r="F44" s="24"/>
      <c r="G44" s="24"/>
      <c r="H44" s="24"/>
      <c r="I44" s="24"/>
      <c r="J44" s="24"/>
      <c r="K44" s="24"/>
      <c r="L44" s="24"/>
      <c r="M44" s="24"/>
      <c r="O44" s="19"/>
      <c r="P44" s="24"/>
      <c r="Q44" s="24"/>
      <c r="R44" s="24"/>
      <c r="S44" s="24"/>
      <c r="T44" s="24"/>
      <c r="U44" s="24"/>
      <c r="V44" s="24"/>
    </row>
    <row r="45" spans="3:22">
      <c r="C45" s="19"/>
      <c r="D45" s="19"/>
      <c r="E45" s="24"/>
      <c r="F45" s="24"/>
      <c r="G45" s="24"/>
      <c r="H45" s="24"/>
      <c r="I45" s="24"/>
      <c r="J45" s="24"/>
      <c r="K45" s="24"/>
      <c r="L45" s="24"/>
      <c r="M45" s="24"/>
      <c r="O45" s="19"/>
      <c r="P45" s="24"/>
      <c r="Q45" s="24"/>
      <c r="R45" s="24"/>
      <c r="S45" s="24"/>
      <c r="T45" s="24"/>
      <c r="U45" s="24"/>
      <c r="V45" s="24"/>
    </row>
    <row r="46" spans="3:22">
      <c r="C46" s="24"/>
      <c r="D46" s="24"/>
      <c r="E46" s="24"/>
      <c r="F46" s="24"/>
      <c r="G46" s="24"/>
      <c r="H46" s="24"/>
      <c r="I46" s="24"/>
      <c r="J46" s="24"/>
      <c r="K46" s="24"/>
      <c r="L46" s="24"/>
      <c r="M46" s="24"/>
      <c r="O46" s="24"/>
      <c r="P46" s="24"/>
      <c r="Q46" s="24"/>
      <c r="R46" s="24"/>
      <c r="S46" s="24"/>
      <c r="T46" s="24"/>
      <c r="U46" s="24"/>
      <c r="V46" s="24"/>
    </row>
    <row r="47" spans="3:22">
      <c r="C47" s="24"/>
      <c r="D47" s="24"/>
      <c r="E47" s="24"/>
      <c r="F47" s="24"/>
      <c r="G47" s="24"/>
      <c r="H47" s="24"/>
      <c r="I47" s="24"/>
      <c r="J47" s="24"/>
      <c r="K47" s="24"/>
      <c r="L47" s="24"/>
      <c r="M47" s="24"/>
      <c r="O47" s="24"/>
      <c r="P47" s="24"/>
      <c r="Q47" s="24"/>
      <c r="R47" s="24"/>
      <c r="S47" s="24"/>
      <c r="T47" s="24"/>
      <c r="U47" s="24"/>
      <c r="V47" s="24"/>
    </row>
    <row r="48" spans="3:22">
      <c r="C48" s="24"/>
      <c r="D48" s="24"/>
      <c r="E48" s="24"/>
      <c r="F48" s="24"/>
      <c r="G48" s="24"/>
      <c r="H48" s="24"/>
      <c r="I48" s="24"/>
      <c r="J48" s="24"/>
      <c r="K48" s="24"/>
      <c r="L48" s="24"/>
      <c r="M48" s="24"/>
      <c r="O48" s="24"/>
      <c r="P48" s="24"/>
      <c r="Q48" s="24"/>
      <c r="R48" s="24"/>
      <c r="S48" s="24"/>
      <c r="T48" s="24"/>
      <c r="U48" s="24"/>
      <c r="V48" s="24"/>
    </row>
    <row r="49" spans="3:25">
      <c r="C49" s="24"/>
      <c r="D49" s="24"/>
      <c r="E49" s="24"/>
      <c r="F49" s="24"/>
      <c r="G49" s="24"/>
      <c r="H49" s="24"/>
      <c r="I49" s="24"/>
      <c r="J49" s="24"/>
      <c r="K49" s="24"/>
      <c r="L49" s="24"/>
      <c r="M49" s="24"/>
      <c r="O49" s="24"/>
      <c r="P49" s="24"/>
      <c r="Q49" s="24"/>
      <c r="R49" s="24"/>
      <c r="S49" s="24"/>
      <c r="T49" s="24"/>
      <c r="U49" s="24"/>
      <c r="V49" s="24"/>
      <c r="W49" s="24"/>
      <c r="X49" s="24"/>
      <c r="Y49" s="24"/>
    </row>
    <row r="50" spans="3:25">
      <c r="C50" s="24"/>
      <c r="D50" s="24"/>
      <c r="E50" s="24"/>
      <c r="F50" s="24"/>
      <c r="G50" s="24"/>
      <c r="H50" s="24"/>
      <c r="I50" s="24"/>
      <c r="J50" s="24"/>
      <c r="K50" s="24"/>
      <c r="L50" s="24"/>
      <c r="M50" s="24"/>
      <c r="O50" s="24"/>
      <c r="P50" s="24"/>
      <c r="Q50" s="24"/>
      <c r="R50" s="24"/>
      <c r="S50" s="24"/>
      <c r="T50" s="24"/>
      <c r="U50" s="24"/>
      <c r="V50" s="24"/>
      <c r="W50" s="24"/>
      <c r="X50" s="24"/>
      <c r="Y50" s="24"/>
    </row>
    <row r="51" spans="3:25">
      <c r="C51" s="24"/>
      <c r="D51" s="24"/>
      <c r="E51" s="24"/>
      <c r="F51" s="24"/>
      <c r="G51" s="24"/>
      <c r="H51" s="24"/>
      <c r="I51" s="24"/>
      <c r="J51" s="24"/>
      <c r="K51" s="24"/>
      <c r="L51" s="24"/>
      <c r="M51" s="24"/>
      <c r="O51" s="24"/>
      <c r="P51" s="24"/>
      <c r="Q51" s="24"/>
      <c r="R51" s="24"/>
      <c r="S51" s="24"/>
      <c r="T51" s="24"/>
      <c r="U51" s="24"/>
      <c r="V51" s="24"/>
      <c r="W51" s="24"/>
      <c r="X51" s="24"/>
      <c r="Y51" s="24"/>
    </row>
    <row r="52" spans="3:25">
      <c r="C52" s="24"/>
      <c r="D52" s="24"/>
      <c r="E52" s="24"/>
      <c r="F52" s="24"/>
      <c r="G52" s="24"/>
      <c r="H52" s="24"/>
      <c r="I52" s="24"/>
      <c r="J52" s="24"/>
      <c r="K52" s="24"/>
      <c r="L52" s="24"/>
      <c r="M52" s="24"/>
      <c r="O52" s="24"/>
      <c r="P52" s="24"/>
      <c r="Q52" s="24"/>
      <c r="R52" s="24"/>
      <c r="S52" s="24"/>
      <c r="T52" s="24"/>
      <c r="U52" s="24"/>
      <c r="V52" s="24"/>
      <c r="W52" s="24"/>
      <c r="X52" s="24"/>
      <c r="Y52" s="24"/>
    </row>
    <row r="53" spans="3:25">
      <c r="C53" s="24"/>
      <c r="D53" s="24"/>
      <c r="E53" s="24"/>
      <c r="F53" s="24"/>
      <c r="G53" s="24"/>
      <c r="H53" s="24"/>
      <c r="I53" s="24"/>
      <c r="J53" s="24"/>
      <c r="K53" s="24"/>
      <c r="L53" s="24"/>
      <c r="M53" s="24"/>
      <c r="O53" s="24"/>
      <c r="P53" s="24"/>
      <c r="Q53" s="24"/>
      <c r="R53" s="24"/>
      <c r="S53" s="24"/>
      <c r="T53" s="24"/>
      <c r="U53" s="24"/>
      <c r="V53" s="24"/>
      <c r="W53" s="24"/>
      <c r="X53" s="24"/>
      <c r="Y53" s="24"/>
    </row>
    <row r="54" spans="3:25">
      <c r="C54" s="24"/>
      <c r="D54" s="24"/>
      <c r="E54" s="24"/>
      <c r="F54" s="24"/>
      <c r="G54" s="24"/>
      <c r="H54" s="24"/>
      <c r="I54" s="24"/>
      <c r="J54" s="24"/>
      <c r="K54" s="24"/>
      <c r="L54" s="24"/>
      <c r="M54" s="24"/>
      <c r="O54" s="24"/>
      <c r="P54" s="24"/>
      <c r="Q54" s="24"/>
      <c r="R54" s="24"/>
      <c r="S54" s="24"/>
      <c r="T54" s="24"/>
      <c r="U54" s="24"/>
      <c r="V54" s="24"/>
      <c r="W54" s="24"/>
      <c r="X54" s="24"/>
      <c r="Y54" s="24"/>
    </row>
    <row r="55" spans="3:25">
      <c r="C55" s="24"/>
      <c r="D55" s="24"/>
      <c r="E55" s="24"/>
      <c r="F55" s="24"/>
      <c r="G55" s="24"/>
      <c r="H55" s="24"/>
      <c r="I55" s="24"/>
      <c r="J55" s="24"/>
      <c r="K55" s="24"/>
      <c r="L55" s="24"/>
      <c r="M55" s="24"/>
      <c r="O55" s="24"/>
      <c r="P55" s="24"/>
      <c r="Q55" s="24"/>
      <c r="R55" s="24"/>
      <c r="S55" s="24"/>
      <c r="T55" s="24"/>
      <c r="U55" s="24"/>
      <c r="V55" s="24"/>
      <c r="W55" s="24"/>
      <c r="X55" s="24"/>
      <c r="Y55" s="24"/>
    </row>
    <row r="56" spans="3:25">
      <c r="C56" s="24"/>
      <c r="D56" s="24"/>
      <c r="E56" s="24"/>
      <c r="F56" s="24"/>
      <c r="G56" s="24"/>
      <c r="H56" s="24"/>
      <c r="I56" s="24"/>
      <c r="J56" s="24"/>
      <c r="K56" s="24"/>
      <c r="L56" s="24"/>
      <c r="M56" s="24"/>
      <c r="O56" s="24"/>
      <c r="P56" s="24"/>
      <c r="Q56" s="24"/>
      <c r="R56" s="24"/>
      <c r="S56" s="24"/>
      <c r="T56" s="24"/>
      <c r="U56" s="24"/>
      <c r="V56" s="24"/>
      <c r="W56" s="24"/>
      <c r="X56" s="24"/>
      <c r="Y56" s="24"/>
    </row>
    <row r="57" spans="3:25">
      <c r="C57" s="24"/>
      <c r="D57" s="24"/>
      <c r="E57" s="24"/>
      <c r="F57" s="24"/>
      <c r="G57" s="24"/>
      <c r="H57" s="24"/>
      <c r="I57" s="24"/>
      <c r="J57" s="24"/>
      <c r="K57" s="24"/>
      <c r="L57" s="24"/>
      <c r="M57" s="24"/>
      <c r="O57" s="24"/>
      <c r="P57" s="24"/>
      <c r="Q57" s="24"/>
      <c r="R57" s="24"/>
      <c r="S57" s="24"/>
      <c r="T57" s="24"/>
      <c r="U57" s="24"/>
      <c r="V57" s="24"/>
      <c r="W57" s="24"/>
      <c r="X57" s="24"/>
      <c r="Y57" s="24"/>
    </row>
    <row r="58" spans="3:25">
      <c r="C58" s="24"/>
      <c r="D58" s="24"/>
      <c r="E58" s="24"/>
      <c r="F58" s="24"/>
      <c r="G58" s="24"/>
      <c r="H58" s="24"/>
      <c r="I58" s="24"/>
      <c r="J58" s="24"/>
      <c r="K58" s="24"/>
      <c r="L58" s="24"/>
      <c r="M58" s="24"/>
      <c r="O58" s="24"/>
      <c r="P58" s="24"/>
      <c r="Q58" s="24"/>
      <c r="R58" s="24"/>
      <c r="S58" s="24"/>
      <c r="T58" s="24"/>
      <c r="U58" s="24"/>
      <c r="V58" s="24"/>
      <c r="W58" s="24"/>
      <c r="X58" s="24"/>
      <c r="Y58" s="24"/>
    </row>
    <row r="59" spans="3:25">
      <c r="C59" s="24"/>
      <c r="D59" s="24"/>
      <c r="E59" s="24"/>
      <c r="F59" s="24"/>
      <c r="G59" s="24"/>
      <c r="H59" s="24"/>
      <c r="I59" s="24"/>
      <c r="J59" s="24"/>
      <c r="K59" s="24"/>
      <c r="L59" s="24"/>
      <c r="M59" s="24"/>
      <c r="O59" s="24"/>
      <c r="P59" s="24"/>
      <c r="Q59" s="24"/>
      <c r="R59" s="24"/>
      <c r="S59" s="24"/>
      <c r="T59" s="24"/>
      <c r="U59" s="24"/>
      <c r="V59" s="24"/>
      <c r="W59" s="24"/>
      <c r="X59" s="24"/>
      <c r="Y59" s="24"/>
    </row>
    <row r="60" spans="3:25">
      <c r="C60" s="24"/>
      <c r="D60" s="24"/>
      <c r="E60" s="24"/>
      <c r="F60" s="24"/>
      <c r="G60" s="24"/>
      <c r="H60" s="24"/>
      <c r="I60" s="24"/>
      <c r="J60" s="24"/>
      <c r="K60" s="24"/>
      <c r="L60" s="24"/>
      <c r="M60" s="24"/>
      <c r="O60" s="24"/>
      <c r="P60" s="24"/>
      <c r="Q60" s="24"/>
      <c r="R60" s="24"/>
      <c r="S60" s="24"/>
      <c r="T60" s="24"/>
      <c r="U60" s="24"/>
      <c r="V60" s="24"/>
      <c r="W60" s="24"/>
      <c r="X60" s="24"/>
      <c r="Y60" s="24"/>
    </row>
    <row r="61" spans="3:25">
      <c r="C61" s="24"/>
      <c r="D61" s="24"/>
      <c r="E61" s="24"/>
      <c r="F61" s="24"/>
      <c r="G61" s="24"/>
      <c r="H61" s="24"/>
      <c r="I61" s="24"/>
      <c r="J61" s="24"/>
      <c r="K61" s="24"/>
      <c r="L61" s="24"/>
      <c r="M61" s="24"/>
      <c r="O61" s="24"/>
      <c r="P61" s="24"/>
      <c r="Q61" s="24"/>
      <c r="R61" s="24"/>
      <c r="S61" s="24"/>
      <c r="T61" s="24"/>
      <c r="U61" s="24"/>
      <c r="V61" s="24"/>
      <c r="W61" s="24"/>
      <c r="X61" s="24"/>
      <c r="Y61" s="24"/>
    </row>
    <row r="62" spans="3:25">
      <c r="C62" s="24"/>
      <c r="D62" s="24"/>
      <c r="E62" s="24"/>
      <c r="F62" s="24"/>
      <c r="G62" s="24"/>
      <c r="H62" s="24"/>
      <c r="I62" s="24"/>
      <c r="J62" s="24"/>
      <c r="K62" s="24"/>
      <c r="L62" s="24"/>
      <c r="M62" s="24"/>
      <c r="O62" s="24"/>
      <c r="P62" s="24"/>
      <c r="Q62" s="24"/>
      <c r="R62" s="24"/>
      <c r="S62" s="24"/>
      <c r="T62" s="24"/>
      <c r="U62" s="24"/>
      <c r="V62" s="24"/>
      <c r="W62" s="24"/>
      <c r="X62" s="24"/>
      <c r="Y62" s="24"/>
    </row>
    <row r="65" spans="1:23">
      <c r="C65" s="19" t="s">
        <v>375</v>
      </c>
    </row>
    <row r="66" spans="1:23">
      <c r="C66" s="24" t="s">
        <v>268</v>
      </c>
      <c r="D66" s="24"/>
      <c r="E66" s="24"/>
      <c r="F66" s="24"/>
      <c r="G66" s="24"/>
      <c r="H66" s="24"/>
      <c r="I66" s="24"/>
      <c r="J66" s="24"/>
      <c r="K66" s="24"/>
    </row>
    <row r="67" spans="1:23">
      <c r="A67" s="19" t="s">
        <v>419</v>
      </c>
      <c r="C67" s="25" t="s">
        <v>237</v>
      </c>
      <c r="D67" s="24" t="s">
        <v>154</v>
      </c>
      <c r="E67" s="24" t="s">
        <v>155</v>
      </c>
      <c r="F67" s="24" t="s">
        <v>156</v>
      </c>
      <c r="G67" s="24" t="s">
        <v>159</v>
      </c>
      <c r="H67" s="24" t="s">
        <v>238</v>
      </c>
      <c r="I67" s="24" t="s">
        <v>157</v>
      </c>
      <c r="J67" s="24" t="s">
        <v>160</v>
      </c>
      <c r="K67" s="24" t="s">
        <v>265</v>
      </c>
      <c r="M67" s="25" t="s">
        <v>237</v>
      </c>
      <c r="N67" s="24" t="s">
        <v>154</v>
      </c>
      <c r="O67" s="24" t="s">
        <v>155</v>
      </c>
      <c r="P67" s="24" t="s">
        <v>156</v>
      </c>
      <c r="Q67" s="24" t="s">
        <v>159</v>
      </c>
      <c r="R67" s="24" t="s">
        <v>238</v>
      </c>
      <c r="S67" s="24" t="s">
        <v>157</v>
      </c>
      <c r="T67" s="24" t="s">
        <v>160</v>
      </c>
      <c r="U67" s="24" t="s">
        <v>265</v>
      </c>
      <c r="V67" s="24" t="s">
        <v>239</v>
      </c>
      <c r="W67" s="24" t="s">
        <v>240</v>
      </c>
    </row>
    <row r="68" spans="1:23">
      <c r="C68" s="24">
        <v>0</v>
      </c>
      <c r="D68" s="24">
        <v>0.90009528567253816</v>
      </c>
      <c r="E68" s="24">
        <v>4.0812175960493775</v>
      </c>
      <c r="F68" s="24">
        <v>289.0145490934139</v>
      </c>
      <c r="G68" s="24">
        <v>1.4304723739624023</v>
      </c>
      <c r="H68" s="24">
        <v>27.19063146916152</v>
      </c>
      <c r="I68" s="24">
        <v>21.370198112557944</v>
      </c>
      <c r="J68" s="24">
        <v>28.015892028808594</v>
      </c>
      <c r="K68" s="24">
        <v>0.62432634830474854</v>
      </c>
      <c r="M68" s="24">
        <v>0</v>
      </c>
      <c r="N68" s="24">
        <v>0.90444127194655177</v>
      </c>
      <c r="O68" s="24">
        <v>4.0996014590946448</v>
      </c>
      <c r="P68" s="24">
        <v>290.48991390343446</v>
      </c>
      <c r="Q68" s="24">
        <v>1.4296181201934814</v>
      </c>
      <c r="R68" s="24">
        <v>27.186517791986642</v>
      </c>
      <c r="S68" s="24">
        <v>21.399581984681983</v>
      </c>
      <c r="T68" s="24">
        <v>28.060892105102539</v>
      </c>
      <c r="U68" s="24">
        <v>0.62564467227676612</v>
      </c>
      <c r="V68" s="24">
        <v>3.3465640884570163</v>
      </c>
      <c r="W68" s="24">
        <v>8.2727383703702717</v>
      </c>
    </row>
    <row r="69" spans="1:23">
      <c r="C69" s="24">
        <v>0.25</v>
      </c>
      <c r="D69" s="24">
        <v>1.0308610487470646</v>
      </c>
      <c r="E69" s="24">
        <v>3.4782268881645675</v>
      </c>
      <c r="F69" s="24">
        <v>241.5641907633001</v>
      </c>
      <c r="G69" s="24">
        <v>1.4585952758789062</v>
      </c>
      <c r="H69" s="24">
        <v>27.325560080497588</v>
      </c>
      <c r="I69" s="24">
        <v>20.27625822625782</v>
      </c>
      <c r="J69" s="24">
        <v>26.396194458007813</v>
      </c>
      <c r="K69" s="24">
        <v>0.48244553804397583</v>
      </c>
      <c r="M69" s="24">
        <v>0.25</v>
      </c>
      <c r="N69" s="24">
        <v>1.1929982256968894</v>
      </c>
      <c r="O69" s="24">
        <v>4.0948216547028293</v>
      </c>
      <c r="P69" s="24">
        <v>290.10615294538491</v>
      </c>
      <c r="Q69" s="24">
        <v>1.4298402070999146</v>
      </c>
      <c r="R69" s="24">
        <v>27.187587348052119</v>
      </c>
      <c r="S69" s="24">
        <v>21.391950727462429</v>
      </c>
      <c r="T69" s="24">
        <v>28.049196243286133</v>
      </c>
      <c r="U69" s="24">
        <v>0.63643303810866869</v>
      </c>
      <c r="V69" s="24">
        <v>3.3816289181790227</v>
      </c>
      <c r="W69" s="24">
        <v>7.1145549985184902</v>
      </c>
    </row>
    <row r="70" spans="1:23">
      <c r="C70" s="24">
        <v>0.5</v>
      </c>
      <c r="D70" s="24">
        <v>1.1752672454917545</v>
      </c>
      <c r="E70" s="24">
        <v>2.8930415644345731</v>
      </c>
      <c r="F70" s="24">
        <v>197.20765556813885</v>
      </c>
      <c r="G70" s="24">
        <v>1.4860737323760986</v>
      </c>
      <c r="H70" s="24">
        <v>27.456504458367203</v>
      </c>
      <c r="I70" s="24">
        <v>18.891061611901979</v>
      </c>
      <c r="J70" s="24">
        <v>24.475484848022461</v>
      </c>
      <c r="K70" s="24">
        <v>0.36160415410995483</v>
      </c>
      <c r="M70" s="24">
        <v>0.5</v>
      </c>
      <c r="N70" s="24">
        <v>1.5222688410654095</v>
      </c>
      <c r="O70" s="24">
        <v>4.0423320489359726</v>
      </c>
      <c r="P70" s="24">
        <v>285.89953828207848</v>
      </c>
      <c r="Q70" s="24">
        <v>1.4322801828384399</v>
      </c>
      <c r="R70" s="24">
        <v>27.199332719121838</v>
      </c>
      <c r="S70" s="24">
        <v>21.307708108113253</v>
      </c>
      <c r="T70" s="24">
        <v>27.920495986938477</v>
      </c>
      <c r="U70" s="24">
        <v>0.62796798723405878</v>
      </c>
      <c r="V70" s="24">
        <v>3.2683724374355343</v>
      </c>
      <c r="W70" s="24">
        <v>5.9446059543176313</v>
      </c>
    </row>
    <row r="71" spans="1:23">
      <c r="C71" s="24">
        <v>0.75</v>
      </c>
      <c r="D71" s="24">
        <v>1.3447266815273917</v>
      </c>
      <c r="E71" s="24">
        <v>2.342057321685981</v>
      </c>
      <c r="F71" s="24">
        <v>156.89973515351213</v>
      </c>
      <c r="G71" s="24">
        <v>1.5121147632598877</v>
      </c>
      <c r="H71" s="24">
        <v>27.579795808913726</v>
      </c>
      <c r="I71" s="24">
        <v>17.176616551132135</v>
      </c>
      <c r="J71" s="24">
        <v>22.256792068481445</v>
      </c>
      <c r="K71" s="24">
        <v>0.28168445825576782</v>
      </c>
      <c r="M71" s="24">
        <v>0.75</v>
      </c>
      <c r="N71" s="24">
        <v>2.0474147015758315</v>
      </c>
      <c r="O71" s="24">
        <v>4.0706900210439629</v>
      </c>
      <c r="P71" s="24">
        <v>288.17045396726536</v>
      </c>
      <c r="Q71" s="24">
        <v>1.4309617280960083</v>
      </c>
      <c r="R71" s="24">
        <v>27.192987178889123</v>
      </c>
      <c r="S71" s="24">
        <v>21.353764203114107</v>
      </c>
      <c r="T71" s="24">
        <v>27.990793228149414</v>
      </c>
      <c r="U71" s="24">
        <v>0.6257972896528694</v>
      </c>
      <c r="V71" s="24">
        <v>3.380186337594322</v>
      </c>
      <c r="W71" s="3">
        <v>4.7953154698161855</v>
      </c>
    </row>
    <row r="72" spans="1:23">
      <c r="C72" s="24">
        <v>1</v>
      </c>
      <c r="D72" s="24">
        <v>1.525058262809335</v>
      </c>
      <c r="E72" s="24">
        <v>1.8227776440271113</v>
      </c>
      <c r="F72" s="24">
        <v>120.14992958708035</v>
      </c>
      <c r="G72" s="24">
        <v>1.5368080139160156</v>
      </c>
      <c r="H72" s="24">
        <v>27.695992766653472</v>
      </c>
      <c r="I72" s="24">
        <v>15.051310068862149</v>
      </c>
      <c r="J72" s="24">
        <v>19.69708251953125</v>
      </c>
      <c r="K72" s="24">
        <v>0.21380375325679779</v>
      </c>
      <c r="M72" s="19" t="s">
        <v>376</v>
      </c>
    </row>
    <row r="73" spans="1:23">
      <c r="C73" s="24">
        <v>1.25</v>
      </c>
      <c r="D73" s="24">
        <v>1.7246968179567701</v>
      </c>
      <c r="E73" s="24">
        <v>1.3632576503106477</v>
      </c>
      <c r="F73" s="24">
        <v>88.593522004339789</v>
      </c>
      <c r="G73" s="24">
        <v>1.5587821006774902</v>
      </c>
      <c r="H73" s="24">
        <v>27.798817559511086</v>
      </c>
      <c r="I73" s="24">
        <v>12.599629464250677</v>
      </c>
      <c r="J73" s="24">
        <v>16.950334548950195</v>
      </c>
      <c r="K73" s="24">
        <v>0.16644734144210815</v>
      </c>
    </row>
    <row r="74" spans="1:23">
      <c r="C74" s="24">
        <v>1.5</v>
      </c>
      <c r="D74" s="24">
        <v>1.934840754555309</v>
      </c>
      <c r="E74" s="24">
        <v>0.97794395963868042</v>
      </c>
      <c r="F74" s="24">
        <v>62.807275087476512</v>
      </c>
      <c r="G74" s="24">
        <v>1.5772969722747803</v>
      </c>
      <c r="H74" s="24">
        <v>27.885037530285619</v>
      </c>
      <c r="I74" s="24">
        <v>9.989881175581818</v>
      </c>
      <c r="J74" s="24">
        <v>14.220538139343262</v>
      </c>
      <c r="K74" s="24">
        <v>0.13463509082794189</v>
      </c>
    </row>
    <row r="75" spans="1:23">
      <c r="C75" s="24">
        <v>1.75</v>
      </c>
      <c r="D75" s="24">
        <v>2.1297758232999011</v>
      </c>
      <c r="E75" s="24">
        <v>0.63318434168605986</v>
      </c>
      <c r="F75" s="24">
        <v>40.241088836952471</v>
      </c>
      <c r="G75" s="24">
        <v>1.5939323902130127</v>
      </c>
      <c r="H75" s="24">
        <v>27.962182892373001</v>
      </c>
      <c r="I75" s="24">
        <v>7.1037299432914915</v>
      </c>
      <c r="J75" s="24">
        <v>11.39268684387207</v>
      </c>
      <c r="K75" s="24">
        <v>0.10576100647449493</v>
      </c>
    </row>
    <row r="76" spans="1:23">
      <c r="C76" s="24">
        <v>2</v>
      </c>
      <c r="D76" s="24">
        <v>2.3448565705971971</v>
      </c>
      <c r="E76" s="24">
        <v>0.39512070120868137</v>
      </c>
      <c r="F76" s="24">
        <v>24.931036527691006</v>
      </c>
      <c r="G76" s="24">
        <v>1.6054577827453613</v>
      </c>
      <c r="H76" s="24">
        <v>28.01545335906377</v>
      </c>
      <c r="I76" s="24">
        <v>4.7377425785952552</v>
      </c>
      <c r="J76" s="24">
        <v>9.2018356323242187</v>
      </c>
      <c r="K76" s="24">
        <v>9.3361452221870422E-2</v>
      </c>
    </row>
    <row r="77" spans="1:23">
      <c r="C77" s="24">
        <v>2.25</v>
      </c>
      <c r="D77" s="24">
        <v>2.5450865811651049</v>
      </c>
      <c r="E77" s="24">
        <v>0.21866444452772113</v>
      </c>
      <c r="F77" s="24">
        <v>13.723929084668766</v>
      </c>
      <c r="G77" s="24">
        <v>1.6140209436416626</v>
      </c>
      <c r="H77" s="24">
        <v>28.054938209102403</v>
      </c>
      <c r="I77" s="24">
        <v>2.7574231894197738</v>
      </c>
      <c r="J77" s="24">
        <v>7.4458880424499512</v>
      </c>
      <c r="K77" s="24">
        <v>8.3876319229602814E-2</v>
      </c>
    </row>
    <row r="78" spans="1:23">
      <c r="C78" s="24">
        <v>2.5</v>
      </c>
      <c r="D78" s="24">
        <v>2.774936530041844</v>
      </c>
      <c r="E78" s="24">
        <v>0.11810193913962869</v>
      </c>
      <c r="F78" s="24">
        <v>7.3899943748021251</v>
      </c>
      <c r="G78" s="24">
        <v>1.6189087629318237</v>
      </c>
      <c r="H78" s="24">
        <v>28.077440644093631</v>
      </c>
      <c r="I78" s="24">
        <v>1.5332832972598667</v>
      </c>
      <c r="J78" s="24">
        <v>6.3929839134216309</v>
      </c>
      <c r="K78" s="24">
        <v>7.6104030013084412E-2</v>
      </c>
    </row>
    <row r="79" spans="1:23">
      <c r="C79" s="24">
        <v>2.75</v>
      </c>
      <c r="D79" s="24">
        <v>2.9849180617040791</v>
      </c>
      <c r="E79" s="24">
        <v>5.4279174049021384E-2</v>
      </c>
      <c r="F79" s="24">
        <v>3.3899097982648949</v>
      </c>
      <c r="G79" s="24">
        <v>1.6220138072967529</v>
      </c>
      <c r="H79" s="24">
        <v>28.091721986994436</v>
      </c>
      <c r="I79" s="24">
        <v>0.71819105702717001</v>
      </c>
      <c r="J79" s="24">
        <v>5.7049360275268555</v>
      </c>
      <c r="K79" s="24">
        <v>5.8390222489833832E-2</v>
      </c>
    </row>
    <row r="80" spans="1:23">
      <c r="C80" s="24">
        <v>3</v>
      </c>
      <c r="D80" s="24">
        <v>3.1552091256537369</v>
      </c>
      <c r="E80" s="24">
        <v>1.8267493652600546E-2</v>
      </c>
      <c r="F80" s="24">
        <v>1.1396323416889067</v>
      </c>
      <c r="G80" s="24">
        <v>1.6237667798995972</v>
      </c>
      <c r="H80" s="24">
        <v>28.099780164283459</v>
      </c>
      <c r="I80" s="24">
        <v>0.25799647786803565</v>
      </c>
      <c r="J80" s="24">
        <v>5.3209776878356934</v>
      </c>
      <c r="K80" s="24">
        <v>7.096584141254425E-2</v>
      </c>
    </row>
    <row r="81" spans="1:18">
      <c r="C81" s="24">
        <v>3.25</v>
      </c>
      <c r="D81" s="24">
        <v>3.4294849487738759</v>
      </c>
      <c r="E81" s="24">
        <v>7.8794927449815418E-3</v>
      </c>
      <c r="F81" s="24">
        <v>0.4914154403444464</v>
      </c>
      <c r="G81" s="24">
        <v>1.6242725849151611</v>
      </c>
      <c r="H81" s="24">
        <v>28.102104642121496</v>
      </c>
      <c r="I81" s="24">
        <v>0.30870514764679041</v>
      </c>
      <c r="J81" s="24">
        <v>5.363980770111084</v>
      </c>
      <c r="K81" s="24">
        <v>2.54985261708498E-2</v>
      </c>
    </row>
    <row r="82" spans="1:18">
      <c r="C82" s="24">
        <v>3.5</v>
      </c>
      <c r="D82" s="24">
        <v>3.6150663255895497</v>
      </c>
      <c r="E82" s="24">
        <v>1.9198543563310705E-3</v>
      </c>
      <c r="F82" s="24">
        <v>0.11971297748473123</v>
      </c>
      <c r="G82" s="24">
        <v>1.6245627403259277</v>
      </c>
      <c r="H82" s="24">
        <v>28.1034382045153</v>
      </c>
      <c r="I82" s="24">
        <v>0.24847522214848347</v>
      </c>
      <c r="J82" s="24">
        <v>5.3139867782592773</v>
      </c>
      <c r="K82" s="24">
        <v>7.707446813583374E-3</v>
      </c>
    </row>
    <row r="83" spans="1:18">
      <c r="C83" s="24">
        <v>3.75</v>
      </c>
      <c r="D83" s="24">
        <v>3.8547328141844952</v>
      </c>
      <c r="E83" s="24">
        <v>5.0991003523920937E-4</v>
      </c>
      <c r="F83" s="24">
        <v>3.1794218412228847E-2</v>
      </c>
      <c r="G83" s="24">
        <v>1.624631404876709</v>
      </c>
      <c r="H83" s="24">
        <v>28.103753701631287</v>
      </c>
      <c r="I83" s="24">
        <v>0.26991624654463775</v>
      </c>
      <c r="J83" s="24">
        <v>5.3319864273071289</v>
      </c>
      <c r="K83" s="24">
        <v>1.8856110982596874E-3</v>
      </c>
    </row>
    <row r="84" spans="1:18">
      <c r="C84" s="24">
        <v>4</v>
      </c>
      <c r="D84" s="24">
        <v>4.054828373331941</v>
      </c>
      <c r="E84" s="24">
        <v>7.219965100732188E-5</v>
      </c>
      <c r="F84" s="24">
        <v>4.5017771701230027E-3</v>
      </c>
      <c r="G84" s="24">
        <v>1.6246527433395386</v>
      </c>
      <c r="H84" s="24">
        <v>28.103851646182569</v>
      </c>
      <c r="I84" s="24">
        <v>0.28663250562522935</v>
      </c>
      <c r="J84" s="24">
        <v>5.3459858894348145</v>
      </c>
      <c r="K84" s="24">
        <v>2.5152525631710887E-4</v>
      </c>
    </row>
    <row r="87" spans="1:18">
      <c r="C87" s="24"/>
      <c r="D87" s="19" t="s">
        <v>281</v>
      </c>
      <c r="E87" s="24"/>
      <c r="F87" s="24"/>
      <c r="G87" s="24"/>
      <c r="H87" s="24"/>
    </row>
    <row r="88" spans="1:18">
      <c r="A88" s="19" t="s">
        <v>420</v>
      </c>
      <c r="C88" s="24" t="s">
        <v>276</v>
      </c>
      <c r="D88" s="24">
        <v>25</v>
      </c>
      <c r="E88" s="19"/>
      <c r="F88" s="24"/>
      <c r="G88" s="24"/>
      <c r="H88" s="24"/>
    </row>
    <row r="89" spans="1:18">
      <c r="C89" s="19" t="s">
        <v>243</v>
      </c>
      <c r="D89" s="24">
        <v>100</v>
      </c>
      <c r="E89" s="24"/>
      <c r="F89" s="24"/>
      <c r="G89" s="24"/>
      <c r="H89" s="24"/>
    </row>
    <row r="90" spans="1:18">
      <c r="C90" s="19" t="s">
        <v>232</v>
      </c>
      <c r="D90" s="24">
        <v>452</v>
      </c>
      <c r="E90" s="24"/>
      <c r="F90" s="24"/>
      <c r="G90" s="24"/>
      <c r="H90" s="19" t="s">
        <v>377</v>
      </c>
    </row>
    <row r="91" spans="1:18">
      <c r="C91" s="19" t="s">
        <v>148</v>
      </c>
      <c r="D91" s="26" t="s">
        <v>93</v>
      </c>
      <c r="E91" s="26">
        <v>0.1</v>
      </c>
      <c r="F91" s="19" t="s">
        <v>265</v>
      </c>
      <c r="H91" s="19" t="s">
        <v>148</v>
      </c>
      <c r="I91" s="24" t="s">
        <v>154</v>
      </c>
      <c r="J91" s="24" t="s">
        <v>155</v>
      </c>
      <c r="K91" s="24" t="s">
        <v>156</v>
      </c>
      <c r="L91" s="24" t="s">
        <v>159</v>
      </c>
      <c r="M91" s="24" t="s">
        <v>157</v>
      </c>
      <c r="N91" s="24" t="s">
        <v>279</v>
      </c>
      <c r="O91" s="24" t="s">
        <v>160</v>
      </c>
      <c r="P91" s="24" t="s">
        <v>280</v>
      </c>
      <c r="Q91" s="24" t="s">
        <v>265</v>
      </c>
      <c r="R91" s="27"/>
    </row>
    <row r="92" spans="1:18">
      <c r="C92" s="24">
        <v>15</v>
      </c>
      <c r="D92" s="24" t="s">
        <v>156</v>
      </c>
      <c r="E92" s="24">
        <v>737.06626066024114</v>
      </c>
      <c r="F92" s="24">
        <v>1.542919397354126</v>
      </c>
      <c r="H92" s="19">
        <v>15</v>
      </c>
      <c r="I92" s="24">
        <v>0.86983216116124351</v>
      </c>
      <c r="J92" s="24">
        <v>3.9525305547325047</v>
      </c>
      <c r="K92" s="24">
        <v>746.36104645966168</v>
      </c>
      <c r="L92" s="24">
        <v>0.53645798785138299</v>
      </c>
      <c r="M92" s="24">
        <v>9.1147396628375716</v>
      </c>
      <c r="N92" s="24">
        <v>10.770363785202598</v>
      </c>
      <c r="O92" s="24">
        <v>13.020894050598145</v>
      </c>
      <c r="P92" s="24">
        <v>27.219427227283909</v>
      </c>
      <c r="Q92" s="24">
        <v>1.6861025605319215</v>
      </c>
    </row>
    <row r="93" spans="1:18">
      <c r="C93" s="24">
        <v>20</v>
      </c>
      <c r="D93" s="24" t="s">
        <v>156</v>
      </c>
      <c r="E93" s="24">
        <v>709.52766444433814</v>
      </c>
      <c r="H93" s="19">
        <v>20</v>
      </c>
      <c r="I93" s="24">
        <v>1.0151685943196853</v>
      </c>
      <c r="J93" s="24">
        <v>4.5591980352263315</v>
      </c>
      <c r="K93" s="24">
        <v>908.57966898737345</v>
      </c>
      <c r="L93" s="24">
        <v>0.50831729647127477</v>
      </c>
      <c r="M93" s="24">
        <v>13.51331258122425</v>
      </c>
      <c r="N93" s="24">
        <v>15.061389773388839</v>
      </c>
      <c r="O93" s="24">
        <v>17.589893341064453</v>
      </c>
      <c r="P93" s="24">
        <v>27.083675879418127</v>
      </c>
      <c r="Q93" s="24">
        <v>1.5866826173390696</v>
      </c>
      <c r="R93" s="24"/>
    </row>
    <row r="94" spans="1:18">
      <c r="C94" s="24">
        <v>25</v>
      </c>
      <c r="D94" s="24" t="s">
        <v>156</v>
      </c>
      <c r="E94" s="24">
        <v>682.49713870796199</v>
      </c>
      <c r="H94" s="19">
        <v>25</v>
      </c>
      <c r="I94" s="24">
        <v>1.0932062092477011</v>
      </c>
      <c r="J94" s="24">
        <v>4.871723706995879</v>
      </c>
      <c r="K94" s="24">
        <v>999.20839692847437</v>
      </c>
      <c r="L94" s="24">
        <v>0.49389658156966909</v>
      </c>
      <c r="M94" s="24">
        <v>17.360415161038084</v>
      </c>
      <c r="N94" s="24">
        <v>18.772071864857473</v>
      </c>
      <c r="O94" s="24">
        <v>22.184892654418945</v>
      </c>
      <c r="P94" s="24">
        <v>27.013743366881211</v>
      </c>
      <c r="Q94" s="24">
        <v>1.5835176017616863</v>
      </c>
      <c r="R94" s="24"/>
    </row>
    <row r="95" spans="1:18">
      <c r="C95" s="24">
        <v>30</v>
      </c>
      <c r="D95" s="24" t="s">
        <v>156</v>
      </c>
      <c r="E95" s="24">
        <v>651.58604778063079</v>
      </c>
      <c r="H95" s="19">
        <v>30</v>
      </c>
      <c r="I95" s="24">
        <v>1.0838897430857344</v>
      </c>
      <c r="J95" s="24">
        <v>4.8349559809053444</v>
      </c>
      <c r="K95" s="24">
        <v>988.27777707274629</v>
      </c>
      <c r="L95" s="24">
        <v>0.49559046275069585</v>
      </c>
      <c r="M95" s="24">
        <v>20.534323096142991</v>
      </c>
      <c r="N95" s="24">
        <v>21.897132528290207</v>
      </c>
      <c r="O95" s="24">
        <v>26.632896423339844</v>
      </c>
      <c r="P95" s="24">
        <v>27.021970721297318</v>
      </c>
      <c r="Q95" s="24">
        <v>1.5605503311876294</v>
      </c>
      <c r="R95" s="24"/>
    </row>
    <row r="96" spans="1:18">
      <c r="C96" s="24">
        <v>35</v>
      </c>
      <c r="D96" s="24" t="s">
        <v>156</v>
      </c>
      <c r="E96" s="24">
        <v>625.61156721344628</v>
      </c>
      <c r="H96" s="19">
        <v>35</v>
      </c>
      <c r="I96" s="24">
        <v>1.0469969420262586</v>
      </c>
      <c r="J96" s="24">
        <v>4.6878850765432043</v>
      </c>
      <c r="K96" s="24">
        <v>945.27900804824947</v>
      </c>
      <c r="L96" s="24">
        <v>0.50237311334600943</v>
      </c>
      <c r="M96" s="24">
        <v>23.172327062240402</v>
      </c>
      <c r="N96" s="24">
        <v>24.452312799111237</v>
      </c>
      <c r="O96" s="24">
        <v>31.026910781860352</v>
      </c>
      <c r="P96" s="24">
        <v>27.054880138961749</v>
      </c>
      <c r="Q96" s="24">
        <v>1.552260672617485</v>
      </c>
      <c r="R96" s="24"/>
    </row>
    <row r="97" spans="3:18">
      <c r="C97" s="24">
        <v>40</v>
      </c>
      <c r="D97" s="24" t="s">
        <v>156</v>
      </c>
      <c r="E97" s="24">
        <v>600.10480216056646</v>
      </c>
      <c r="H97" s="19">
        <v>40</v>
      </c>
      <c r="I97" s="24">
        <v>0.97926677264753814</v>
      </c>
      <c r="J97" s="24">
        <v>4.4121271308641923</v>
      </c>
      <c r="K97" s="24">
        <v>867.65664680665918</v>
      </c>
      <c r="L97" s="24">
        <v>0.51512136742281722</v>
      </c>
      <c r="M97" s="24">
        <v>25.288544539487091</v>
      </c>
      <c r="N97" s="24">
        <v>26.498683397075382</v>
      </c>
      <c r="O97" s="24">
        <v>35.276882171630859</v>
      </c>
      <c r="P97" s="24">
        <v>27.116585297082558</v>
      </c>
      <c r="Q97" s="24">
        <v>1.5533507614917197</v>
      </c>
      <c r="R97" s="24"/>
    </row>
    <row r="98" spans="3:18">
      <c r="C98" s="24">
        <v>45</v>
      </c>
      <c r="D98" s="24" t="s">
        <v>156</v>
      </c>
      <c r="E98" s="24">
        <v>570.92225850823752</v>
      </c>
      <c r="H98" s="19">
        <v>45</v>
      </c>
      <c r="I98" s="24">
        <v>0.91315063230943327</v>
      </c>
      <c r="J98" s="24">
        <v>4.1363691851851785</v>
      </c>
      <c r="K98" s="24">
        <v>793.72296832392419</v>
      </c>
      <c r="L98" s="24">
        <v>0.52790988188747456</v>
      </c>
      <c r="M98" s="24">
        <v>27.022348587403421</v>
      </c>
      <c r="N98" s="24">
        <v>28.130684755968073</v>
      </c>
      <c r="O98" s="24">
        <v>39.482906341552734</v>
      </c>
      <c r="P98" s="24">
        <v>27.178290455203367</v>
      </c>
      <c r="Q98" s="24">
        <v>1.5663926804224073</v>
      </c>
      <c r="R98" s="24"/>
    </row>
    <row r="99" spans="3:18">
      <c r="C99" s="24">
        <v>50</v>
      </c>
      <c r="D99" s="24" t="s">
        <v>156</v>
      </c>
      <c r="E99" s="24">
        <v>530.27346062022184</v>
      </c>
      <c r="H99" s="19">
        <v>50</v>
      </c>
      <c r="I99" s="24">
        <v>0.84409864456803441</v>
      </c>
      <c r="J99" s="24">
        <v>3.8422273764608992</v>
      </c>
      <c r="K99" s="24">
        <v>718.65007251670863</v>
      </c>
      <c r="L99" s="24">
        <v>0.54159548314306993</v>
      </c>
      <c r="M99" s="24">
        <v>28.429845145702881</v>
      </c>
      <c r="N99" s="24">
        <v>29.444951661811185</v>
      </c>
      <c r="O99" s="24">
        <v>43.588886260986328</v>
      </c>
      <c r="P99" s="24">
        <v>27.244109290532233</v>
      </c>
      <c r="Q99" s="24">
        <v>1.5739026893151837</v>
      </c>
      <c r="R99" s="24"/>
    </row>
    <row r="100" spans="3:18">
      <c r="C100" s="24">
        <v>55</v>
      </c>
      <c r="D100" s="24" t="s">
        <v>156</v>
      </c>
      <c r="E100" s="24">
        <v>506.45320083117855</v>
      </c>
      <c r="H100" s="19">
        <v>55</v>
      </c>
      <c r="I100" s="24">
        <v>0.78471437344192918</v>
      </c>
      <c r="J100" s="24">
        <v>3.5848532938271545</v>
      </c>
      <c r="K100" s="24">
        <v>655.96145076823802</v>
      </c>
      <c r="L100" s="24">
        <v>0.5536082009688037</v>
      </c>
      <c r="M100" s="24">
        <v>29.609384969337167</v>
      </c>
      <c r="N100" s="24">
        <v>30.520070546364309</v>
      </c>
      <c r="O100" s="24">
        <v>47.683902740478516</v>
      </c>
      <c r="P100" s="24">
        <v>27.301700771444988</v>
      </c>
      <c r="Q100" s="24">
        <v>1.579031045079317</v>
      </c>
      <c r="R100" s="24"/>
    </row>
    <row r="101" spans="3:18">
      <c r="C101" s="24">
        <v>60</v>
      </c>
      <c r="D101" s="24" t="s">
        <v>156</v>
      </c>
      <c r="E101" s="24">
        <v>486.91963380265838</v>
      </c>
      <c r="H101" s="19">
        <v>60</v>
      </c>
      <c r="I101" s="24">
        <v>0.73029539713939484</v>
      </c>
      <c r="J101" s="24">
        <v>3.3458630742386766</v>
      </c>
      <c r="K101" s="24">
        <v>600.10479793350839</v>
      </c>
      <c r="L101" s="24">
        <v>0.56479456686152341</v>
      </c>
      <c r="M101" s="24">
        <v>30.601767258924429</v>
      </c>
      <c r="N101" s="24">
        <v>31.424964740470116</v>
      </c>
      <c r="O101" s="24">
        <v>51.734905242919922</v>
      </c>
      <c r="P101" s="24">
        <v>27.355178575149687</v>
      </c>
      <c r="Q101" s="24">
        <v>1.5754131796950546</v>
      </c>
      <c r="R101" s="24"/>
    </row>
    <row r="102" spans="3:18">
      <c r="C102" s="24">
        <v>65</v>
      </c>
      <c r="D102" s="24" t="s">
        <v>156</v>
      </c>
      <c r="E102" s="24">
        <v>463.85058069058476</v>
      </c>
      <c r="H102" s="19">
        <v>65</v>
      </c>
      <c r="I102" s="24">
        <v>0.68471067237227246</v>
      </c>
      <c r="J102" s="24">
        <v>3.1436405807407346</v>
      </c>
      <c r="K102" s="24">
        <v>554.51809367999738</v>
      </c>
      <c r="L102" s="24">
        <v>0.57428385918964941</v>
      </c>
      <c r="M102" s="24">
        <v>31.458989915219195</v>
      </c>
      <c r="N102" s="24">
        <v>32.206240328320945</v>
      </c>
      <c r="O102" s="24">
        <v>55.804912567138672</v>
      </c>
      <c r="P102" s="24">
        <v>27.400429024438282</v>
      </c>
      <c r="Q102" s="24">
        <v>1.5688264869997872</v>
      </c>
      <c r="R102" s="24"/>
    </row>
    <row r="115" spans="3:10">
      <c r="C115" s="19" t="s">
        <v>409</v>
      </c>
    </row>
    <row r="116" spans="3:10">
      <c r="C116" s="24" t="s">
        <v>154</v>
      </c>
      <c r="D116" s="24" t="s">
        <v>155</v>
      </c>
      <c r="E116" s="24" t="s">
        <v>156</v>
      </c>
      <c r="F116" s="24" t="s">
        <v>159</v>
      </c>
      <c r="G116" s="24" t="s">
        <v>238</v>
      </c>
      <c r="H116" s="24" t="s">
        <v>157</v>
      </c>
      <c r="I116" s="24" t="s">
        <v>160</v>
      </c>
      <c r="J116" s="24" t="s">
        <v>265</v>
      </c>
    </row>
    <row r="117" spans="3:10">
      <c r="C117" s="24">
        <v>0.70124165290477558</v>
      </c>
      <c r="D117" s="24">
        <v>2.711823160493787</v>
      </c>
      <c r="E117" s="24">
        <v>419.1944195151342</v>
      </c>
      <c r="F117" s="24">
        <v>0.6553228497505188</v>
      </c>
      <c r="G117" s="24">
        <v>32.188904523297197</v>
      </c>
      <c r="H117" s="24">
        <v>20.110593619841023</v>
      </c>
      <c r="I117" s="24">
        <v>32.225399017333984</v>
      </c>
      <c r="J117" s="24">
        <v>0.51570504903793335</v>
      </c>
    </row>
    <row r="118" spans="3:10">
      <c r="C118" s="24">
        <v>0.74697221665088265</v>
      </c>
      <c r="D118" s="24">
        <v>2.8977767486419328</v>
      </c>
      <c r="E118" s="24">
        <v>422.81332484927714</v>
      </c>
      <c r="F118" s="24">
        <v>0.69426566362380981</v>
      </c>
      <c r="G118" s="24">
        <v>32.147626296308076</v>
      </c>
      <c r="H118" s="24">
        <v>20.182619966189055</v>
      </c>
      <c r="I118" s="24">
        <v>32.263404846191406</v>
      </c>
      <c r="J118" s="24">
        <v>0.55907177925109863</v>
      </c>
    </row>
    <row r="119" spans="3:10">
      <c r="C119" s="24">
        <v>0.79314486461968692</v>
      </c>
      <c r="D119" s="24">
        <v>3.0682342044444</v>
      </c>
      <c r="E119" s="24">
        <v>423.36300193475279</v>
      </c>
      <c r="F119" s="24">
        <v>0.73415040969848633</v>
      </c>
      <c r="G119" s="24">
        <v>32.109787921568049</v>
      </c>
      <c r="H119" s="24">
        <v>20.22497911067763</v>
      </c>
      <c r="I119" s="24">
        <v>32.257415771484375</v>
      </c>
      <c r="J119" s="24">
        <v>0.58334487676620483</v>
      </c>
    </row>
    <row r="120" spans="3:10">
      <c r="C120" s="24">
        <v>0.83555930284102564</v>
      </c>
      <c r="D120" s="24">
        <v>3.2231955279011886</v>
      </c>
      <c r="E120" s="24">
        <v>421.31824710790039</v>
      </c>
      <c r="F120" s="24">
        <v>0.77497166395187378</v>
      </c>
      <c r="G120" s="24">
        <v>32.075389399077118</v>
      </c>
      <c r="H120" s="24">
        <v>20.241114417948751</v>
      </c>
      <c r="I120" s="24">
        <v>32.213401794433594</v>
      </c>
      <c r="J120" s="24">
        <v>0.6093670129776001</v>
      </c>
    </row>
    <row r="121" spans="3:10">
      <c r="C121" s="24">
        <v>0.89142074963175311</v>
      </c>
      <c r="D121" s="24">
        <v>3.4246452483950134</v>
      </c>
      <c r="E121" s="24">
        <v>342.44309253077807</v>
      </c>
      <c r="F121" s="24">
        <v>1.0130634307861328</v>
      </c>
      <c r="G121" s="24">
        <v>32.030671319838909</v>
      </c>
      <c r="H121" s="24">
        <v>19.458750710761297</v>
      </c>
      <c r="I121" s="24">
        <v>30.790399551391602</v>
      </c>
      <c r="J121" s="24">
        <v>0.59035307168960571</v>
      </c>
    </row>
    <row r="122" spans="3:10">
      <c r="C122" s="24">
        <v>0.92188223988296725</v>
      </c>
      <c r="D122" s="24">
        <v>3.5331181748147658</v>
      </c>
      <c r="E122" s="24">
        <v>284.80587811465989</v>
      </c>
      <c r="F122" s="24">
        <v>1.2566624879837036</v>
      </c>
      <c r="G122" s="24">
        <v>32.006592354095254</v>
      </c>
      <c r="H122" s="24">
        <v>18.634877588109557</v>
      </c>
      <c r="I122" s="24">
        <v>29.395414352416992</v>
      </c>
      <c r="J122" s="24">
        <v>0.56018823385238647</v>
      </c>
    </row>
    <row r="123" spans="3:10">
      <c r="C123" s="24">
        <v>0.93502611011604653</v>
      </c>
      <c r="D123" s="24">
        <v>3.5796065718518015</v>
      </c>
      <c r="E123" s="24">
        <v>241.11238533435682</v>
      </c>
      <c r="F123" s="24">
        <v>1.5039217472076416</v>
      </c>
      <c r="G123" s="24">
        <v>31.996272797347974</v>
      </c>
      <c r="H123" s="24">
        <v>17.789620284002453</v>
      </c>
      <c r="I123" s="24">
        <v>28.042417526245117</v>
      </c>
      <c r="J123" s="24">
        <v>0.52135497331619263</v>
      </c>
    </row>
    <row r="124" spans="3:10">
      <c r="C124" s="24">
        <v>0.97036314252112443</v>
      </c>
      <c r="D124" s="24">
        <v>3.7035756306172321</v>
      </c>
      <c r="E124" s="24">
        <v>214.79900439089815</v>
      </c>
      <c r="F124" s="24">
        <v>1.7466199398040771</v>
      </c>
      <c r="G124" s="24">
        <v>31.968753979355228</v>
      </c>
      <c r="H124" s="24">
        <v>17.169887293961434</v>
      </c>
      <c r="I124" s="24">
        <v>27.045413970947266</v>
      </c>
      <c r="J124" s="24">
        <v>0.52257710695266724</v>
      </c>
    </row>
    <row r="125" spans="3:10">
      <c r="C125" s="24">
        <v>0.97481060509723882</v>
      </c>
      <c r="D125" s="24">
        <v>3.7345678953085906</v>
      </c>
      <c r="E125" s="24">
        <v>189.64932839294207</v>
      </c>
      <c r="F125" s="24">
        <v>1.9947960376739502</v>
      </c>
      <c r="G125" s="24">
        <v>31.961874274857042</v>
      </c>
      <c r="H125" s="24">
        <v>16.442586128885257</v>
      </c>
      <c r="I125" s="24">
        <v>25.948408126831055</v>
      </c>
      <c r="J125" s="24">
        <v>0.51194941997528076</v>
      </c>
    </row>
    <row r="126" spans="3:10">
      <c r="C126" s="24">
        <v>1.001648439439649</v>
      </c>
      <c r="D126" s="24">
        <v>3.8275446893826635</v>
      </c>
      <c r="E126" s="24">
        <v>173.14579167850161</v>
      </c>
      <c r="F126" s="24">
        <v>2.2393283843994141</v>
      </c>
      <c r="G126" s="24">
        <v>31.941235161362481</v>
      </c>
      <c r="H126" s="24">
        <v>15.896761353129369</v>
      </c>
      <c r="I126" s="24">
        <v>25.119411468505859</v>
      </c>
      <c r="J126" s="24">
        <v>0.5158575177192688</v>
      </c>
    </row>
    <row r="127" spans="3:10">
      <c r="C127" s="24">
        <v>1.0151674316338291</v>
      </c>
      <c r="D127" s="24">
        <v>3.8740330864196992</v>
      </c>
      <c r="E127" s="24">
        <v>157.82195815543645</v>
      </c>
      <c r="F127" s="24">
        <v>2.4865965843200684</v>
      </c>
      <c r="G127" s="24">
        <v>31.930915604615201</v>
      </c>
      <c r="H127" s="24">
        <v>15.315606168924061</v>
      </c>
      <c r="I127" s="24">
        <v>24.272407531738281</v>
      </c>
      <c r="J127" s="24">
        <v>0.50827294588088989</v>
      </c>
    </row>
    <row r="128" spans="3:10">
      <c r="C128" s="24">
        <v>1.0151674316338291</v>
      </c>
      <c r="D128" s="24">
        <v>3.8740330864196992</v>
      </c>
      <c r="E128" s="24">
        <v>143.40423619733934</v>
      </c>
      <c r="F128" s="24">
        <v>2.7365965843200684</v>
      </c>
      <c r="G128" s="24">
        <v>31.930915604615201</v>
      </c>
      <c r="H128" s="24">
        <v>14.691140177624108</v>
      </c>
      <c r="I128" s="24">
        <v>23.396417617797852</v>
      </c>
      <c r="J128" s="24">
        <v>0.51282584667205811</v>
      </c>
    </row>
    <row r="129" spans="3:10">
      <c r="C129" s="24">
        <v>1.0469957320974721</v>
      </c>
      <c r="D129" s="24">
        <v>3.982506012839452</v>
      </c>
      <c r="E129" s="24">
        <v>135.36810530413015</v>
      </c>
      <c r="F129" s="24">
        <v>2.9802284240722656</v>
      </c>
      <c r="G129" s="24">
        <v>31.90683663887155</v>
      </c>
      <c r="H129" s="24">
        <v>14.32198567898255</v>
      </c>
      <c r="I129" s="24">
        <v>22.852418899536133</v>
      </c>
      <c r="J129" s="24">
        <v>0.52053940296173096</v>
      </c>
    </row>
    <row r="130" spans="3:10">
      <c r="C130" s="24">
        <v>1.0561648264916308</v>
      </c>
      <c r="D130" s="24">
        <v>4.0134982775308092</v>
      </c>
      <c r="E130" s="24">
        <v>125.93423634485703</v>
      </c>
      <c r="F130" s="24">
        <v>3.2284102439880371</v>
      </c>
      <c r="G130" s="24">
        <v>31.899956934373364</v>
      </c>
      <c r="H130" s="24">
        <v>13.840762106690143</v>
      </c>
      <c r="I130" s="24">
        <v>22.187410354614258</v>
      </c>
      <c r="J130" s="24">
        <v>0.52804011106491089</v>
      </c>
    </row>
    <row r="131" spans="3:10">
      <c r="C131" s="24">
        <v>1.0607624540871043</v>
      </c>
      <c r="D131" s="24">
        <v>4.0289944098764892</v>
      </c>
      <c r="E131" s="24">
        <v>117.36505180149385</v>
      </c>
      <c r="F131" s="24">
        <v>3.477501392364502</v>
      </c>
      <c r="G131" s="24">
        <v>31.896517082124269</v>
      </c>
      <c r="H131" s="24">
        <v>13.364753359324656</v>
      </c>
      <c r="I131" s="24">
        <v>21.543415069580078</v>
      </c>
      <c r="J131" s="24">
        <v>0.52285128831863403</v>
      </c>
    </row>
    <row r="132" spans="3:10">
      <c r="C132" s="24">
        <v>1.0699844749515597</v>
      </c>
      <c r="D132" s="24">
        <v>4.0599866745678455</v>
      </c>
      <c r="E132" s="24">
        <v>110.3895602729133</v>
      </c>
      <c r="F132" s="24">
        <v>3.7256844043731689</v>
      </c>
      <c r="G132" s="24">
        <v>31.889637377626084</v>
      </c>
      <c r="H132" s="24">
        <v>12.950779150742537</v>
      </c>
      <c r="I132" s="24">
        <v>20.985410690307617</v>
      </c>
      <c r="J132" s="24">
        <v>0.53193950653076172</v>
      </c>
    </row>
    <row r="133" spans="3:10">
      <c r="C133" s="24">
        <v>1.0699844749515597</v>
      </c>
      <c r="D133" s="24">
        <v>4.0599866745678455</v>
      </c>
      <c r="E133" s="24">
        <v>103.44801560349075</v>
      </c>
      <c r="F133" s="24">
        <v>3.9756844043731689</v>
      </c>
      <c r="G133" s="24">
        <v>31.889637377626084</v>
      </c>
      <c r="H133" s="24">
        <v>12.50754919376066</v>
      </c>
      <c r="I133" s="24">
        <v>20.4044189453125</v>
      </c>
      <c r="J133" s="24">
        <v>0.5274956226348877</v>
      </c>
    </row>
    <row r="134" spans="3:10">
      <c r="C134" s="24">
        <v>1.0699844749515597</v>
      </c>
      <c r="D134" s="24">
        <v>4.0599866745678455</v>
      </c>
      <c r="E134" s="24">
        <v>97.327822483110026</v>
      </c>
      <c r="F134" s="24">
        <v>4.2256841659545898</v>
      </c>
      <c r="G134" s="24">
        <v>31.889637377626084</v>
      </c>
      <c r="H134" s="24">
        <v>12.091683718358819</v>
      </c>
      <c r="I134" s="24">
        <v>19.865415573120117</v>
      </c>
      <c r="J134" s="24">
        <v>0.53759747743606567</v>
      </c>
    </row>
    <row r="135" spans="3:10">
      <c r="C135" s="24">
        <v>1.0885419079995147</v>
      </c>
      <c r="D135" s="24">
        <v>4.1219712039505616</v>
      </c>
      <c r="E135" s="24">
        <v>93.370043102039816</v>
      </c>
      <c r="F135" s="24">
        <v>4.4720520973205566</v>
      </c>
      <c r="G135" s="24">
        <v>31.875877968629709</v>
      </c>
      <c r="H135" s="24">
        <v>11.813991553583531</v>
      </c>
      <c r="I135" s="24">
        <v>19.492424011230469</v>
      </c>
      <c r="J135" s="24">
        <v>0.54947137832641602</v>
      </c>
    </row>
    <row r="136" spans="3:10">
      <c r="C136" s="24">
        <v>1.0978776606971723</v>
      </c>
      <c r="D136" s="24">
        <v>4.1684596009875978</v>
      </c>
      <c r="E136" s="24">
        <v>89.475627748211181</v>
      </c>
      <c r="F136" s="24">
        <v>4.7193293571472168</v>
      </c>
      <c r="G136" s="24">
        <v>31.865558411882429</v>
      </c>
      <c r="H136" s="24">
        <v>11.529078634760694</v>
      </c>
      <c r="I136" s="24">
        <v>19.117412567138672</v>
      </c>
      <c r="J136" s="24">
        <v>0.54653000831604004</v>
      </c>
    </row>
    <row r="137" spans="3:10">
      <c r="C137" s="19" t="s">
        <v>410</v>
      </c>
    </row>
    <row r="138" spans="3:10">
      <c r="C138" s="24" t="s">
        <v>154</v>
      </c>
      <c r="D138" s="24" t="s">
        <v>155</v>
      </c>
      <c r="E138" s="24" t="s">
        <v>156</v>
      </c>
      <c r="F138" s="24" t="s">
        <v>159</v>
      </c>
      <c r="G138" s="24" t="s">
        <v>238</v>
      </c>
      <c r="H138" s="24" t="s">
        <v>157</v>
      </c>
      <c r="I138" s="24" t="s">
        <v>160</v>
      </c>
      <c r="J138" s="24" t="s">
        <v>265</v>
      </c>
    </row>
    <row r="139" spans="3:10">
      <c r="C139" s="24">
        <v>0.62312453818302527</v>
      </c>
      <c r="D139" s="24">
        <v>2.8678826350617221</v>
      </c>
      <c r="E139" s="24">
        <v>494.69894286538522</v>
      </c>
      <c r="F139" s="24">
        <v>0.58725923299789429</v>
      </c>
      <c r="G139" s="24">
        <v>27.462134162703592</v>
      </c>
      <c r="H139" s="24">
        <v>23.725104160918114</v>
      </c>
      <c r="I139" s="24">
        <v>32.227893829345703</v>
      </c>
      <c r="J139" s="24">
        <v>0.62912565469741821</v>
      </c>
    </row>
    <row r="140" spans="3:10">
      <c r="C140" s="24">
        <v>0.66822752592498136</v>
      </c>
      <c r="D140" s="24">
        <v>3.0884889916049323</v>
      </c>
      <c r="E140" s="24">
        <v>499.08451970620655</v>
      </c>
      <c r="F140" s="24">
        <v>0.62687563896179199</v>
      </c>
      <c r="G140" s="24">
        <v>27.412770036605032</v>
      </c>
      <c r="H140" s="24">
        <v>23.766296997374937</v>
      </c>
      <c r="I140" s="24">
        <v>32.281894683837891</v>
      </c>
      <c r="J140" s="24">
        <v>0.69641172885894775</v>
      </c>
    </row>
    <row r="141" spans="3:10">
      <c r="C141" s="24">
        <v>0.7136740301603115</v>
      </c>
      <c r="D141" s="24">
        <v>3.2907114851028743</v>
      </c>
      <c r="E141" s="24">
        <v>499.48887536442152</v>
      </c>
      <c r="F141" s="24">
        <v>0.66738039255142212</v>
      </c>
      <c r="G141" s="24">
        <v>27.367519587681354</v>
      </c>
      <c r="H141" s="24">
        <v>23.778962436037933</v>
      </c>
      <c r="I141" s="24">
        <v>32.284904479980469</v>
      </c>
      <c r="J141" s="24">
        <v>0.72822463512420654</v>
      </c>
    </row>
    <row r="142" spans="3:10">
      <c r="C142" s="24">
        <v>0.75533284536777079</v>
      </c>
      <c r="D142" s="24">
        <v>3.4745501155555494</v>
      </c>
      <c r="E142" s="24">
        <v>496.59727311999512</v>
      </c>
      <c r="F142" s="24">
        <v>0.7087673544883728</v>
      </c>
      <c r="G142" s="24">
        <v>27.326382815932554</v>
      </c>
      <c r="H142" s="24">
        <v>23.767073382936029</v>
      </c>
      <c r="I142" s="24">
        <v>32.243888854980469</v>
      </c>
      <c r="J142" s="24">
        <v>0.77809017896652222</v>
      </c>
    </row>
    <row r="143" spans="3:10">
      <c r="C143" s="24">
        <v>0.81005754905946747</v>
      </c>
      <c r="D143" s="24">
        <v>3.7135403351440273</v>
      </c>
      <c r="E143" s="24">
        <v>396.98465650146545</v>
      </c>
      <c r="F143" s="24">
        <v>0.9475974440574646</v>
      </c>
      <c r="G143" s="24">
        <v>27.272905012659116</v>
      </c>
      <c r="H143" s="24">
        <v>22.910324218698616</v>
      </c>
      <c r="I143" s="24">
        <v>30.646900177001953</v>
      </c>
      <c r="J143" s="24">
        <v>0.71053862571716309</v>
      </c>
    </row>
    <row r="144" spans="3:10">
      <c r="C144" s="24">
        <v>0.86123438120389528</v>
      </c>
      <c r="D144" s="24">
        <v>3.9341466916872374</v>
      </c>
      <c r="E144" s="24">
        <v>335.65605439167729</v>
      </c>
      <c r="F144" s="24">
        <v>1.1873137950897217</v>
      </c>
      <c r="G144" s="24">
        <v>27.22354088656056</v>
      </c>
      <c r="H144" s="24">
        <v>22.147625747744129</v>
      </c>
      <c r="I144" s="24">
        <v>29.30589485168457</v>
      </c>
      <c r="J144" s="24">
        <v>0.67221969366073608</v>
      </c>
    </row>
    <row r="145" spans="3:10">
      <c r="C145" s="24">
        <v>0.90009528567253816</v>
      </c>
      <c r="D145" s="24">
        <v>4.0996014590946448</v>
      </c>
      <c r="E145" s="24">
        <v>290.48991390343446</v>
      </c>
      <c r="F145" s="24">
        <v>1.4296181201934814</v>
      </c>
      <c r="G145" s="24">
        <v>27.186517791986642</v>
      </c>
      <c r="H145" s="24">
        <v>21.399581984681983</v>
      </c>
      <c r="I145" s="24">
        <v>28.060892105102539</v>
      </c>
      <c r="J145" s="24">
        <v>0.62564468383789063</v>
      </c>
    </row>
    <row r="146" spans="3:10">
      <c r="C146" s="24">
        <v>0.92625849907946878</v>
      </c>
      <c r="D146" s="24">
        <v>4.2099046373662494</v>
      </c>
      <c r="E146" s="24">
        <v>254.68166262450248</v>
      </c>
      <c r="F146" s="24">
        <v>1.6744956970214844</v>
      </c>
      <c r="G146" s="24">
        <v>27.161835728937362</v>
      </c>
      <c r="H146" s="24">
        <v>20.641969018061936</v>
      </c>
      <c r="I146" s="24">
        <v>26.863897323608398</v>
      </c>
      <c r="J146" s="24">
        <v>0.59683364629745483</v>
      </c>
    </row>
    <row r="147" spans="3:10">
      <c r="C147" s="24">
        <v>0.9350271579258348</v>
      </c>
      <c r="D147" s="24">
        <v>4.2466723634567849</v>
      </c>
      <c r="E147" s="24">
        <v>223.73113678523873</v>
      </c>
      <c r="F147" s="24">
        <v>1.9227895736694336</v>
      </c>
      <c r="G147" s="24">
        <v>27.153608374587602</v>
      </c>
      <c r="H147" s="24">
        <v>19.824379204838952</v>
      </c>
      <c r="I147" s="24">
        <v>25.638898849487305</v>
      </c>
      <c r="J147" s="24">
        <v>0.56936883926391602</v>
      </c>
    </row>
    <row r="148" spans="3:10">
      <c r="C148" s="24">
        <v>0.97036423983484033</v>
      </c>
      <c r="D148" s="24">
        <v>4.4121271308641923</v>
      </c>
      <c r="E148" s="24">
        <v>206.43114321931284</v>
      </c>
      <c r="F148" s="24">
        <v>2.16512131690979</v>
      </c>
      <c r="G148" s="24">
        <v>27.116585280013684</v>
      </c>
      <c r="H148" s="24">
        <v>19.29192432292275</v>
      </c>
      <c r="I148" s="24">
        <v>24.853900909423828</v>
      </c>
      <c r="J148" s="24">
        <v>0.56588733196258545</v>
      </c>
    </row>
    <row r="149" spans="3:10">
      <c r="C149" s="24">
        <v>0.9881981274902838</v>
      </c>
      <c r="D149" s="24">
        <v>4.4856625830452614</v>
      </c>
      <c r="E149" s="24">
        <v>188.4124258510592</v>
      </c>
      <c r="F149" s="24">
        <v>2.4117178916931152</v>
      </c>
      <c r="G149" s="24">
        <v>27.100130571314164</v>
      </c>
      <c r="H149" s="24">
        <v>18.653579799869604</v>
      </c>
      <c r="I149" s="24">
        <v>23.95390510559082</v>
      </c>
      <c r="J149" s="24">
        <v>0.56029069423675537</v>
      </c>
    </row>
    <row r="150" spans="3:10">
      <c r="C150" s="24">
        <v>1.0061482846650671</v>
      </c>
      <c r="D150" s="24">
        <v>4.5591980352263315</v>
      </c>
      <c r="E150" s="24">
        <v>173.73650699432093</v>
      </c>
      <c r="F150" s="24">
        <v>2.6583173274993896</v>
      </c>
      <c r="G150" s="24">
        <v>27.083675862614644</v>
      </c>
      <c r="H150" s="24">
        <v>18.065308025668511</v>
      </c>
      <c r="I150" s="24">
        <v>23.147895812988281</v>
      </c>
      <c r="J150" s="24">
        <v>0.54500883817672729</v>
      </c>
    </row>
    <row r="151" spans="3:10">
      <c r="C151" s="24">
        <v>1.0151685943196853</v>
      </c>
      <c r="D151" s="24">
        <v>4.595965761316867</v>
      </c>
      <c r="E151" s="24">
        <v>160.17630167810526</v>
      </c>
      <c r="F151" s="24">
        <v>2.9066181182861328</v>
      </c>
      <c r="G151" s="24">
        <v>27.075448508264884</v>
      </c>
      <c r="H151" s="24">
        <v>17.455246117282144</v>
      </c>
      <c r="I151" s="24">
        <v>22.338905334472656</v>
      </c>
      <c r="J151" s="24">
        <v>0.54240787029266357</v>
      </c>
    </row>
    <row r="152" spans="3:10">
      <c r="C152" s="24">
        <v>1.0151685943196853</v>
      </c>
      <c r="D152" s="24">
        <v>4.595965761316867</v>
      </c>
      <c r="E152" s="24">
        <v>147.49054919608156</v>
      </c>
      <c r="F152" s="24">
        <v>3.1566181182861328</v>
      </c>
      <c r="G152" s="24">
        <v>27.075448508264884</v>
      </c>
      <c r="H152" s="24">
        <v>16.817372108351513</v>
      </c>
      <c r="I152" s="24">
        <v>21.519901275634766</v>
      </c>
      <c r="J152" s="24">
        <v>0.54022538661956787</v>
      </c>
    </row>
    <row r="153" spans="3:10">
      <c r="C153" s="24">
        <v>1.0424252444681483</v>
      </c>
      <c r="D153" s="24">
        <v>4.7062689395884725</v>
      </c>
      <c r="E153" s="24">
        <v>140.15628048470305</v>
      </c>
      <c r="F153" s="24">
        <v>3.401524543762207</v>
      </c>
      <c r="G153" s="24">
        <v>27.050766445215608</v>
      </c>
      <c r="H153" s="24">
        <v>16.421426853312518</v>
      </c>
      <c r="I153" s="24">
        <v>21.009910583496094</v>
      </c>
      <c r="J153" s="24">
        <v>0.54449003934860229</v>
      </c>
    </row>
    <row r="154" spans="3:10">
      <c r="C154" s="24">
        <v>1.0561660509861999</v>
      </c>
      <c r="D154" s="24">
        <v>4.7614205287242743</v>
      </c>
      <c r="E154" s="24">
        <v>134.06714028937361</v>
      </c>
      <c r="F154" s="24">
        <v>3.597689151763916</v>
      </c>
      <c r="G154" s="24">
        <v>27.038425413690966</v>
      </c>
      <c r="H154" s="24">
        <v>16.071804184650105</v>
      </c>
      <c r="I154" s="24">
        <v>20.570905685424805</v>
      </c>
      <c r="J154" s="24">
        <v>0.55029207468032837</v>
      </c>
    </row>
    <row r="155" spans="3:10">
      <c r="C155" s="24">
        <v>1.0561660509861999</v>
      </c>
      <c r="D155" s="24">
        <v>4.7614205287242743</v>
      </c>
      <c r="E155" s="24">
        <v>134.06714028937361</v>
      </c>
      <c r="F155" s="24">
        <v>3.597689151763916</v>
      </c>
      <c r="G155" s="24">
        <v>27.038425413690966</v>
      </c>
      <c r="H155" s="24">
        <v>16.071804184650105</v>
      </c>
      <c r="I155" s="24">
        <v>20.570905685424805</v>
      </c>
      <c r="J155" s="24">
        <v>0.55029207468032837</v>
      </c>
    </row>
    <row r="156" spans="3:10">
      <c r="C156" s="24">
        <v>1.0561660509861999</v>
      </c>
      <c r="D156" s="24">
        <v>4.7614205287242743</v>
      </c>
      <c r="E156" s="24">
        <v>134.06714028937361</v>
      </c>
      <c r="F156" s="24">
        <v>3.597689151763916</v>
      </c>
      <c r="G156" s="24">
        <v>27.038425413690966</v>
      </c>
      <c r="H156" s="24">
        <v>16.071804184650105</v>
      </c>
      <c r="I156" s="24">
        <v>20.570905685424805</v>
      </c>
      <c r="J156" s="24">
        <v>0.55029207468032837</v>
      </c>
    </row>
    <row r="157" spans="3:10">
      <c r="C157" s="24">
        <v>1.0561660509861999</v>
      </c>
      <c r="D157" s="24">
        <v>4.7614205287242743</v>
      </c>
      <c r="E157" s="24">
        <v>134.06714028937361</v>
      </c>
      <c r="F157" s="24">
        <v>3.597689151763916</v>
      </c>
      <c r="G157" s="24">
        <v>27.038425413690966</v>
      </c>
      <c r="H157" s="24">
        <v>16.071804184650105</v>
      </c>
      <c r="I157" s="24">
        <v>20.570905685424805</v>
      </c>
      <c r="J157" s="24">
        <v>0.55029207468032837</v>
      </c>
    </row>
    <row r="158" spans="3:10">
      <c r="C158" s="24">
        <v>1.0561660509861999</v>
      </c>
      <c r="D158" s="24">
        <v>4.7614205287242743</v>
      </c>
      <c r="E158" s="24">
        <v>134.06714028937361</v>
      </c>
      <c r="F158" s="24">
        <v>3.597689151763916</v>
      </c>
      <c r="G158" s="24">
        <v>27.038425413690966</v>
      </c>
      <c r="H158" s="24">
        <v>16.071804184650105</v>
      </c>
      <c r="I158" s="24">
        <v>20.570905685424805</v>
      </c>
      <c r="J158" s="24">
        <v>0.55029207468032837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2:CL600"/>
  <sheetViews>
    <sheetView topLeftCell="A533" workbookViewId="0">
      <selection activeCell="N449" sqref="N449:O454"/>
    </sheetView>
  </sheetViews>
  <sheetFormatPr defaultRowHeight="12.75"/>
  <cols>
    <col min="25" max="25" width="12.42578125" bestFit="1" customWidth="1"/>
    <col min="28" max="28" width="27.5703125" customWidth="1"/>
    <col min="29" max="29" width="17" customWidth="1"/>
    <col min="30" max="30" width="16.140625" customWidth="1"/>
    <col min="31" max="31" width="12.42578125" customWidth="1"/>
    <col min="32" max="32" width="15.28515625" customWidth="1"/>
  </cols>
  <sheetData>
    <row r="2" spans="1:90">
      <c r="B2" s="19"/>
    </row>
    <row r="5" spans="1:90">
      <c r="B5" s="19" t="s">
        <v>148</v>
      </c>
      <c r="C5" s="24">
        <v>15</v>
      </c>
      <c r="D5" s="24"/>
      <c r="E5" s="24"/>
      <c r="F5" s="24"/>
      <c r="G5" s="24"/>
      <c r="H5" s="24"/>
      <c r="I5" s="24"/>
      <c r="J5" s="24"/>
      <c r="K5" s="24">
        <v>20</v>
      </c>
      <c r="L5" s="24"/>
      <c r="M5" s="24"/>
      <c r="N5" s="24"/>
      <c r="O5" s="24"/>
      <c r="P5" s="24"/>
      <c r="Q5" s="24"/>
      <c r="R5" s="24"/>
      <c r="S5" s="24">
        <v>25</v>
      </c>
      <c r="T5" s="24"/>
      <c r="U5" s="24"/>
      <c r="V5" s="24"/>
      <c r="W5" s="24"/>
      <c r="X5" s="24"/>
      <c r="Y5" s="24"/>
      <c r="Z5" s="24"/>
      <c r="AA5" s="24">
        <v>30</v>
      </c>
      <c r="AB5" s="24"/>
      <c r="AC5" s="24"/>
      <c r="AD5" s="24"/>
      <c r="AE5" s="24"/>
      <c r="AF5" s="24"/>
      <c r="AG5" s="24"/>
      <c r="AH5" s="24"/>
      <c r="AI5" s="24">
        <v>35</v>
      </c>
      <c r="AJ5" s="24"/>
      <c r="AK5" s="24"/>
      <c r="AL5" s="24"/>
      <c r="AM5" s="24"/>
      <c r="AN5" s="24"/>
      <c r="AO5" s="24"/>
      <c r="AP5" s="24"/>
      <c r="AQ5" s="24">
        <v>40</v>
      </c>
      <c r="AR5" s="24"/>
      <c r="AS5" s="24"/>
      <c r="AT5" s="24"/>
      <c r="AU5" s="24"/>
      <c r="AV5" s="24"/>
      <c r="AW5" s="24"/>
      <c r="AX5" s="24"/>
      <c r="AY5" s="24">
        <v>45</v>
      </c>
      <c r="AZ5" s="24"/>
      <c r="BA5" s="24"/>
      <c r="BB5" s="24"/>
      <c r="BC5" s="24"/>
      <c r="BD5" s="24"/>
      <c r="BE5" s="24"/>
      <c r="BF5" s="24"/>
      <c r="BG5" s="24">
        <v>50</v>
      </c>
      <c r="BH5" s="24"/>
      <c r="BI5" s="24"/>
      <c r="BJ5" s="24"/>
      <c r="BK5" s="24"/>
      <c r="BL5" s="24"/>
      <c r="BM5" s="24"/>
      <c r="BN5" s="24"/>
      <c r="BO5" s="24">
        <v>55</v>
      </c>
      <c r="BP5" s="24"/>
      <c r="BQ5" s="24"/>
      <c r="BR5" s="24"/>
      <c r="BS5" s="24"/>
      <c r="BT5" s="24"/>
      <c r="BU5" s="24"/>
      <c r="BV5" s="24"/>
      <c r="BW5" s="24">
        <v>60</v>
      </c>
      <c r="BX5" s="24"/>
      <c r="BY5" s="24"/>
      <c r="BZ5" s="24"/>
      <c r="CA5" s="24"/>
      <c r="CB5" s="24"/>
      <c r="CC5" s="24"/>
      <c r="CD5" s="24"/>
      <c r="CE5" s="24">
        <v>65</v>
      </c>
      <c r="CF5" s="24"/>
      <c r="CG5" s="24"/>
      <c r="CH5" s="24"/>
      <c r="CI5" s="24"/>
      <c r="CJ5" s="24"/>
      <c r="CK5" s="24"/>
      <c r="CL5" s="24"/>
    </row>
    <row r="6" spans="1:90">
      <c r="A6" s="19"/>
      <c r="B6" s="26" t="s">
        <v>93</v>
      </c>
      <c r="C6" s="24" t="s">
        <v>154</v>
      </c>
      <c r="D6" s="24" t="s">
        <v>155</v>
      </c>
      <c r="E6" s="24" t="s">
        <v>156</v>
      </c>
      <c r="F6" s="24" t="s">
        <v>159</v>
      </c>
      <c r="G6" s="24" t="s">
        <v>238</v>
      </c>
      <c r="H6" s="24" t="s">
        <v>157</v>
      </c>
      <c r="I6" s="24" t="s">
        <v>160</v>
      </c>
      <c r="J6" s="24" t="s">
        <v>265</v>
      </c>
      <c r="K6" s="24" t="s">
        <v>154</v>
      </c>
      <c r="L6" s="24" t="s">
        <v>155</v>
      </c>
      <c r="M6" s="24" t="s">
        <v>156</v>
      </c>
      <c r="N6" s="24" t="s">
        <v>159</v>
      </c>
      <c r="O6" s="24" t="s">
        <v>238</v>
      </c>
      <c r="P6" s="24" t="s">
        <v>157</v>
      </c>
      <c r="Q6" s="24" t="s">
        <v>160</v>
      </c>
      <c r="R6" s="24" t="s">
        <v>265</v>
      </c>
      <c r="S6" s="24" t="s">
        <v>154</v>
      </c>
      <c r="T6" s="24" t="s">
        <v>155</v>
      </c>
      <c r="U6" s="24" t="s">
        <v>156</v>
      </c>
      <c r="V6" s="24" t="s">
        <v>159</v>
      </c>
      <c r="W6" s="24" t="s">
        <v>238</v>
      </c>
      <c r="X6" s="24" t="s">
        <v>157</v>
      </c>
      <c r="Y6" s="24" t="s">
        <v>160</v>
      </c>
      <c r="Z6" s="24" t="s">
        <v>265</v>
      </c>
      <c r="AA6" s="24" t="s">
        <v>154</v>
      </c>
      <c r="AB6" s="24" t="s">
        <v>155</v>
      </c>
      <c r="AC6" s="24" t="s">
        <v>156</v>
      </c>
      <c r="AD6" s="24" t="s">
        <v>159</v>
      </c>
      <c r="AE6" s="24" t="s">
        <v>238</v>
      </c>
      <c r="AF6" s="24" t="s">
        <v>157</v>
      </c>
      <c r="AG6" s="24" t="s">
        <v>160</v>
      </c>
      <c r="AH6" s="24" t="s">
        <v>265</v>
      </c>
      <c r="AI6" s="24" t="s">
        <v>154</v>
      </c>
      <c r="AJ6" s="24" t="s">
        <v>155</v>
      </c>
      <c r="AK6" s="24" t="s">
        <v>156</v>
      </c>
      <c r="AL6" s="24" t="s">
        <v>159</v>
      </c>
      <c r="AM6" s="24" t="s">
        <v>238</v>
      </c>
      <c r="AN6" s="24" t="s">
        <v>157</v>
      </c>
      <c r="AO6" s="24" t="s">
        <v>160</v>
      </c>
      <c r="AP6" s="24" t="s">
        <v>265</v>
      </c>
      <c r="AQ6" s="24" t="s">
        <v>154</v>
      </c>
      <c r="AR6" s="24" t="s">
        <v>155</v>
      </c>
      <c r="AS6" s="24" t="s">
        <v>156</v>
      </c>
      <c r="AT6" s="24" t="s">
        <v>159</v>
      </c>
      <c r="AU6" s="24" t="s">
        <v>238</v>
      </c>
      <c r="AV6" s="24" t="s">
        <v>157</v>
      </c>
      <c r="AW6" s="24" t="s">
        <v>160</v>
      </c>
      <c r="AX6" s="24" t="s">
        <v>265</v>
      </c>
      <c r="AY6" s="24" t="s">
        <v>154</v>
      </c>
      <c r="AZ6" s="24" t="s">
        <v>155</v>
      </c>
      <c r="BA6" s="24" t="s">
        <v>156</v>
      </c>
      <c r="BB6" s="24" t="s">
        <v>159</v>
      </c>
      <c r="BC6" s="24" t="s">
        <v>238</v>
      </c>
      <c r="BD6" s="24" t="s">
        <v>157</v>
      </c>
      <c r="BE6" s="24" t="s">
        <v>160</v>
      </c>
      <c r="BF6" s="24" t="s">
        <v>265</v>
      </c>
      <c r="BG6" s="24" t="s">
        <v>154</v>
      </c>
      <c r="BH6" s="24" t="s">
        <v>155</v>
      </c>
      <c r="BI6" s="24" t="s">
        <v>156</v>
      </c>
      <c r="BJ6" s="24" t="s">
        <v>159</v>
      </c>
      <c r="BK6" s="24" t="s">
        <v>238</v>
      </c>
      <c r="BL6" s="24" t="s">
        <v>157</v>
      </c>
      <c r="BM6" s="24" t="s">
        <v>160</v>
      </c>
      <c r="BN6" s="24" t="s">
        <v>265</v>
      </c>
      <c r="BO6" s="24" t="s">
        <v>154</v>
      </c>
      <c r="BP6" s="24" t="s">
        <v>155</v>
      </c>
      <c r="BQ6" s="24" t="s">
        <v>156</v>
      </c>
      <c r="BR6" s="24" t="s">
        <v>159</v>
      </c>
      <c r="BS6" s="24" t="s">
        <v>238</v>
      </c>
      <c r="BT6" s="24" t="s">
        <v>157</v>
      </c>
      <c r="BU6" s="24" t="s">
        <v>160</v>
      </c>
      <c r="BV6" s="24" t="s">
        <v>265</v>
      </c>
      <c r="BW6" s="24" t="s">
        <v>154</v>
      </c>
      <c r="BX6" s="24" t="s">
        <v>155</v>
      </c>
      <c r="BY6" s="24" t="s">
        <v>156</v>
      </c>
      <c r="BZ6" s="24" t="s">
        <v>159</v>
      </c>
      <c r="CA6" s="24" t="s">
        <v>238</v>
      </c>
      <c r="CB6" s="24" t="s">
        <v>157</v>
      </c>
      <c r="CC6" s="24" t="s">
        <v>160</v>
      </c>
      <c r="CD6" s="24" t="s">
        <v>265</v>
      </c>
      <c r="CE6" s="24" t="s">
        <v>154</v>
      </c>
      <c r="CF6" s="24" t="s">
        <v>155</v>
      </c>
      <c r="CG6" s="24" t="s">
        <v>156</v>
      </c>
      <c r="CH6" s="24" t="s">
        <v>159</v>
      </c>
      <c r="CI6" s="24" t="s">
        <v>238</v>
      </c>
      <c r="CJ6" s="24" t="s">
        <v>157</v>
      </c>
      <c r="CK6" s="24" t="s">
        <v>160</v>
      </c>
      <c r="CL6" s="24" t="s">
        <v>265</v>
      </c>
    </row>
    <row r="7" spans="1:90">
      <c r="B7" s="26">
        <v>0.1</v>
      </c>
      <c r="C7" s="24">
        <v>0.86123438120389528</v>
      </c>
      <c r="D7" s="24">
        <v>3.9157628286419697</v>
      </c>
      <c r="E7" s="24">
        <v>737.06626066024114</v>
      </c>
      <c r="F7" s="24">
        <v>0.5381697416305542</v>
      </c>
      <c r="G7" s="24">
        <v>27.227654563735438</v>
      </c>
      <c r="H7" s="24">
        <v>9.0919276979233121</v>
      </c>
      <c r="I7" s="24">
        <v>13.001893997192383</v>
      </c>
      <c r="J7" s="24">
        <v>1.542919397354126</v>
      </c>
      <c r="K7" s="24">
        <v>0.83556021839417494</v>
      </c>
      <c r="L7" s="24">
        <v>3.8054596503703642</v>
      </c>
      <c r="M7" s="24">
        <v>709.52766444433814</v>
      </c>
      <c r="N7" s="24">
        <v>0.54330939054489136</v>
      </c>
      <c r="O7" s="24">
        <v>27.252336626784718</v>
      </c>
      <c r="P7" s="24">
        <v>12.947369248850748</v>
      </c>
      <c r="Q7" s="24">
        <v>17.042901992797852</v>
      </c>
      <c r="R7" s="24">
        <v>1.1901719570159912</v>
      </c>
      <c r="S7" s="24">
        <v>0.81005754905946747</v>
      </c>
      <c r="T7" s="24">
        <v>3.6951564720987591</v>
      </c>
      <c r="U7" s="24">
        <v>682.49713870796199</v>
      </c>
      <c r="V7" s="24">
        <v>0.54845553636550903</v>
      </c>
      <c r="W7" s="24">
        <v>27.277018689833998</v>
      </c>
      <c r="X7" s="24">
        <v>16.403266940515767</v>
      </c>
      <c r="Y7" s="24">
        <v>21.104896545410156</v>
      </c>
      <c r="Z7" s="24">
        <v>0.98665356636047363</v>
      </c>
      <c r="AA7" s="24">
        <v>0.78050523759319224</v>
      </c>
      <c r="AB7" s="24">
        <v>3.5664694307818872</v>
      </c>
      <c r="AC7" s="24">
        <v>651.58604778063079</v>
      </c>
      <c r="AD7" s="24">
        <v>0.55446761846542358</v>
      </c>
      <c r="AE7" s="24">
        <v>27.305814430058156</v>
      </c>
      <c r="AF7" s="24">
        <v>19.440694524222987</v>
      </c>
      <c r="AG7" s="24">
        <v>25.16490364074707</v>
      </c>
      <c r="AH7" s="24">
        <v>0.86796224117279053</v>
      </c>
      <c r="AI7" s="24">
        <v>0.75533284536777079</v>
      </c>
      <c r="AJ7" s="24">
        <v>3.4561662525102821</v>
      </c>
      <c r="AK7" s="24">
        <v>625.61156721344628</v>
      </c>
      <c r="AL7" s="24">
        <v>0.55962783098220825</v>
      </c>
      <c r="AM7" s="24">
        <v>27.330496493107436</v>
      </c>
      <c r="AN7" s="24">
        <v>22.098451087787083</v>
      </c>
      <c r="AO7" s="24">
        <v>29.275909423828125</v>
      </c>
      <c r="AP7" s="24">
        <v>0.85148471593856812</v>
      </c>
      <c r="AQ7" s="24">
        <v>0.73029539713939484</v>
      </c>
      <c r="AR7" s="24">
        <v>3.3458630742386766</v>
      </c>
      <c r="AS7" s="24">
        <v>600.10480216056646</v>
      </c>
      <c r="AT7" s="24">
        <v>0.56479454040527344</v>
      </c>
      <c r="AU7" s="24">
        <v>27.355178556156716</v>
      </c>
      <c r="AV7" s="24">
        <v>24.36458732251954</v>
      </c>
      <c r="AW7" s="24">
        <v>33.419883728027344</v>
      </c>
      <c r="AX7" s="24">
        <v>0.85879474878311157</v>
      </c>
      <c r="AY7" s="24">
        <v>0.7012424039779217</v>
      </c>
      <c r="AZ7" s="24">
        <v>3.2171760329218047</v>
      </c>
      <c r="BA7" s="24">
        <v>570.92225850823752</v>
      </c>
      <c r="BB7" s="24">
        <v>0.57083064317703247</v>
      </c>
      <c r="BC7" s="24">
        <v>27.383974296380874</v>
      </c>
      <c r="BD7" s="24">
        <v>26.24603909413819</v>
      </c>
      <c r="BE7" s="24">
        <v>37.549903869628906</v>
      </c>
      <c r="BF7" s="24">
        <v>0.88245666027069092</v>
      </c>
      <c r="BG7" s="24">
        <v>0.66000246705982624</v>
      </c>
      <c r="BH7" s="24">
        <v>3.0333374024691291</v>
      </c>
      <c r="BI7" s="24">
        <v>530.27346062022184</v>
      </c>
      <c r="BJ7" s="24">
        <v>0.57946908473968506</v>
      </c>
      <c r="BK7" s="24">
        <v>27.425111068129674</v>
      </c>
      <c r="BL7" s="24">
        <v>27.750788185113688</v>
      </c>
      <c r="BM7" s="24">
        <v>41.518886566162109</v>
      </c>
      <c r="BN7" s="24">
        <v>0.89146798849105835</v>
      </c>
      <c r="BO7" s="24">
        <v>0.6353938710763688</v>
      </c>
      <c r="BP7" s="24">
        <v>2.9230342241975245</v>
      </c>
      <c r="BQ7" s="24">
        <v>506.45320083117855</v>
      </c>
      <c r="BR7" s="24">
        <v>0.58466088771820068</v>
      </c>
      <c r="BS7" s="24">
        <v>27.44979313117895</v>
      </c>
      <c r="BT7" s="24">
        <v>29.074223439500035</v>
      </c>
      <c r="BU7" s="24">
        <v>45.695907592773438</v>
      </c>
      <c r="BV7" s="24">
        <v>0.9583163857460022</v>
      </c>
      <c r="BW7" s="24">
        <v>0.61495659472827569</v>
      </c>
      <c r="BX7" s="24">
        <v>2.8311149089711867</v>
      </c>
      <c r="BY7" s="24">
        <v>486.91963380265838</v>
      </c>
      <c r="BZ7" s="24">
        <v>0.58899235725402832</v>
      </c>
      <c r="CA7" s="24">
        <v>27.470361517053352</v>
      </c>
      <c r="CB7" s="24">
        <v>30.201745919240782</v>
      </c>
      <c r="CC7" s="24">
        <v>49.946907043457031</v>
      </c>
      <c r="CD7" s="24">
        <v>1.0512125492095947</v>
      </c>
      <c r="CE7" s="24">
        <v>0.59050975535453654</v>
      </c>
      <c r="CF7" s="24">
        <v>2.7208117306995816</v>
      </c>
      <c r="CG7" s="24">
        <v>463.85058069058476</v>
      </c>
      <c r="CH7" s="24">
        <v>0.5941961407661438</v>
      </c>
      <c r="CI7" s="24">
        <v>27.495043580102628</v>
      </c>
      <c r="CJ7" s="24">
        <v>31.140517063590217</v>
      </c>
      <c r="CK7" s="24">
        <v>54.118907928466797</v>
      </c>
      <c r="CL7" s="24">
        <v>1.1012493371963501</v>
      </c>
    </row>
    <row r="8" spans="1:90">
      <c r="A8" s="24"/>
      <c r="B8" s="26">
        <v>0.15</v>
      </c>
      <c r="C8" s="24">
        <v>0.86983216116124351</v>
      </c>
      <c r="D8" s="24">
        <v>3.9709144177777724</v>
      </c>
      <c r="E8" s="24">
        <v>686.90574826791453</v>
      </c>
      <c r="F8" s="24">
        <v>0.58560234308242798</v>
      </c>
      <c r="G8" s="24">
        <v>27.2153135322108</v>
      </c>
      <c r="H8" s="24">
        <v>8.9770788904962657</v>
      </c>
      <c r="I8" s="24">
        <v>12.882893562316895</v>
      </c>
      <c r="J8" s="24">
        <v>1.5396555662155151</v>
      </c>
      <c r="K8" s="24">
        <v>0.83982672200577047</v>
      </c>
      <c r="L8" s="24">
        <v>3.8422273764608992</v>
      </c>
      <c r="M8" s="24">
        <v>657.91177722904808</v>
      </c>
      <c r="N8" s="24">
        <v>0.59159547090530396</v>
      </c>
      <c r="O8" s="24">
        <v>27.244109272434958</v>
      </c>
      <c r="P8" s="24">
        <v>12.778693249591702</v>
      </c>
      <c r="Q8" s="24">
        <v>16.85289192199707</v>
      </c>
      <c r="R8" s="24">
        <v>1.1191391944885254</v>
      </c>
      <c r="S8" s="24">
        <v>0.83129855685865128</v>
      </c>
      <c r="T8" s="24">
        <v>3.8054596503703642</v>
      </c>
      <c r="U8" s="24">
        <v>649.73359724672116</v>
      </c>
      <c r="V8" s="24">
        <v>0.59330940246582031</v>
      </c>
      <c r="W8" s="24">
        <v>27.252336626784718</v>
      </c>
      <c r="X8" s="24">
        <v>16.28042857757848</v>
      </c>
      <c r="Y8" s="24">
        <v>20.938899993896484</v>
      </c>
      <c r="Z8" s="24">
        <v>0.98266458511352539</v>
      </c>
      <c r="AA8" s="24">
        <v>0.80582332616236396</v>
      </c>
      <c r="AB8" s="24">
        <v>3.6951564720987591</v>
      </c>
      <c r="AC8" s="24">
        <v>625.47559993668835</v>
      </c>
      <c r="AD8" s="24">
        <v>0.59845554828643799</v>
      </c>
      <c r="AE8" s="24">
        <v>27.277018689833998</v>
      </c>
      <c r="AF8" s="24">
        <v>19.330229377039721</v>
      </c>
      <c r="AG8" s="24">
        <v>24.991909027099609</v>
      </c>
      <c r="AH8" s="24">
        <v>0.89344149827957153</v>
      </c>
      <c r="AI8" s="24">
        <v>0.78050523759319224</v>
      </c>
      <c r="AJ8" s="24">
        <v>3.5848532938271545</v>
      </c>
      <c r="AK8" s="24">
        <v>601.6247632397484</v>
      </c>
      <c r="AL8" s="24">
        <v>0.60360819101333618</v>
      </c>
      <c r="AM8" s="24">
        <v>27.301700752883278</v>
      </c>
      <c r="AN8" s="24">
        <v>21.98780437624054</v>
      </c>
      <c r="AO8" s="24">
        <v>29.076902389526367</v>
      </c>
      <c r="AP8" s="24">
        <v>0.87017011642456055</v>
      </c>
      <c r="AQ8" s="24">
        <v>0.7511511588180253</v>
      </c>
      <c r="AR8" s="24">
        <v>3.4561662525102821</v>
      </c>
      <c r="AS8" s="24">
        <v>574.30062467038385</v>
      </c>
      <c r="AT8" s="24">
        <v>0.60962784290313721</v>
      </c>
      <c r="AU8" s="24">
        <v>27.330496493107436</v>
      </c>
      <c r="AV8" s="24">
        <v>24.23895331920475</v>
      </c>
      <c r="AW8" s="24">
        <v>33.159893035888672</v>
      </c>
      <c r="AX8" s="24">
        <v>0.87047702074050903</v>
      </c>
      <c r="AY8" s="24">
        <v>0.70538278672706478</v>
      </c>
      <c r="AZ8" s="24">
        <v>3.2539437590123392</v>
      </c>
      <c r="BA8" s="24">
        <v>532.4208638418379</v>
      </c>
      <c r="BB8" s="24">
        <v>0.61910516023635864</v>
      </c>
      <c r="BC8" s="24">
        <v>27.375746942031114</v>
      </c>
      <c r="BD8" s="24">
        <v>26.046435039810632</v>
      </c>
      <c r="BE8" s="24">
        <v>37.0718994140625</v>
      </c>
      <c r="BF8" s="24">
        <v>0.84554451704025269</v>
      </c>
      <c r="BG8" s="24">
        <v>0.68058551086134389</v>
      </c>
      <c r="BH8" s="24">
        <v>3.1436405807407346</v>
      </c>
      <c r="BI8" s="24">
        <v>510.10576072806532</v>
      </c>
      <c r="BJ8" s="24">
        <v>0.62428385019302368</v>
      </c>
      <c r="BK8" s="24">
        <v>27.400429005080394</v>
      </c>
      <c r="BL8" s="24">
        <v>27.645775218476466</v>
      </c>
      <c r="BM8" s="24">
        <v>41.215896606445313</v>
      </c>
      <c r="BN8" s="24">
        <v>0.91134577989578247</v>
      </c>
      <c r="BO8" s="24">
        <v>0.66000246705982624</v>
      </c>
      <c r="BP8" s="24">
        <v>3.0517212655143973</v>
      </c>
      <c r="BQ8" s="24">
        <v>491.78680595263739</v>
      </c>
      <c r="BR8" s="24">
        <v>0.62860441207885742</v>
      </c>
      <c r="BS8" s="24">
        <v>27.420997390954792</v>
      </c>
      <c r="BT8" s="24">
        <v>28.999288083018051</v>
      </c>
      <c r="BU8" s="24">
        <v>45.442882537841797</v>
      </c>
      <c r="BV8" s="24">
        <v>0.97973966598510742</v>
      </c>
      <c r="BW8" s="24">
        <v>0.61495659472827569</v>
      </c>
      <c r="BX8" s="24">
        <v>2.8494987720164544</v>
      </c>
      <c r="BY8" s="24">
        <v>452.3469748090161</v>
      </c>
      <c r="BZ8" s="24">
        <v>0.6381257176399231</v>
      </c>
      <c r="CA8" s="24">
        <v>27.46624783987847</v>
      </c>
      <c r="CB8" s="24">
        <v>30.027559777048818</v>
      </c>
      <c r="CC8" s="24">
        <v>49.240901947021484</v>
      </c>
      <c r="CD8" s="24">
        <v>0.97812294960021973</v>
      </c>
      <c r="CE8" s="24">
        <v>0.60679889480518456</v>
      </c>
      <c r="CF8" s="24">
        <v>2.8127310459259189</v>
      </c>
      <c r="CG8" s="24">
        <v>445.30055511453372</v>
      </c>
      <c r="CH8" s="24">
        <v>0.63985919952392578</v>
      </c>
      <c r="CI8" s="24">
        <v>27.47447519422823</v>
      </c>
      <c r="CJ8" s="24">
        <v>31.04928681697498</v>
      </c>
      <c r="CK8" s="24">
        <v>53.698890686035156</v>
      </c>
      <c r="CL8" s="24">
        <v>1.0984921455383301</v>
      </c>
    </row>
    <row r="9" spans="1:90">
      <c r="A9" s="24"/>
      <c r="B9" s="26">
        <v>0.2</v>
      </c>
      <c r="C9" s="24">
        <v>0.86983216116124351</v>
      </c>
      <c r="D9" s="24">
        <v>3.9709144177777724</v>
      </c>
      <c r="E9" s="24">
        <v>632.86994015872858</v>
      </c>
      <c r="F9" s="24">
        <v>0.63560235500335693</v>
      </c>
      <c r="G9" s="24">
        <v>27.2153135322108</v>
      </c>
      <c r="H9" s="24">
        <v>8.8309981346687518</v>
      </c>
      <c r="I9" s="24">
        <v>12.738890647888184</v>
      </c>
      <c r="J9" s="24">
        <v>1.5353093147277832</v>
      </c>
      <c r="K9" s="24">
        <v>0.85694312052728805</v>
      </c>
      <c r="L9" s="24">
        <v>3.9157628286419697</v>
      </c>
      <c r="M9" s="24">
        <v>621.56936566106003</v>
      </c>
      <c r="N9" s="24">
        <v>0.63816976547241211</v>
      </c>
      <c r="O9" s="24">
        <v>27.227654563735438</v>
      </c>
      <c r="P9" s="24">
        <v>12.648485120422217</v>
      </c>
      <c r="Q9" s="24">
        <v>16.701898574829102</v>
      </c>
      <c r="R9" s="24">
        <v>1.1808797121047974</v>
      </c>
      <c r="S9" s="24">
        <v>0.83556021839417494</v>
      </c>
      <c r="T9" s="24">
        <v>3.823843513415631</v>
      </c>
      <c r="U9" s="24">
        <v>602.93240836786083</v>
      </c>
      <c r="V9" s="24">
        <v>0.64245235919952393</v>
      </c>
      <c r="W9" s="24">
        <v>27.24822294960984</v>
      </c>
      <c r="X9" s="24">
        <v>16.072566382547155</v>
      </c>
      <c r="Y9" s="24">
        <v>20.679899215698242</v>
      </c>
      <c r="Z9" s="24">
        <v>0.97513777017593384</v>
      </c>
      <c r="AA9" s="24">
        <v>0.81005754905946747</v>
      </c>
      <c r="AB9" s="24">
        <v>3.7135403351440273</v>
      </c>
      <c r="AC9" s="24">
        <v>580.88810241612714</v>
      </c>
      <c r="AD9" s="24">
        <v>0.64759743213653564</v>
      </c>
      <c r="AE9" s="24">
        <v>27.272905012659116</v>
      </c>
      <c r="AF9" s="24">
        <v>19.103874360080564</v>
      </c>
      <c r="AG9" s="24">
        <v>24.669910430908203</v>
      </c>
      <c r="AH9" s="24">
        <v>0.88326168060302734</v>
      </c>
      <c r="AI9" s="24">
        <v>0.78050523759319224</v>
      </c>
      <c r="AJ9" s="24">
        <v>3.5848532938271545</v>
      </c>
      <c r="AK9" s="24">
        <v>555.60141424282563</v>
      </c>
      <c r="AL9" s="24">
        <v>0.65360820293426514</v>
      </c>
      <c r="AM9" s="24">
        <v>27.301700752883278</v>
      </c>
      <c r="AN9" s="24">
        <v>21.734645324753302</v>
      </c>
      <c r="AO9" s="24">
        <v>28.659902572631836</v>
      </c>
      <c r="AP9" s="24">
        <v>0.83119428157806396</v>
      </c>
      <c r="AQ9" s="24">
        <v>0.75533284536777079</v>
      </c>
      <c r="AR9" s="24">
        <v>3.4745501155555494</v>
      </c>
      <c r="AS9" s="24">
        <v>534.28867381778491</v>
      </c>
      <c r="AT9" s="24">
        <v>0.65876734256744385</v>
      </c>
      <c r="AU9" s="24">
        <v>27.326382815932554</v>
      </c>
      <c r="AV9" s="24">
        <v>24.013072193841374</v>
      </c>
      <c r="AW9" s="24">
        <v>32.715896606445312</v>
      </c>
      <c r="AX9" s="24">
        <v>0.83268254995346069</v>
      </c>
      <c r="AY9" s="24">
        <v>0.73029539713939484</v>
      </c>
      <c r="AZ9" s="24">
        <v>3.3642469372839439</v>
      </c>
      <c r="BA9" s="24">
        <v>513.30212712225648</v>
      </c>
      <c r="BB9" s="24">
        <v>0.66393297910690308</v>
      </c>
      <c r="BC9" s="24">
        <v>27.351064878981834</v>
      </c>
      <c r="BD9" s="24">
        <v>25.938176380416369</v>
      </c>
      <c r="BE9" s="24">
        <v>36.810901641845703</v>
      </c>
      <c r="BF9" s="24">
        <v>0.85339117050170898</v>
      </c>
      <c r="BG9" s="24">
        <v>0.7012424039779217</v>
      </c>
      <c r="BH9" s="24">
        <v>3.2355598959670715</v>
      </c>
      <c r="BI9" s="24">
        <v>489.22083649150142</v>
      </c>
      <c r="BJ9" s="24">
        <v>0.66996783018112183</v>
      </c>
      <c r="BK9" s="24">
        <v>27.379860619205992</v>
      </c>
      <c r="BL9" s="24">
        <v>27.527971315417116</v>
      </c>
      <c r="BM9" s="24">
        <v>40.880901336669922</v>
      </c>
      <c r="BN9" s="24">
        <v>0.89833331108093262</v>
      </c>
      <c r="BO9" s="24">
        <v>0.66000246705982624</v>
      </c>
      <c r="BP9" s="24">
        <v>3.0517212655143973</v>
      </c>
      <c r="BQ9" s="24">
        <v>455.55164558852925</v>
      </c>
      <c r="BR9" s="24">
        <v>0.67860442399978638</v>
      </c>
      <c r="BS9" s="24">
        <v>27.420997390954792</v>
      </c>
      <c r="BT9" s="24">
        <v>28.795708494237491</v>
      </c>
      <c r="BU9" s="24">
        <v>44.754901885986328</v>
      </c>
      <c r="BV9" s="24">
        <v>0.90568506717681885</v>
      </c>
      <c r="BW9" s="24">
        <v>0.6353938710763688</v>
      </c>
      <c r="BX9" s="24">
        <v>2.9414180872427917</v>
      </c>
      <c r="BY9" s="24">
        <v>435.75282387513369</v>
      </c>
      <c r="BZ9" s="24">
        <v>0.68379509449005127</v>
      </c>
      <c r="CA9" s="24">
        <v>27.445679454004072</v>
      </c>
      <c r="CB9" s="24">
        <v>29.931579101567689</v>
      </c>
      <c r="CC9" s="24">
        <v>48.867885589599609</v>
      </c>
      <c r="CD9" s="24">
        <v>0.95149636268615723</v>
      </c>
      <c r="CE9" s="24">
        <v>0.61495659472827569</v>
      </c>
      <c r="CF9" s="24">
        <v>2.8494987720164544</v>
      </c>
      <c r="CG9" s="24">
        <v>419.47892605625606</v>
      </c>
      <c r="CH9" s="24">
        <v>0.68812566995620728</v>
      </c>
      <c r="CI9" s="24">
        <v>27.46624783987847</v>
      </c>
      <c r="CJ9" s="24">
        <v>30.911446500348791</v>
      </c>
      <c r="CK9" s="24">
        <v>53.056892395019531</v>
      </c>
      <c r="CL9" s="24">
        <v>1.0311822891235352</v>
      </c>
    </row>
    <row r="10" spans="1:90">
      <c r="A10" s="24"/>
      <c r="B10" s="24">
        <v>0.25</v>
      </c>
      <c r="C10" s="24">
        <v>0.90009528567253816</v>
      </c>
      <c r="D10" s="24">
        <v>4.0996014590946448</v>
      </c>
      <c r="E10" s="24">
        <v>611.06325875979019</v>
      </c>
      <c r="F10" s="24">
        <v>0.67961806058883667</v>
      </c>
      <c r="G10" s="24">
        <v>27.186517791986642</v>
      </c>
      <c r="H10" s="24">
        <v>8.776489138148353</v>
      </c>
      <c r="I10" s="24">
        <v>12.672892570495605</v>
      </c>
      <c r="J10" s="24">
        <v>1.5340961217880249</v>
      </c>
      <c r="K10" s="24">
        <v>0.86553062788129864</v>
      </c>
      <c r="L10" s="24">
        <v>3.9525305547325047</v>
      </c>
      <c r="M10" s="24">
        <v>583.2714520799957</v>
      </c>
      <c r="N10" s="24">
        <v>0.68645799160003662</v>
      </c>
      <c r="O10" s="24">
        <v>27.219427209385678</v>
      </c>
      <c r="P10" s="24">
        <v>12.493762965091799</v>
      </c>
      <c r="Q10" s="24">
        <v>16.528896331787109</v>
      </c>
      <c r="R10" s="24">
        <v>1.110808253288269</v>
      </c>
      <c r="S10" s="24">
        <v>0.83982672200577047</v>
      </c>
      <c r="T10" s="24">
        <v>3.8422273764608992</v>
      </c>
      <c r="U10" s="24">
        <v>562.78221134108901</v>
      </c>
      <c r="V10" s="24">
        <v>0.69159549474716187</v>
      </c>
      <c r="W10" s="24">
        <v>27.244109272434958</v>
      </c>
      <c r="X10" s="24">
        <v>15.870396802244208</v>
      </c>
      <c r="Y10" s="24">
        <v>20.429901123046875</v>
      </c>
      <c r="Z10" s="24">
        <v>0.92794102430343628</v>
      </c>
      <c r="AA10" s="24">
        <v>0.81005754905946747</v>
      </c>
      <c r="AB10" s="24">
        <v>3.7135403351440273</v>
      </c>
      <c r="AC10" s="24">
        <v>539.25319333712571</v>
      </c>
      <c r="AD10" s="24">
        <v>0.6975974440574646</v>
      </c>
      <c r="AE10" s="24">
        <v>27.272905012659116</v>
      </c>
      <c r="AF10" s="24">
        <v>18.861805382701018</v>
      </c>
      <c r="AG10" s="24">
        <v>24.331903457641602</v>
      </c>
      <c r="AH10" s="24">
        <v>0.81672203540802002</v>
      </c>
      <c r="AI10" s="24">
        <v>0.80159331584045357</v>
      </c>
      <c r="AJ10" s="24">
        <v>3.6767726090534922</v>
      </c>
      <c r="AK10" s="24">
        <v>532.60356322543078</v>
      </c>
      <c r="AL10" s="24">
        <v>0.69931387901306152</v>
      </c>
      <c r="AM10" s="24">
        <v>27.281132367008876</v>
      </c>
      <c r="AN10" s="24">
        <v>21.598411190436238</v>
      </c>
      <c r="AO10" s="24">
        <v>28.427902221679688</v>
      </c>
      <c r="AP10" s="24">
        <v>0.8243105411529541</v>
      </c>
      <c r="AQ10" s="24">
        <v>0.75533284536777079</v>
      </c>
      <c r="AR10" s="24">
        <v>3.4745501155555494</v>
      </c>
      <c r="AS10" s="24">
        <v>496.59727311999512</v>
      </c>
      <c r="AT10" s="24">
        <v>0.7087673544883728</v>
      </c>
      <c r="AU10" s="24">
        <v>27.326382815932554</v>
      </c>
      <c r="AV10" s="24">
        <v>23.767073382936029</v>
      </c>
      <c r="AW10" s="24">
        <v>32.243888854980469</v>
      </c>
      <c r="AX10" s="24">
        <v>0.77809017896652222</v>
      </c>
      <c r="AY10" s="24">
        <v>0.73029539713939484</v>
      </c>
      <c r="AZ10" s="24">
        <v>3.3642469372839439</v>
      </c>
      <c r="BA10" s="24">
        <v>477.35322602688666</v>
      </c>
      <c r="BB10" s="24">
        <v>0.71393299102783203</v>
      </c>
      <c r="BC10" s="24">
        <v>27.351064878981834</v>
      </c>
      <c r="BD10" s="24">
        <v>25.704661171762108</v>
      </c>
      <c r="BE10" s="24">
        <v>36.27288818359375</v>
      </c>
      <c r="BF10" s="24">
        <v>0.79908108711242676</v>
      </c>
      <c r="BG10" s="24">
        <v>0.70538278672706478</v>
      </c>
      <c r="BH10" s="24">
        <v>3.2539437590123392</v>
      </c>
      <c r="BI10" s="24">
        <v>458.38150280303955</v>
      </c>
      <c r="BJ10" s="24">
        <v>0.71910518407821655</v>
      </c>
      <c r="BK10" s="24">
        <v>27.375746942031114</v>
      </c>
      <c r="BL10" s="24">
        <v>27.331665175557401</v>
      </c>
      <c r="BM10" s="24">
        <v>40.335895538330078</v>
      </c>
      <c r="BN10" s="24">
        <v>0.85964721441268921</v>
      </c>
      <c r="BO10" s="24">
        <v>0.68058551086134389</v>
      </c>
      <c r="BP10" s="24">
        <v>3.1436405807407346</v>
      </c>
      <c r="BQ10" s="24">
        <v>439.67677668841895</v>
      </c>
      <c r="BR10" s="24">
        <v>0.72428387403488159</v>
      </c>
      <c r="BS10" s="24">
        <v>27.400429005080394</v>
      </c>
      <c r="BT10" s="24">
        <v>28.694540158103415</v>
      </c>
      <c r="BU10" s="24">
        <v>44.422908782958984</v>
      </c>
      <c r="BV10" s="24">
        <v>0.90693104267120361</v>
      </c>
      <c r="BW10" s="24">
        <v>0.65589462963902867</v>
      </c>
      <c r="BX10" s="24">
        <v>3.0333374024691291</v>
      </c>
      <c r="BY10" s="24">
        <v>421.2338586010336</v>
      </c>
      <c r="BZ10" s="24">
        <v>0.72946906089782715</v>
      </c>
      <c r="CA10" s="24">
        <v>27.425111068129674</v>
      </c>
      <c r="CB10" s="24">
        <v>29.840482932087095</v>
      </c>
      <c r="CC10" s="24">
        <v>48.518894195556641</v>
      </c>
      <c r="CD10" s="24">
        <v>0.96418863534927368</v>
      </c>
      <c r="CE10" s="24">
        <v>0.61495659472827569</v>
      </c>
      <c r="CF10" s="24">
        <v>2.8494987720164544</v>
      </c>
      <c r="CG10" s="24">
        <v>391.06378406175617</v>
      </c>
      <c r="CH10" s="24">
        <v>0.73812568187713623</v>
      </c>
      <c r="CI10" s="24">
        <v>27.46624783987847</v>
      </c>
      <c r="CJ10" s="24">
        <v>30.737709830179909</v>
      </c>
      <c r="CK10" s="24">
        <v>52.260902404785156</v>
      </c>
      <c r="CL10" s="24">
        <v>0.95087313652038574</v>
      </c>
    </row>
    <row r="11" spans="1:90">
      <c r="A11" s="24"/>
      <c r="B11" s="24">
        <f t="shared" ref="B11:B20" si="0">B10+0.25</f>
        <v>0.5</v>
      </c>
      <c r="C11" s="24">
        <v>0.93063977001698839</v>
      </c>
      <c r="D11" s="24">
        <v>4.2282885004115167</v>
      </c>
      <c r="E11" s="24">
        <v>463.73526312846775</v>
      </c>
      <c r="F11" s="24">
        <v>0.92364257574081421</v>
      </c>
      <c r="G11" s="24">
        <v>27.157722051762484</v>
      </c>
      <c r="H11" s="24">
        <v>8.2269300032213675</v>
      </c>
      <c r="I11" s="24">
        <v>12.124889373779297</v>
      </c>
      <c r="J11" s="24">
        <v>1.5185085535049438</v>
      </c>
      <c r="K11" s="24">
        <v>0.90009528567253816</v>
      </c>
      <c r="L11" s="24">
        <v>4.0996014590946448</v>
      </c>
      <c r="M11" s="24">
        <v>446.73145315060037</v>
      </c>
      <c r="N11" s="24">
        <v>0.92961806058883667</v>
      </c>
      <c r="O11" s="24">
        <v>27.186517791986642</v>
      </c>
      <c r="P11" s="24">
        <v>11.767840564931756</v>
      </c>
      <c r="Q11" s="24">
        <v>15.730897903442383</v>
      </c>
      <c r="R11" s="24">
        <v>1.0325877666473389</v>
      </c>
      <c r="S11" s="24">
        <v>0.89575575027805843</v>
      </c>
      <c r="T11" s="24">
        <v>4.0812175960493775</v>
      </c>
      <c r="U11" s="24">
        <v>444.31982294239032</v>
      </c>
      <c r="V11" s="24">
        <v>0.93047243356704712</v>
      </c>
      <c r="W11" s="24">
        <v>27.19063146916152</v>
      </c>
      <c r="X11" s="24">
        <v>15.111135196592015</v>
      </c>
      <c r="Y11" s="24">
        <v>19.48790168762207</v>
      </c>
      <c r="Z11" s="24">
        <v>0.9041784405708313</v>
      </c>
      <c r="AA11" s="24">
        <v>0.86553062788129864</v>
      </c>
      <c r="AB11" s="24">
        <v>3.9525305547325047</v>
      </c>
      <c r="AC11" s="24">
        <v>427.55932671887996</v>
      </c>
      <c r="AD11" s="24">
        <v>0.93645799160003662</v>
      </c>
      <c r="AE11" s="24">
        <v>27.219427209385678</v>
      </c>
      <c r="AF11" s="24">
        <v>18.026835806911819</v>
      </c>
      <c r="AG11" s="24">
        <v>23.166900634765625</v>
      </c>
      <c r="AH11" s="24">
        <v>0.78626590967178345</v>
      </c>
      <c r="AI11" s="24">
        <v>0.83556021839417494</v>
      </c>
      <c r="AJ11" s="24">
        <v>3.823843513415631</v>
      </c>
      <c r="AK11" s="24">
        <v>411.00788206645728</v>
      </c>
      <c r="AL11" s="24">
        <v>0.94245237112045288</v>
      </c>
      <c r="AM11" s="24">
        <v>27.24822294960984</v>
      </c>
      <c r="AN11" s="24">
        <v>20.61726665837255</v>
      </c>
      <c r="AO11" s="24">
        <v>26.869901657104492</v>
      </c>
      <c r="AP11" s="24">
        <v>0.73455721139907837</v>
      </c>
      <c r="AQ11" s="24">
        <v>0.81005754905946747</v>
      </c>
      <c r="AR11" s="24">
        <v>3.7135403351440273</v>
      </c>
      <c r="AS11" s="24">
        <v>396.98465650146545</v>
      </c>
      <c r="AT11" s="24">
        <v>0.9475974440574646</v>
      </c>
      <c r="AU11" s="24">
        <v>27.272905012659116</v>
      </c>
      <c r="AV11" s="24">
        <v>22.910324218698616</v>
      </c>
      <c r="AW11" s="24">
        <v>30.646900177001953</v>
      </c>
      <c r="AX11" s="24">
        <v>0.71053862571716309</v>
      </c>
      <c r="AY11" s="24">
        <v>0.78050523759319224</v>
      </c>
      <c r="AZ11" s="24">
        <v>3.5848532938271545</v>
      </c>
      <c r="BA11" s="24">
        <v>380.81220334757757</v>
      </c>
      <c r="BB11" s="24">
        <v>0.95360821485519409</v>
      </c>
      <c r="BC11" s="24">
        <v>27.301700752883278</v>
      </c>
      <c r="BD11" s="24">
        <v>24.863061927888879</v>
      </c>
      <c r="BE11" s="24">
        <v>34.418899536132813</v>
      </c>
      <c r="BF11" s="24">
        <v>0.70615494251251221</v>
      </c>
      <c r="BG11" s="24">
        <v>0.75533284536777079</v>
      </c>
      <c r="BH11" s="24">
        <v>3.4745501155555494</v>
      </c>
      <c r="BI11" s="24">
        <v>367.10880024289088</v>
      </c>
      <c r="BJ11" s="24">
        <v>0.9587673544883728</v>
      </c>
      <c r="BK11" s="24">
        <v>27.326382815932554</v>
      </c>
      <c r="BL11" s="24">
        <v>26.548684888129689</v>
      </c>
      <c r="BM11" s="24">
        <v>38.278907775878906</v>
      </c>
      <c r="BN11" s="24">
        <v>0.74202239513397217</v>
      </c>
      <c r="BO11" s="24">
        <v>0.73029539713939484</v>
      </c>
      <c r="BP11" s="24">
        <v>3.3642469372839439</v>
      </c>
      <c r="BQ11" s="24">
        <v>353.54969605632328</v>
      </c>
      <c r="BR11" s="24">
        <v>0.96393299102783203</v>
      </c>
      <c r="BS11" s="24">
        <v>27.351064878981834</v>
      </c>
      <c r="BT11" s="24">
        <v>27.975812797124025</v>
      </c>
      <c r="BU11" s="24">
        <v>42.175910949707031</v>
      </c>
      <c r="BV11" s="24">
        <v>0.77142608165740967</v>
      </c>
      <c r="BW11" s="24">
        <v>0.70538278672706478</v>
      </c>
      <c r="BX11" s="24">
        <v>3.2539437590123392</v>
      </c>
      <c r="BY11" s="24">
        <v>340.13285371803852</v>
      </c>
      <c r="BZ11" s="24">
        <v>0.96910518407821655</v>
      </c>
      <c r="CA11" s="24">
        <v>27.375746942031114</v>
      </c>
      <c r="CB11" s="24">
        <v>29.183233845717876</v>
      </c>
      <c r="CC11" s="24">
        <v>46.093902587890625</v>
      </c>
      <c r="CD11" s="24">
        <v>0.82275068759918213</v>
      </c>
      <c r="CE11" s="24">
        <v>0.68058551086134389</v>
      </c>
      <c r="CF11" s="24">
        <v>3.1436405807407346</v>
      </c>
      <c r="CG11" s="24">
        <v>326.85627412764615</v>
      </c>
      <c r="CH11" s="24">
        <v>0.97428387403488159</v>
      </c>
      <c r="CI11" s="24">
        <v>27.400429005080394</v>
      </c>
      <c r="CJ11" s="24">
        <v>30.210267979661886</v>
      </c>
      <c r="CK11" s="24">
        <v>50.019893646240234</v>
      </c>
      <c r="CL11" s="24">
        <v>0.85967707633972168</v>
      </c>
    </row>
    <row r="12" spans="1:90">
      <c r="A12" s="24"/>
      <c r="B12" s="24">
        <f t="shared" si="0"/>
        <v>0.75</v>
      </c>
      <c r="C12" s="24">
        <v>0.96149047515584185</v>
      </c>
      <c r="D12" s="24">
        <v>4.3569755417283895</v>
      </c>
      <c r="E12" s="24">
        <v>377.98300397428733</v>
      </c>
      <c r="F12" s="24">
        <v>1.1676758527755737</v>
      </c>
      <c r="G12" s="24">
        <v>27.128926311538322</v>
      </c>
      <c r="H12" s="24">
        <v>7.7663932450111854</v>
      </c>
      <c r="I12" s="24">
        <v>11.669894218444824</v>
      </c>
      <c r="J12" s="24">
        <v>1.5059053897857666</v>
      </c>
      <c r="K12" s="24">
        <v>0.9350271579258348</v>
      </c>
      <c r="L12" s="24">
        <v>4.2466723634567849</v>
      </c>
      <c r="M12" s="24">
        <v>366.807395177513</v>
      </c>
      <c r="N12" s="24">
        <v>1.1727895736694336</v>
      </c>
      <c r="O12" s="24">
        <v>27.153608374587602</v>
      </c>
      <c r="P12" s="24">
        <v>11.157503714995112</v>
      </c>
      <c r="Q12" s="24">
        <v>15.070896148681641</v>
      </c>
      <c r="R12" s="24">
        <v>1.0168135166168213</v>
      </c>
      <c r="S12" s="24">
        <v>0.92625849907946878</v>
      </c>
      <c r="T12" s="24">
        <v>4.2099046373662494</v>
      </c>
      <c r="U12" s="24">
        <v>363.10337520749829</v>
      </c>
      <c r="V12" s="24">
        <v>1.1744956970214844</v>
      </c>
      <c r="W12" s="24">
        <v>27.161835728937362</v>
      </c>
      <c r="X12" s="24">
        <v>14.358728149266742</v>
      </c>
      <c r="Y12" s="24">
        <v>18.591899871826172</v>
      </c>
      <c r="Z12" s="24">
        <v>0.84696048498153687</v>
      </c>
      <c r="AA12" s="24">
        <v>0.90009528567253816</v>
      </c>
      <c r="AB12" s="24">
        <v>4.0996014590946448</v>
      </c>
      <c r="AC12" s="24">
        <v>352.05431411258172</v>
      </c>
      <c r="AD12" s="24">
        <v>1.1796181201934814</v>
      </c>
      <c r="AE12" s="24">
        <v>27.186517791986642</v>
      </c>
      <c r="AF12" s="24">
        <v>17.209402842222815</v>
      </c>
      <c r="AG12" s="24">
        <v>22.077909469604492</v>
      </c>
      <c r="AH12" s="24">
        <v>0.73568296432495117</v>
      </c>
      <c r="AI12" s="24">
        <v>0.88277000942486328</v>
      </c>
      <c r="AJ12" s="24">
        <v>4.0260660069135747</v>
      </c>
      <c r="AK12" s="24">
        <v>344.74038381264415</v>
      </c>
      <c r="AL12" s="24">
        <v>1.1830365657806396</v>
      </c>
      <c r="AM12" s="24">
        <v>27.202972500686162</v>
      </c>
      <c r="AN12" s="24">
        <v>19.832431206387259</v>
      </c>
      <c r="AO12" s="24">
        <v>25.675897598266602</v>
      </c>
      <c r="AP12" s="24">
        <v>0.70317947864532471</v>
      </c>
      <c r="AQ12" s="24">
        <v>0.86123438120389528</v>
      </c>
      <c r="AR12" s="24">
        <v>3.9341466916872374</v>
      </c>
      <c r="AS12" s="24">
        <v>335.65605439167729</v>
      </c>
      <c r="AT12" s="24">
        <v>1.1873137950897217</v>
      </c>
      <c r="AU12" s="24">
        <v>27.22354088656056</v>
      </c>
      <c r="AV12" s="24">
        <v>22.147625747744129</v>
      </c>
      <c r="AW12" s="24">
        <v>29.30589485168457</v>
      </c>
      <c r="AX12" s="24">
        <v>0.67221969366073608</v>
      </c>
      <c r="AY12" s="24">
        <v>0.83556021839417494</v>
      </c>
      <c r="AZ12" s="24">
        <v>3.823843513415631</v>
      </c>
      <c r="BA12" s="24">
        <v>324.83926512792419</v>
      </c>
      <c r="BB12" s="24">
        <v>1.1924523115158081</v>
      </c>
      <c r="BC12" s="24">
        <v>27.24822294960984</v>
      </c>
      <c r="BD12" s="24">
        <v>24.149756021715664</v>
      </c>
      <c r="BE12" s="24">
        <v>32.950897216796875</v>
      </c>
      <c r="BF12" s="24">
        <v>0.6612926721572876</v>
      </c>
      <c r="BG12" s="24">
        <v>0.81005754905946747</v>
      </c>
      <c r="BH12" s="24">
        <v>3.7135403351440273</v>
      </c>
      <c r="BI12" s="24">
        <v>314.11359938586668</v>
      </c>
      <c r="BJ12" s="24">
        <v>1.1975973844528198</v>
      </c>
      <c r="BK12" s="24">
        <v>27.272905012659116</v>
      </c>
      <c r="BL12" s="24">
        <v>25.87729415442243</v>
      </c>
      <c r="BM12" s="24">
        <v>36.647907257080078</v>
      </c>
      <c r="BN12" s="24">
        <v>0.67701292037963867</v>
      </c>
      <c r="BO12" s="24">
        <v>0.78050523759319224</v>
      </c>
      <c r="BP12" s="24">
        <v>3.5848532938271545</v>
      </c>
      <c r="BQ12" s="24">
        <v>301.71416208551386</v>
      </c>
      <c r="BR12" s="24">
        <v>1.2036081552505493</v>
      </c>
      <c r="BS12" s="24">
        <v>27.301700752883278</v>
      </c>
      <c r="BT12" s="24">
        <v>27.32849846271046</v>
      </c>
      <c r="BU12" s="24">
        <v>40.319908142089844</v>
      </c>
      <c r="BV12" s="24">
        <v>0.69801163673400879</v>
      </c>
      <c r="BW12" s="24">
        <v>0.75533284536777079</v>
      </c>
      <c r="BX12" s="24">
        <v>3.4745501155555494</v>
      </c>
      <c r="BY12" s="24">
        <v>291.18252620275626</v>
      </c>
      <c r="BZ12" s="24">
        <v>1.208767294883728</v>
      </c>
      <c r="CA12" s="24">
        <v>27.326382815932554</v>
      </c>
      <c r="CB12" s="24">
        <v>28.588563041605479</v>
      </c>
      <c r="CC12" s="24">
        <v>44.086887359619141</v>
      </c>
      <c r="CD12" s="24">
        <v>0.73377734422683716</v>
      </c>
      <c r="CE12" s="24">
        <v>0.72613518415210365</v>
      </c>
      <c r="CF12" s="24">
        <v>3.3458630742386766</v>
      </c>
      <c r="CG12" s="24">
        <v>279.00678828850653</v>
      </c>
      <c r="CH12" s="24">
        <v>1.2147945165634155</v>
      </c>
      <c r="CI12" s="24">
        <v>27.355178556156716</v>
      </c>
      <c r="CJ12" s="24">
        <v>29.641203234804721</v>
      </c>
      <c r="CK12" s="24">
        <v>47.780902862548828</v>
      </c>
      <c r="CL12" s="24">
        <v>0.76453220844268799</v>
      </c>
    </row>
    <row r="13" spans="1:90">
      <c r="A13" s="24"/>
      <c r="B13" s="24">
        <f t="shared" si="0"/>
        <v>1</v>
      </c>
      <c r="C13" s="24">
        <v>0.97036423983484033</v>
      </c>
      <c r="D13" s="24">
        <v>4.3937432678189241</v>
      </c>
      <c r="E13" s="24">
        <v>314.33247271099822</v>
      </c>
      <c r="F13" s="24">
        <v>1.4159727096557617</v>
      </c>
      <c r="G13" s="24">
        <v>27.120698957188566</v>
      </c>
      <c r="H13" s="24">
        <v>7.3093192799532529</v>
      </c>
      <c r="I13" s="24">
        <v>11.231893539428711</v>
      </c>
      <c r="J13" s="24">
        <v>1.3754351139068604</v>
      </c>
      <c r="K13" s="24">
        <v>0.97036423983484033</v>
      </c>
      <c r="L13" s="24">
        <v>4.3937432678189241</v>
      </c>
      <c r="M13" s="24">
        <v>314.33247271099822</v>
      </c>
      <c r="N13" s="24">
        <v>1.4159727096557617</v>
      </c>
      <c r="O13" s="24">
        <v>27.120698957188566</v>
      </c>
      <c r="P13" s="24">
        <v>10.637710246614434</v>
      </c>
      <c r="Q13" s="24">
        <v>14.515898704528809</v>
      </c>
      <c r="R13" s="24">
        <v>1.0040018558502197</v>
      </c>
      <c r="S13" s="24">
        <v>0.9526434727739147</v>
      </c>
      <c r="T13" s="24">
        <v>4.3202078156378549</v>
      </c>
      <c r="U13" s="24">
        <v>308.3297899988782</v>
      </c>
      <c r="V13" s="24">
        <v>1.419379711151123</v>
      </c>
      <c r="W13" s="24">
        <v>27.137153665888082</v>
      </c>
      <c r="X13" s="24">
        <v>13.683500532560926</v>
      </c>
      <c r="Y13" s="24">
        <v>17.807895660400391</v>
      </c>
      <c r="Z13" s="24">
        <v>0.8292573094367981</v>
      </c>
      <c r="AA13" s="24">
        <v>0.9350271579258348</v>
      </c>
      <c r="AB13" s="24">
        <v>4.2466723634567849</v>
      </c>
      <c r="AC13" s="24">
        <v>302.35524662418476</v>
      </c>
      <c r="AD13" s="24">
        <v>1.4227895736694336</v>
      </c>
      <c r="AE13" s="24">
        <v>27.153608374587602</v>
      </c>
      <c r="AF13" s="24">
        <v>16.497183706839536</v>
      </c>
      <c r="AG13" s="24">
        <v>21.15690803527832</v>
      </c>
      <c r="AH13" s="24">
        <v>0.7151373028755188</v>
      </c>
      <c r="AI13" s="24">
        <v>0.91751400475159217</v>
      </c>
      <c r="AJ13" s="24">
        <v>4.1731369112757148</v>
      </c>
      <c r="AK13" s="24">
        <v>296.40867626837797</v>
      </c>
      <c r="AL13" s="24">
        <v>1.4262024164199829</v>
      </c>
      <c r="AM13" s="24">
        <v>27.170063083287122</v>
      </c>
      <c r="AN13" s="24">
        <v>19.072768849646387</v>
      </c>
      <c r="AO13" s="24">
        <v>24.571903228759766</v>
      </c>
      <c r="AP13" s="24">
        <v>0.65879029035568237</v>
      </c>
      <c r="AQ13" s="24">
        <v>0.90009528567253816</v>
      </c>
      <c r="AR13" s="24">
        <v>4.0996014590946448</v>
      </c>
      <c r="AS13" s="24">
        <v>290.48991390343446</v>
      </c>
      <c r="AT13" s="24">
        <v>1.4296181201934814</v>
      </c>
      <c r="AU13" s="24">
        <v>27.186517791986642</v>
      </c>
      <c r="AV13" s="24">
        <v>21.399581984681983</v>
      </c>
      <c r="AW13" s="24">
        <v>28.060892105102539</v>
      </c>
      <c r="AX13" s="24">
        <v>0.62564468383789063</v>
      </c>
      <c r="AY13" s="24">
        <v>0.86553062788129864</v>
      </c>
      <c r="AZ13" s="24">
        <v>3.9525305547325047</v>
      </c>
      <c r="BA13" s="24">
        <v>278.73515941183933</v>
      </c>
      <c r="BB13" s="24">
        <v>1.4364579916000366</v>
      </c>
      <c r="BC13" s="24">
        <v>27.219427209385678</v>
      </c>
      <c r="BD13" s="24">
        <v>23.352099586773136</v>
      </c>
      <c r="BE13" s="24">
        <v>31.421895980834961</v>
      </c>
      <c r="BF13" s="24">
        <v>0.60626018047332764</v>
      </c>
      <c r="BG13" s="24">
        <v>0.83982672200577047</v>
      </c>
      <c r="BH13" s="24">
        <v>3.8422273764608992</v>
      </c>
      <c r="BI13" s="24">
        <v>269.99088080142752</v>
      </c>
      <c r="BJ13" s="24">
        <v>1.4415954351425171</v>
      </c>
      <c r="BK13" s="24">
        <v>27.244109272434958</v>
      </c>
      <c r="BL13" s="24">
        <v>25.110997764820219</v>
      </c>
      <c r="BM13" s="24">
        <v>34.925907135009766</v>
      </c>
      <c r="BN13" s="24">
        <v>0.61419028043746948</v>
      </c>
      <c r="BO13" s="24">
        <v>0.81005754905946747</v>
      </c>
      <c r="BP13" s="24">
        <v>3.7135403351440273</v>
      </c>
      <c r="BQ13" s="24">
        <v>259.86619689215428</v>
      </c>
      <c r="BR13" s="24">
        <v>1.4475973844528198</v>
      </c>
      <c r="BS13" s="24">
        <v>27.272905012659116</v>
      </c>
      <c r="BT13" s="24">
        <v>26.60398674148113</v>
      </c>
      <c r="BU13" s="24">
        <v>38.407905578613281</v>
      </c>
      <c r="BV13" s="24">
        <v>0.61988592147827148</v>
      </c>
      <c r="BW13" s="24">
        <v>0.78050523759319224</v>
      </c>
      <c r="BX13" s="24">
        <v>3.5848532938271545</v>
      </c>
      <c r="BY13" s="24">
        <v>249.82360404359667</v>
      </c>
      <c r="BZ13" s="24">
        <v>1.4536081552505493</v>
      </c>
      <c r="CA13" s="24">
        <v>27.301700752883278</v>
      </c>
      <c r="CB13" s="24">
        <v>27.885651764136448</v>
      </c>
      <c r="CC13" s="24">
        <v>41.908905029296875</v>
      </c>
      <c r="CD13" s="24">
        <v>0.63898366689682007</v>
      </c>
      <c r="CE13" s="24">
        <v>0.75533284536777079</v>
      </c>
      <c r="CF13" s="24">
        <v>3.4745501155555494</v>
      </c>
      <c r="CG13" s="24">
        <v>241.28037270859397</v>
      </c>
      <c r="CH13" s="24">
        <v>1.458767294883728</v>
      </c>
      <c r="CI13" s="24">
        <v>27.326382815932554</v>
      </c>
      <c r="CJ13" s="24">
        <v>29.012853515346318</v>
      </c>
      <c r="CK13" s="24">
        <v>45.510894775390625</v>
      </c>
      <c r="CL13" s="24">
        <v>0.66902285814285278</v>
      </c>
    </row>
    <row r="14" spans="1:90">
      <c r="A14" s="24"/>
      <c r="B14" s="24">
        <f t="shared" si="0"/>
        <v>1.25</v>
      </c>
      <c r="C14" s="24">
        <v>1.0061482846650671</v>
      </c>
      <c r="D14" s="24">
        <v>4.5408141721810642</v>
      </c>
      <c r="E14" s="24">
        <v>277.23817239586106</v>
      </c>
      <c r="F14" s="24">
        <v>1.6591671705245972</v>
      </c>
      <c r="G14" s="24">
        <v>27.087789539789526</v>
      </c>
      <c r="H14" s="24">
        <v>6.9875183982648954</v>
      </c>
      <c r="I14" s="24">
        <v>10.915889739990234</v>
      </c>
      <c r="J14" s="24">
        <v>1.3674716949462891</v>
      </c>
      <c r="K14" s="24">
        <v>0.97036423983484033</v>
      </c>
      <c r="L14" s="24">
        <v>4.3937432678189241</v>
      </c>
      <c r="M14" s="24">
        <v>267.16296072798553</v>
      </c>
      <c r="N14" s="24">
        <v>1.6659727096557617</v>
      </c>
      <c r="O14" s="24">
        <v>27.120698957188566</v>
      </c>
      <c r="P14" s="24">
        <v>10.043043947025691</v>
      </c>
      <c r="Q14" s="24">
        <v>13.907899856567383</v>
      </c>
      <c r="R14" s="24">
        <v>0.98979425430297852</v>
      </c>
      <c r="S14" s="24">
        <v>0.97036423983484033</v>
      </c>
      <c r="T14" s="24">
        <v>4.3937432678189241</v>
      </c>
      <c r="U14" s="24">
        <v>267.16296072798553</v>
      </c>
      <c r="V14" s="24">
        <v>1.6659727096557617</v>
      </c>
      <c r="W14" s="24">
        <v>27.120698957188566</v>
      </c>
      <c r="X14" s="24">
        <v>13.045972169140949</v>
      </c>
      <c r="Y14" s="24">
        <v>17.086887359619141</v>
      </c>
      <c r="Z14" s="24">
        <v>0.78222423791885376</v>
      </c>
      <c r="AA14" s="24">
        <v>0.96149047515584185</v>
      </c>
      <c r="AB14" s="24">
        <v>4.3569755417283895</v>
      </c>
      <c r="AC14" s="24">
        <v>264.65672242573061</v>
      </c>
      <c r="AD14" s="24">
        <v>1.6676758527755737</v>
      </c>
      <c r="AE14" s="24">
        <v>27.128926311538322</v>
      </c>
      <c r="AF14" s="24">
        <v>15.822023596561129</v>
      </c>
      <c r="AG14" s="24">
        <v>20.310911178588867</v>
      </c>
      <c r="AH14" s="24">
        <v>0.69716686010360718</v>
      </c>
      <c r="AI14" s="24">
        <v>0.9350271579258348</v>
      </c>
      <c r="AJ14" s="24">
        <v>4.2466723634567849</v>
      </c>
      <c r="AK14" s="24">
        <v>257.167967746334</v>
      </c>
      <c r="AL14" s="24">
        <v>1.6727895736694336</v>
      </c>
      <c r="AM14" s="24">
        <v>27.153608374587602</v>
      </c>
      <c r="AN14" s="24">
        <v>18.283463836037765</v>
      </c>
      <c r="AO14" s="24">
        <v>23.476900100708008</v>
      </c>
      <c r="AP14" s="24">
        <v>0.63411039113998413</v>
      </c>
      <c r="AQ14" s="24">
        <v>0.92625849907946878</v>
      </c>
      <c r="AR14" s="24">
        <v>4.2099046373662494</v>
      </c>
      <c r="AS14" s="24">
        <v>254.68166262450248</v>
      </c>
      <c r="AT14" s="24">
        <v>1.6744956970214844</v>
      </c>
      <c r="AU14" s="24">
        <v>27.161835728937362</v>
      </c>
      <c r="AV14" s="24">
        <v>20.641969018061936</v>
      </c>
      <c r="AW14" s="24">
        <v>26.863897323608398</v>
      </c>
      <c r="AX14" s="24">
        <v>0.59683364629745483</v>
      </c>
      <c r="AY14" s="24">
        <v>0.90009528567253816</v>
      </c>
      <c r="AZ14" s="24">
        <v>4.0996014590946448</v>
      </c>
      <c r="BA14" s="24">
        <v>247.25241836216389</v>
      </c>
      <c r="BB14" s="24">
        <v>1.6796181201934814</v>
      </c>
      <c r="BC14" s="24">
        <v>27.186517791986642</v>
      </c>
      <c r="BD14" s="24">
        <v>22.65137950255405</v>
      </c>
      <c r="BE14" s="24">
        <v>30.151895523071289</v>
      </c>
      <c r="BF14" s="24">
        <v>0.58447259664535522</v>
      </c>
      <c r="BG14" s="24">
        <v>0.86983216116124351</v>
      </c>
      <c r="BH14" s="24">
        <v>3.9709144177777724</v>
      </c>
      <c r="BI14" s="24">
        <v>238.64087933294584</v>
      </c>
      <c r="BJ14" s="24">
        <v>1.6856023073196411</v>
      </c>
      <c r="BK14" s="24">
        <v>27.2153135322108</v>
      </c>
      <c r="BL14" s="24">
        <v>24.397181107732585</v>
      </c>
      <c r="BM14" s="24">
        <v>33.430900573730469</v>
      </c>
      <c r="BN14" s="24">
        <v>0.56428235769271851</v>
      </c>
      <c r="BO14" s="24">
        <v>0.85694312052728805</v>
      </c>
      <c r="BP14" s="24">
        <v>3.9157628286419697</v>
      </c>
      <c r="BQ14" s="24">
        <v>234.96853416191894</v>
      </c>
      <c r="BR14" s="24">
        <v>1.6881697177886963</v>
      </c>
      <c r="BS14" s="24">
        <v>27.227654563735438</v>
      </c>
      <c r="BT14" s="24">
        <v>26.046072576676259</v>
      </c>
      <c r="BU14" s="24">
        <v>37.033916473388672</v>
      </c>
      <c r="BV14" s="24">
        <v>0.59772634506225586</v>
      </c>
      <c r="BW14" s="24">
        <v>0.83129855685865128</v>
      </c>
      <c r="BX14" s="24">
        <v>3.8054596503703642</v>
      </c>
      <c r="BY14" s="24">
        <v>227.65659863099239</v>
      </c>
      <c r="BZ14" s="24">
        <v>1.6933094263076782</v>
      </c>
      <c r="CA14" s="24">
        <v>27.252336626784718</v>
      </c>
      <c r="CB14" s="24">
        <v>27.393800901304974</v>
      </c>
      <c r="CC14" s="24">
        <v>40.497905731201172</v>
      </c>
      <c r="CD14" s="24">
        <v>0.61389875411987305</v>
      </c>
      <c r="CE14" s="24">
        <v>0.80582332616236396</v>
      </c>
      <c r="CF14" s="24">
        <v>3.6951564720987591</v>
      </c>
      <c r="CG14" s="24">
        <v>220.38807453645433</v>
      </c>
      <c r="CH14" s="24">
        <v>1.6984555721282959</v>
      </c>
      <c r="CI14" s="24">
        <v>27.277018689833998</v>
      </c>
      <c r="CJ14" s="24">
        <v>28.558544763160391</v>
      </c>
      <c r="CK14" s="24">
        <v>43.997886657714844</v>
      </c>
      <c r="CL14" s="24">
        <v>0.63977855443954468</v>
      </c>
    </row>
    <row r="15" spans="1:90">
      <c r="A15" s="24"/>
      <c r="B15" s="24">
        <f t="shared" si="0"/>
        <v>1.5</v>
      </c>
      <c r="C15" s="24">
        <v>1.0151685943196853</v>
      </c>
      <c r="D15" s="24">
        <v>4.5775818982715997</v>
      </c>
      <c r="E15" s="24">
        <v>243.10192693075865</v>
      </c>
      <c r="F15" s="24">
        <v>1.9074676036834717</v>
      </c>
      <c r="G15" s="24">
        <v>27.079562185439766</v>
      </c>
      <c r="H15" s="24">
        <v>6.6310471188532407</v>
      </c>
      <c r="I15" s="24">
        <v>10.579891204833984</v>
      </c>
      <c r="J15" s="24">
        <v>1.3588082790374756</v>
      </c>
      <c r="K15" s="24">
        <v>1.0061482846650671</v>
      </c>
      <c r="L15" s="24">
        <v>4.5408141721810642</v>
      </c>
      <c r="M15" s="24">
        <v>240.93462393699346</v>
      </c>
      <c r="N15" s="24">
        <v>1.9091671705245972</v>
      </c>
      <c r="O15" s="24">
        <v>27.087789539789526</v>
      </c>
      <c r="P15" s="24">
        <v>9.6568867723072547</v>
      </c>
      <c r="Q15" s="24">
        <v>13.503896713256836</v>
      </c>
      <c r="R15" s="24">
        <v>1.0361244678497314</v>
      </c>
      <c r="S15" s="24">
        <v>0.99715838392196043</v>
      </c>
      <c r="T15" s="24">
        <v>4.5224303091357969</v>
      </c>
      <c r="U15" s="24">
        <v>239.85238518337505</v>
      </c>
      <c r="V15" s="24">
        <v>1.9100172519683838</v>
      </c>
      <c r="W15" s="24">
        <v>27.091903216964404</v>
      </c>
      <c r="X15" s="24">
        <v>12.544987537518466</v>
      </c>
      <c r="Y15" s="24">
        <v>16.522897720336914</v>
      </c>
      <c r="Z15" s="24">
        <v>0.83540046215057373</v>
      </c>
      <c r="AA15" s="24">
        <v>0.97036423983484033</v>
      </c>
      <c r="AB15" s="24">
        <v>4.3937432678189241</v>
      </c>
      <c r="AC15" s="24">
        <v>232.30299588396784</v>
      </c>
      <c r="AD15" s="24">
        <v>1.9159727096557617</v>
      </c>
      <c r="AE15" s="24">
        <v>27.120698957188566</v>
      </c>
      <c r="AF15" s="24">
        <v>15.114298938137841</v>
      </c>
      <c r="AG15" s="24">
        <v>19.455907821655273</v>
      </c>
      <c r="AH15" s="24">
        <v>0.67964053153991699</v>
      </c>
      <c r="AI15" s="24">
        <v>0.96592396989977802</v>
      </c>
      <c r="AJ15" s="24">
        <v>4.3753594047736568</v>
      </c>
      <c r="AK15" s="24">
        <v>231.2282548351119</v>
      </c>
      <c r="AL15" s="24">
        <v>1.9168242216110229</v>
      </c>
      <c r="AM15" s="24">
        <v>27.124812634363444</v>
      </c>
      <c r="AN15" s="24">
        <v>17.654784408874789</v>
      </c>
      <c r="AO15" s="24">
        <v>22.624904632568359</v>
      </c>
      <c r="AP15" s="24">
        <v>0.63277798891067505</v>
      </c>
      <c r="AQ15" s="24">
        <v>0.9350271579258348</v>
      </c>
      <c r="AR15" s="24">
        <v>4.2466723634567849</v>
      </c>
      <c r="AS15" s="24">
        <v>223.73113678523873</v>
      </c>
      <c r="AT15" s="24">
        <v>1.9227895736694336</v>
      </c>
      <c r="AU15" s="24">
        <v>27.153608374587602</v>
      </c>
      <c r="AV15" s="24">
        <v>19.824379204838952</v>
      </c>
      <c r="AW15" s="24">
        <v>25.638898849487305</v>
      </c>
      <c r="AX15" s="24">
        <v>0.56936883926391602</v>
      </c>
      <c r="AY15" s="24">
        <v>0.9350271579258348</v>
      </c>
      <c r="AZ15" s="24">
        <v>4.2466723634567849</v>
      </c>
      <c r="BA15" s="24">
        <v>223.73113678523873</v>
      </c>
      <c r="BB15" s="24">
        <v>1.9227895736694336</v>
      </c>
      <c r="BC15" s="24">
        <v>27.153608374587602</v>
      </c>
      <c r="BD15" s="24">
        <v>22.015452361812219</v>
      </c>
      <c r="BE15" s="24">
        <v>29.051900863647461</v>
      </c>
      <c r="BF15" s="24">
        <v>0.55836778879165649</v>
      </c>
      <c r="BG15" s="24">
        <v>0.90009528567253816</v>
      </c>
      <c r="BH15" s="24">
        <v>4.0996014590946448</v>
      </c>
      <c r="BI15" s="24">
        <v>215.21856368330893</v>
      </c>
      <c r="BJ15" s="24">
        <v>1.9296181201934814</v>
      </c>
      <c r="BK15" s="24">
        <v>27.186517791986642</v>
      </c>
      <c r="BL15" s="24">
        <v>23.735576559827294</v>
      </c>
      <c r="BM15" s="24">
        <v>32.125892639160156</v>
      </c>
      <c r="BN15" s="24">
        <v>0.54023492336273193</v>
      </c>
      <c r="BO15" s="24">
        <v>0.88709317999510595</v>
      </c>
      <c r="BP15" s="24">
        <v>4.044449869958842</v>
      </c>
      <c r="BQ15" s="24">
        <v>212.04153573733294</v>
      </c>
      <c r="BR15" s="24">
        <v>1.932181715965271</v>
      </c>
      <c r="BS15" s="24">
        <v>27.19885882351128</v>
      </c>
      <c r="BT15" s="24">
        <v>25.413812588551803</v>
      </c>
      <c r="BU15" s="24">
        <v>35.574901580810547</v>
      </c>
      <c r="BV15" s="24">
        <v>0.55792969465255737</v>
      </c>
      <c r="BW15" s="24">
        <v>0.86123438120389528</v>
      </c>
      <c r="BX15" s="24">
        <v>3.9341466916872374</v>
      </c>
      <c r="BY15" s="24">
        <v>205.71218936159852</v>
      </c>
      <c r="BZ15" s="24">
        <v>1.9373137950897217</v>
      </c>
      <c r="CA15" s="24">
        <v>27.22354088656056</v>
      </c>
      <c r="CB15" s="24">
        <v>26.794899261061712</v>
      </c>
      <c r="CC15" s="24">
        <v>38.888904571533203</v>
      </c>
      <c r="CD15" s="24">
        <v>0.5688401460647583</v>
      </c>
      <c r="CE15" s="24">
        <v>0.83556021839417494</v>
      </c>
      <c r="CF15" s="24">
        <v>3.823843513415631</v>
      </c>
      <c r="CG15" s="24">
        <v>199.41562333236303</v>
      </c>
      <c r="CH15" s="24">
        <v>1.9424523115158081</v>
      </c>
      <c r="CI15" s="24">
        <v>27.24822294960984</v>
      </c>
      <c r="CJ15" s="24">
        <v>27.997217833681415</v>
      </c>
      <c r="CK15" s="24">
        <v>42.244899749755859</v>
      </c>
      <c r="CL15" s="24">
        <v>0.59005242586135864</v>
      </c>
    </row>
    <row r="16" spans="1:90">
      <c r="A16" s="24"/>
      <c r="B16" s="24">
        <f t="shared" si="0"/>
        <v>1.75</v>
      </c>
      <c r="C16" s="24">
        <v>1.0378619718996447</v>
      </c>
      <c r="D16" s="24">
        <v>4.6878850765432043</v>
      </c>
      <c r="E16" s="24">
        <v>220.63217388446117</v>
      </c>
      <c r="F16" s="24">
        <v>2.1523730754852295</v>
      </c>
      <c r="G16" s="24">
        <v>27.054880122390486</v>
      </c>
      <c r="H16" s="24">
        <v>6.3659173871358563</v>
      </c>
      <c r="I16" s="24">
        <v>10.324885368347168</v>
      </c>
      <c r="J16" s="24">
        <v>1.352388858795166</v>
      </c>
      <c r="K16" s="24">
        <v>1.0151685943196853</v>
      </c>
      <c r="L16" s="24">
        <v>4.595965761316867</v>
      </c>
      <c r="M16" s="24">
        <v>215.88028948876743</v>
      </c>
      <c r="N16" s="24">
        <v>2.1566181182861328</v>
      </c>
      <c r="O16" s="24">
        <v>27.075448508264884</v>
      </c>
      <c r="P16" s="24">
        <v>9.2291198092492586</v>
      </c>
      <c r="Q16" s="24">
        <v>13.071900367736816</v>
      </c>
      <c r="R16" s="24">
        <v>0.97148507833480835</v>
      </c>
      <c r="S16" s="24">
        <v>1.010654589715664</v>
      </c>
      <c r="T16" s="24">
        <v>4.5775818982715997</v>
      </c>
      <c r="U16" s="24">
        <v>214.93210317080133</v>
      </c>
      <c r="V16" s="24">
        <v>2.1574676036834717</v>
      </c>
      <c r="W16" s="24">
        <v>27.079562185439766</v>
      </c>
      <c r="X16" s="24">
        <v>12.012702413054702</v>
      </c>
      <c r="Y16" s="24">
        <v>15.941897392272949</v>
      </c>
      <c r="Z16" s="24">
        <v>0.79006153345108032</v>
      </c>
      <c r="AA16" s="24">
        <v>1.0016495814886457</v>
      </c>
      <c r="AB16" s="24">
        <v>4.5408141721810642</v>
      </c>
      <c r="AC16" s="24">
        <v>213.03791605495607</v>
      </c>
      <c r="AD16" s="24">
        <v>2.1591672897338867</v>
      </c>
      <c r="AE16" s="24">
        <v>27.087789539789526</v>
      </c>
      <c r="AF16" s="24">
        <v>14.630182957449451</v>
      </c>
      <c r="AG16" s="24">
        <v>18.869909286499023</v>
      </c>
      <c r="AH16" s="24">
        <v>0.69021743535995483</v>
      </c>
      <c r="AI16" s="24">
        <v>0.97481170702151654</v>
      </c>
      <c r="AJ16" s="24">
        <v>4.4305109939094596</v>
      </c>
      <c r="AK16" s="24">
        <v>207.37279367321037</v>
      </c>
      <c r="AL16" s="24">
        <v>2.1642701625823975</v>
      </c>
      <c r="AM16" s="24">
        <v>27.112471602838802</v>
      </c>
      <c r="AN16" s="24">
        <v>16.972503872187016</v>
      </c>
      <c r="AO16" s="24">
        <v>21.735906600952148</v>
      </c>
      <c r="AP16" s="24">
        <v>0.59897595643997192</v>
      </c>
      <c r="AQ16" s="24">
        <v>0.97036423983484033</v>
      </c>
      <c r="AR16" s="24">
        <v>4.3937432678189241</v>
      </c>
      <c r="AS16" s="24">
        <v>205.49021584636603</v>
      </c>
      <c r="AT16" s="24">
        <v>2.1659727096557617</v>
      </c>
      <c r="AU16" s="24">
        <v>27.120698957188566</v>
      </c>
      <c r="AV16" s="24">
        <v>19.259437531263917</v>
      </c>
      <c r="AW16" s="24">
        <v>24.809900283813477</v>
      </c>
      <c r="AX16" s="24">
        <v>0.5648643970489502</v>
      </c>
      <c r="AY16" s="24">
        <v>0.95706367068518905</v>
      </c>
      <c r="AZ16" s="24">
        <v>4.3385916786831222</v>
      </c>
      <c r="BA16" s="24">
        <v>202.67176598953819</v>
      </c>
      <c r="BB16" s="24">
        <v>2.1685276031494141</v>
      </c>
      <c r="BC16" s="24">
        <v>27.133039988713204</v>
      </c>
      <c r="BD16" s="24">
        <v>21.337998165100633</v>
      </c>
      <c r="BE16" s="24">
        <v>27.936893463134766</v>
      </c>
      <c r="BF16" s="24">
        <v>0.54334259033203125</v>
      </c>
      <c r="BG16" s="24">
        <v>0.9350271579258348</v>
      </c>
      <c r="BH16" s="24">
        <v>4.2466723634567849</v>
      </c>
      <c r="BI16" s="24">
        <v>197.98875319523759</v>
      </c>
      <c r="BJ16" s="24">
        <v>2.1727895736694336</v>
      </c>
      <c r="BK16" s="24">
        <v>27.153608374587602</v>
      </c>
      <c r="BL16" s="24">
        <v>23.15925681029055</v>
      </c>
      <c r="BM16" s="24">
        <v>31.041893005371094</v>
      </c>
      <c r="BN16" s="24">
        <v>0.53176486492156982</v>
      </c>
      <c r="BO16" s="24">
        <v>0.90009528567253816</v>
      </c>
      <c r="BP16" s="24">
        <v>4.0996014590946448</v>
      </c>
      <c r="BQ16" s="24">
        <v>190.53321084389302</v>
      </c>
      <c r="BR16" s="24">
        <v>2.1796181201934814</v>
      </c>
      <c r="BS16" s="24">
        <v>27.186517791986642</v>
      </c>
      <c r="BT16" s="24">
        <v>24.682776777610858</v>
      </c>
      <c r="BU16" s="24">
        <v>34.00390625</v>
      </c>
      <c r="BV16" s="24">
        <v>0.51771485805511475</v>
      </c>
      <c r="BW16" s="24">
        <v>0.8914217378213154</v>
      </c>
      <c r="BX16" s="24">
        <v>4.0628337330041093</v>
      </c>
      <c r="BY16" s="24">
        <v>188.67646338893354</v>
      </c>
      <c r="BZ16" s="24">
        <v>2.1813268661499023</v>
      </c>
      <c r="CA16" s="24">
        <v>27.194745146336402</v>
      </c>
      <c r="CB16" s="24">
        <v>26.229512931223738</v>
      </c>
      <c r="CC16" s="24">
        <v>37.467910766601562</v>
      </c>
      <c r="CD16" s="24">
        <v>0.54490840435028076</v>
      </c>
      <c r="CE16" s="24">
        <v>0.86553062788129864</v>
      </c>
      <c r="CF16" s="24">
        <v>3.9525305547325047</v>
      </c>
      <c r="CG16" s="24">
        <v>183.12327430981335</v>
      </c>
      <c r="CH16" s="24">
        <v>2.1864578723907471</v>
      </c>
      <c r="CI16" s="24">
        <v>27.219427209385678</v>
      </c>
      <c r="CJ16" s="24">
        <v>27.463685722578635</v>
      </c>
      <c r="CK16" s="24">
        <v>40.692901611328125</v>
      </c>
      <c r="CL16" s="24">
        <v>0.55476701259613037</v>
      </c>
    </row>
    <row r="17" spans="1:90">
      <c r="A17" s="24"/>
      <c r="B17" s="24">
        <f t="shared" si="0"/>
        <v>2</v>
      </c>
      <c r="C17" s="24">
        <v>1.0469969420262586</v>
      </c>
      <c r="D17" s="24">
        <v>4.7246528026337389</v>
      </c>
      <c r="E17" s="24">
        <v>199.36353493117889</v>
      </c>
      <c r="F17" s="24">
        <v>2.4006764888763428</v>
      </c>
      <c r="G17" s="24">
        <v>27.046652768040726</v>
      </c>
      <c r="H17" s="24">
        <v>6.0790786426549008</v>
      </c>
      <c r="I17" s="24">
        <v>10.057882308959961</v>
      </c>
      <c r="J17" s="24">
        <v>1.4624258279800415</v>
      </c>
      <c r="K17" s="24">
        <v>1.0333070166167508</v>
      </c>
      <c r="L17" s="24">
        <v>4.669501213497937</v>
      </c>
      <c r="M17" s="24">
        <v>196.82764364218164</v>
      </c>
      <c r="N17" s="24">
        <v>2.4032218456268311</v>
      </c>
      <c r="O17" s="24">
        <v>27.058993799565368</v>
      </c>
      <c r="P17" s="24">
        <v>8.8622843062308654</v>
      </c>
      <c r="Q17" s="24">
        <v>12.702899932861328</v>
      </c>
      <c r="R17" s="24">
        <v>1.0179022550582886</v>
      </c>
      <c r="S17" s="24">
        <v>1.0151685943196853</v>
      </c>
      <c r="T17" s="24">
        <v>4.595965761316867</v>
      </c>
      <c r="U17" s="24">
        <v>193.45459875867454</v>
      </c>
      <c r="V17" s="24">
        <v>2.4066181182861328</v>
      </c>
      <c r="W17" s="24">
        <v>27.075448508264884</v>
      </c>
      <c r="X17" s="24">
        <v>11.485110739279964</v>
      </c>
      <c r="Y17" s="24">
        <v>15.378893852233887</v>
      </c>
      <c r="Z17" s="24">
        <v>0.77880126237869263</v>
      </c>
      <c r="AA17" s="24">
        <v>1.0151685943196853</v>
      </c>
      <c r="AB17" s="24">
        <v>4.595965761316867</v>
      </c>
      <c r="AC17" s="24">
        <v>193.45459875867454</v>
      </c>
      <c r="AD17" s="24">
        <v>2.4066181182861328</v>
      </c>
      <c r="AE17" s="24">
        <v>27.075448508264884</v>
      </c>
      <c r="AF17" s="24">
        <v>14.068320360442582</v>
      </c>
      <c r="AG17" s="24">
        <v>18.214902877807617</v>
      </c>
      <c r="AH17" s="24">
        <v>0.67756617069244385</v>
      </c>
      <c r="AI17" s="24">
        <v>1.0061482846650671</v>
      </c>
      <c r="AJ17" s="24">
        <v>4.5591980352263315</v>
      </c>
      <c r="AK17" s="24">
        <v>191.77155863590681</v>
      </c>
      <c r="AL17" s="24">
        <v>2.4083173274993896</v>
      </c>
      <c r="AM17" s="24">
        <v>27.083675862614644</v>
      </c>
      <c r="AN17" s="24">
        <v>16.466644314939447</v>
      </c>
      <c r="AO17" s="24">
        <v>21.082904815673828</v>
      </c>
      <c r="AP17" s="24">
        <v>0.61878794431686401</v>
      </c>
      <c r="AQ17" s="24">
        <v>0.9881981274902838</v>
      </c>
      <c r="AR17" s="24">
        <v>4.4856625830452614</v>
      </c>
      <c r="AS17" s="24">
        <v>188.4124258510592</v>
      </c>
      <c r="AT17" s="24">
        <v>2.4117178916931152</v>
      </c>
      <c r="AU17" s="24">
        <v>27.100130571314164</v>
      </c>
      <c r="AV17" s="24">
        <v>18.653579799869604</v>
      </c>
      <c r="AW17" s="24">
        <v>23.95390510559082</v>
      </c>
      <c r="AX17" s="24">
        <v>0.56029069423675537</v>
      </c>
      <c r="AY17" s="24">
        <v>0.97036423983484033</v>
      </c>
      <c r="AZ17" s="24">
        <v>4.4121271308641923</v>
      </c>
      <c r="BA17" s="24">
        <v>185.06253351860343</v>
      </c>
      <c r="BB17" s="24">
        <v>2.41512131690979</v>
      </c>
      <c r="BC17" s="24">
        <v>27.116585280013684</v>
      </c>
      <c r="BD17" s="24">
        <v>20.675357586858194</v>
      </c>
      <c r="BE17" s="24">
        <v>26.892892837524414</v>
      </c>
      <c r="BF17" s="24">
        <v>0.53111845254898071</v>
      </c>
      <c r="BG17" s="24">
        <v>0.95706367068518905</v>
      </c>
      <c r="BH17" s="24">
        <v>4.3569755417283895</v>
      </c>
      <c r="BI17" s="24">
        <v>182.55616188655682</v>
      </c>
      <c r="BJ17" s="24">
        <v>2.4176757335662842</v>
      </c>
      <c r="BK17" s="24">
        <v>27.128926311538322</v>
      </c>
      <c r="BL17" s="24">
        <v>22.561262762077035</v>
      </c>
      <c r="BM17" s="24">
        <v>29.969894409179687</v>
      </c>
      <c r="BN17" s="24">
        <v>0.51600450277328491</v>
      </c>
      <c r="BO17" s="24">
        <v>0.9350271579258348</v>
      </c>
      <c r="BP17" s="24">
        <v>4.2466723634567849</v>
      </c>
      <c r="BQ17" s="24">
        <v>177.55891990635072</v>
      </c>
      <c r="BR17" s="24">
        <v>2.4227895736694336</v>
      </c>
      <c r="BS17" s="24">
        <v>27.153608374587602</v>
      </c>
      <c r="BT17" s="24">
        <v>24.163960640590251</v>
      </c>
      <c r="BU17" s="24">
        <v>32.943897247314453</v>
      </c>
      <c r="BV17" s="24">
        <v>0.50043946504592896</v>
      </c>
      <c r="BW17" s="24">
        <v>0.90009528567253816</v>
      </c>
      <c r="BX17" s="24">
        <v>4.0996014590946448</v>
      </c>
      <c r="BY17" s="24">
        <v>170.92794718050132</v>
      </c>
      <c r="BZ17" s="24">
        <v>2.4296181201934814</v>
      </c>
      <c r="CA17" s="24">
        <v>27.186517791986642</v>
      </c>
      <c r="CB17" s="24">
        <v>25.517690262902089</v>
      </c>
      <c r="CC17" s="24">
        <v>35.803901672363281</v>
      </c>
      <c r="CD17" s="24">
        <v>0.49663683772087097</v>
      </c>
      <c r="CE17" s="24">
        <v>0.8914217378213154</v>
      </c>
      <c r="CF17" s="24">
        <v>4.0628337330041093</v>
      </c>
      <c r="CG17" s="24">
        <v>169.27589878519683</v>
      </c>
      <c r="CH17" s="24">
        <v>2.4313268661499023</v>
      </c>
      <c r="CI17" s="24">
        <v>27.194745146336402</v>
      </c>
      <c r="CJ17" s="24">
        <v>26.92348788069388</v>
      </c>
      <c r="CK17" s="24">
        <v>39.221900939941406</v>
      </c>
      <c r="CL17" s="24">
        <v>0.5231403112411499</v>
      </c>
    </row>
    <row r="18" spans="1:90">
      <c r="A18" s="24"/>
      <c r="B18" s="24">
        <f t="shared" si="0"/>
        <v>2.25</v>
      </c>
      <c r="C18" s="24">
        <v>1.0561660509861999</v>
      </c>
      <c r="D18" s="24">
        <v>4.7614205287242743</v>
      </c>
      <c r="E18" s="24">
        <v>182.08209734044536</v>
      </c>
      <c r="F18" s="24">
        <v>2.6489803791046143</v>
      </c>
      <c r="G18" s="24">
        <v>27.038425413690966</v>
      </c>
      <c r="H18" s="24">
        <v>5.8209448374991668</v>
      </c>
      <c r="I18" s="24">
        <v>9.8188877105712891</v>
      </c>
      <c r="J18" s="24">
        <v>1.4561749696731567</v>
      </c>
      <c r="K18" s="24">
        <v>1.0469969420262586</v>
      </c>
      <c r="L18" s="24">
        <v>4.7246528026337389</v>
      </c>
      <c r="M18" s="24">
        <v>180.56045351771101</v>
      </c>
      <c r="N18" s="24">
        <v>2.6506764888763428</v>
      </c>
      <c r="O18" s="24">
        <v>27.046652768040726</v>
      </c>
      <c r="P18" s="24">
        <v>8.5146320754880165</v>
      </c>
      <c r="Q18" s="24">
        <v>12.357898712158203</v>
      </c>
      <c r="R18" s="24">
        <v>1.0102332830429077</v>
      </c>
      <c r="S18" s="24">
        <v>1.0378619718996447</v>
      </c>
      <c r="T18" s="24">
        <v>4.6878850765432043</v>
      </c>
      <c r="U18" s="24">
        <v>179.04070753709124</v>
      </c>
      <c r="V18" s="24">
        <v>2.6523730754852295</v>
      </c>
      <c r="W18" s="24">
        <v>27.054880122390486</v>
      </c>
      <c r="X18" s="24">
        <v>11.093789168515833</v>
      </c>
      <c r="Y18" s="24">
        <v>14.958893775939941</v>
      </c>
      <c r="Z18" s="24">
        <v>0.80312782526016235</v>
      </c>
      <c r="AA18" s="24">
        <v>1.0151685943196853</v>
      </c>
      <c r="AB18" s="24">
        <v>4.595965761316867</v>
      </c>
      <c r="AC18" s="24">
        <v>175.24962967610304</v>
      </c>
      <c r="AD18" s="24">
        <v>2.6566181182861328</v>
      </c>
      <c r="AE18" s="24">
        <v>27.075448508264884</v>
      </c>
      <c r="AF18" s="24">
        <v>13.473226615155902</v>
      </c>
      <c r="AG18" s="24">
        <v>17.540901184082031</v>
      </c>
      <c r="AH18" s="24">
        <v>0.66487693786621094</v>
      </c>
      <c r="AI18" s="24">
        <v>1.0151685943196853</v>
      </c>
      <c r="AJ18" s="24">
        <v>4.595965761316867</v>
      </c>
      <c r="AK18" s="24">
        <v>175.24962967610304</v>
      </c>
      <c r="AL18" s="24">
        <v>2.6566181182861328</v>
      </c>
      <c r="AM18" s="24">
        <v>27.075448508264884</v>
      </c>
      <c r="AN18" s="24">
        <v>15.861505725373091</v>
      </c>
      <c r="AO18" s="24">
        <v>20.331905364990234</v>
      </c>
      <c r="AP18" s="24">
        <v>0.5886458158493042</v>
      </c>
      <c r="AQ18" s="24">
        <v>1.0061482846650671</v>
      </c>
      <c r="AR18" s="24">
        <v>4.5591980352263315</v>
      </c>
      <c r="AS18" s="24">
        <v>173.73650699432093</v>
      </c>
      <c r="AT18" s="24">
        <v>2.6583173274993896</v>
      </c>
      <c r="AU18" s="24">
        <v>27.083675862614644</v>
      </c>
      <c r="AV18" s="24">
        <v>18.065308025668511</v>
      </c>
      <c r="AW18" s="24">
        <v>23.147895812988281</v>
      </c>
      <c r="AX18" s="24">
        <v>0.54500883817672729</v>
      </c>
      <c r="AY18" s="24">
        <v>0.9881981274902838</v>
      </c>
      <c r="AZ18" s="24">
        <v>4.4856625830452614</v>
      </c>
      <c r="BA18" s="24">
        <v>170.71591996094861</v>
      </c>
      <c r="BB18" s="24">
        <v>2.6617178916931152</v>
      </c>
      <c r="BC18" s="24">
        <v>27.100130571314164</v>
      </c>
      <c r="BD18" s="24">
        <v>20.058922528966967</v>
      </c>
      <c r="BE18" s="24">
        <v>25.956901550292969</v>
      </c>
      <c r="BF18" s="24">
        <v>0.51242232322692871</v>
      </c>
      <c r="BG18" s="24">
        <v>0.97036423983484033</v>
      </c>
      <c r="BH18" s="24">
        <v>4.4121271308641923</v>
      </c>
      <c r="BI18" s="24">
        <v>167.70286127009192</v>
      </c>
      <c r="BJ18" s="24">
        <v>2.66512131690979</v>
      </c>
      <c r="BK18" s="24">
        <v>27.116585280013684</v>
      </c>
      <c r="BL18" s="24">
        <v>21.896843296563173</v>
      </c>
      <c r="BM18" s="24">
        <v>28.837894439697266</v>
      </c>
      <c r="BN18" s="24">
        <v>0.49980804324150085</v>
      </c>
      <c r="BO18" s="24">
        <v>0.95706367068518905</v>
      </c>
      <c r="BP18" s="24">
        <v>4.3569755417283895</v>
      </c>
      <c r="BQ18" s="24">
        <v>165.44799613591653</v>
      </c>
      <c r="BR18" s="24">
        <v>2.6676757335662842</v>
      </c>
      <c r="BS18" s="24">
        <v>27.128926311538322</v>
      </c>
      <c r="BT18" s="24">
        <v>23.612039415723448</v>
      </c>
      <c r="BU18" s="24">
        <v>31.86988639831543</v>
      </c>
      <c r="BV18" s="24">
        <v>0.49043771624565125</v>
      </c>
      <c r="BW18" s="24">
        <v>0.9350271579258348</v>
      </c>
      <c r="BX18" s="24">
        <v>4.2466723634567849</v>
      </c>
      <c r="BY18" s="24">
        <v>160.95090503438735</v>
      </c>
      <c r="BZ18" s="24">
        <v>2.6727895736694336</v>
      </c>
      <c r="CA18" s="24">
        <v>27.153608374587602</v>
      </c>
      <c r="CB18" s="24">
        <v>25.05235601025193</v>
      </c>
      <c r="CC18" s="24">
        <v>34.772911071777344</v>
      </c>
      <c r="CD18" s="24">
        <v>0.48542320728302002</v>
      </c>
      <c r="CE18" s="24">
        <v>0.90009528567253816</v>
      </c>
      <c r="CF18" s="24">
        <v>4.0996014590946448</v>
      </c>
      <c r="CG18" s="24">
        <v>154.98090330967582</v>
      </c>
      <c r="CH18" s="24">
        <v>2.6796181201934814</v>
      </c>
      <c r="CI18" s="24">
        <v>27.186517791986642</v>
      </c>
      <c r="CJ18" s="24">
        <v>26.259277644323781</v>
      </c>
      <c r="CK18" s="24">
        <v>37.538902282714844</v>
      </c>
      <c r="CL18" s="24">
        <v>0.47698628902435303</v>
      </c>
    </row>
    <row r="19" spans="1:90">
      <c r="A19" s="24"/>
      <c r="B19" s="24">
        <f t="shared" si="0"/>
        <v>2.5</v>
      </c>
      <c r="C19" s="24">
        <v>1.0653701930392288</v>
      </c>
      <c r="D19" s="24">
        <v>4.7981882548148089</v>
      </c>
      <c r="E19" s="24">
        <v>167.76273695790755</v>
      </c>
      <c r="F19" s="24">
        <v>2.897284984588623</v>
      </c>
      <c r="G19" s="24">
        <v>27.030198059341206</v>
      </c>
      <c r="H19" s="24">
        <v>5.586540574598164</v>
      </c>
      <c r="I19" s="24">
        <v>9.6028861999511719</v>
      </c>
      <c r="J19" s="24">
        <v>1.4505833387374878</v>
      </c>
      <c r="K19" s="24">
        <v>1.0607636859387208</v>
      </c>
      <c r="L19" s="24">
        <v>4.7798043917695416</v>
      </c>
      <c r="M19" s="24">
        <v>167.07109332530831</v>
      </c>
      <c r="N19" s="24">
        <v>2.8981325626373291</v>
      </c>
      <c r="O19" s="24">
        <v>27.034311736516088</v>
      </c>
      <c r="P19" s="24">
        <v>8.1989560255708671</v>
      </c>
      <c r="Q19" s="24">
        <v>12.046899795532227</v>
      </c>
      <c r="R19" s="24">
        <v>1.003392219543457</v>
      </c>
      <c r="S19" s="24">
        <v>1.0469969420262586</v>
      </c>
      <c r="T19" s="24">
        <v>4.7246528026337389</v>
      </c>
      <c r="U19" s="24">
        <v>164.99852674618865</v>
      </c>
      <c r="V19" s="24">
        <v>2.9006764888763428</v>
      </c>
      <c r="W19" s="24">
        <v>27.046652768040726</v>
      </c>
      <c r="X19" s="24">
        <v>10.672069459184192</v>
      </c>
      <c r="Y19" s="24">
        <v>14.517894744873047</v>
      </c>
      <c r="Z19" s="24">
        <v>0.79447519779205322</v>
      </c>
      <c r="AA19" s="24">
        <v>1.0424252444681483</v>
      </c>
      <c r="AB19" s="24">
        <v>4.7062689395884725</v>
      </c>
      <c r="AC19" s="24">
        <v>164.30845859173454</v>
      </c>
      <c r="AD19" s="24">
        <v>2.901524543762207</v>
      </c>
      <c r="AE19" s="24">
        <v>27.050766445215608</v>
      </c>
      <c r="AF19" s="24">
        <v>13.083692685604149</v>
      </c>
      <c r="AG19" s="24">
        <v>17.094888687133789</v>
      </c>
      <c r="AH19" s="24">
        <v>0.67901414632797241</v>
      </c>
      <c r="AI19" s="24">
        <v>1.0151685943196853</v>
      </c>
      <c r="AJ19" s="24">
        <v>4.595965761316867</v>
      </c>
      <c r="AK19" s="24">
        <v>160.17630167810526</v>
      </c>
      <c r="AL19" s="24">
        <v>2.9066181182861328</v>
      </c>
      <c r="AM19" s="24">
        <v>27.075448508264884</v>
      </c>
      <c r="AN19" s="24">
        <v>15.238555465915319</v>
      </c>
      <c r="AO19" s="24">
        <v>19.580905914306641</v>
      </c>
      <c r="AP19" s="24">
        <v>0.59086084365844727</v>
      </c>
      <c r="AQ19" s="24">
        <v>1.0151685943196853</v>
      </c>
      <c r="AR19" s="24">
        <v>4.595965761316867</v>
      </c>
      <c r="AS19" s="24">
        <v>160.17630167810526</v>
      </c>
      <c r="AT19" s="24">
        <v>2.9066181182861328</v>
      </c>
      <c r="AU19" s="24">
        <v>27.075448508264884</v>
      </c>
      <c r="AV19" s="24">
        <v>17.455246117282144</v>
      </c>
      <c r="AW19" s="24">
        <v>22.338905334472656</v>
      </c>
      <c r="AX19" s="24">
        <v>0.54240787029266357</v>
      </c>
      <c r="AY19" s="24">
        <v>1.010654589715664</v>
      </c>
      <c r="AZ19" s="24">
        <v>4.5775818982715997</v>
      </c>
      <c r="BA19" s="24">
        <v>159.48898214618634</v>
      </c>
      <c r="BB19" s="24">
        <v>2.9074676036834717</v>
      </c>
      <c r="BC19" s="24">
        <v>27.079562185439766</v>
      </c>
      <c r="BD19" s="24">
        <v>19.521192474151967</v>
      </c>
      <c r="BE19" s="24">
        <v>25.162891387939453</v>
      </c>
      <c r="BF19" s="24">
        <v>0.50724625587463379</v>
      </c>
      <c r="BG19" s="24">
        <v>0.99267459709134576</v>
      </c>
      <c r="BH19" s="24">
        <v>4.5040464460905296</v>
      </c>
      <c r="BI19" s="24">
        <v>156.74361966419244</v>
      </c>
      <c r="BJ19" s="24">
        <v>2.91086745262146</v>
      </c>
      <c r="BK19" s="24">
        <v>27.096016894139286</v>
      </c>
      <c r="BL19" s="24">
        <v>21.344418350602727</v>
      </c>
      <c r="BM19" s="24">
        <v>27.929893493652344</v>
      </c>
      <c r="BN19" s="24">
        <v>0.48974353075027466</v>
      </c>
      <c r="BO19" s="24">
        <v>0.97036423983484033</v>
      </c>
      <c r="BP19" s="24">
        <v>4.4121271308641923</v>
      </c>
      <c r="BQ19" s="24">
        <v>153.32071038030378</v>
      </c>
      <c r="BR19" s="24">
        <v>2.91512131690979</v>
      </c>
      <c r="BS19" s="24">
        <v>27.116585280013684</v>
      </c>
      <c r="BT19" s="24">
        <v>22.981412243699204</v>
      </c>
      <c r="BU19" s="24">
        <v>30.705898284912109</v>
      </c>
      <c r="BV19" s="24">
        <v>0.47914308309555054</v>
      </c>
      <c r="BW19" s="24">
        <v>0.96149047515584185</v>
      </c>
      <c r="BX19" s="24">
        <v>4.3753594047736568</v>
      </c>
      <c r="BY19" s="24">
        <v>151.95427692563362</v>
      </c>
      <c r="BZ19" s="24">
        <v>2.9168241024017334</v>
      </c>
      <c r="CA19" s="24">
        <v>27.124812634363444</v>
      </c>
      <c r="CB19" s="24">
        <v>24.583142507228434</v>
      </c>
      <c r="CC19" s="24">
        <v>33.778900146484375</v>
      </c>
      <c r="CD19" s="24">
        <v>0.48171305656433105</v>
      </c>
      <c r="CE19" s="24">
        <v>0.9350271579258348</v>
      </c>
      <c r="CF19" s="24">
        <v>4.2466723634567849</v>
      </c>
      <c r="CG19" s="24">
        <v>147.1840140469028</v>
      </c>
      <c r="CH19" s="24">
        <v>2.9227895736694336</v>
      </c>
      <c r="CI19" s="24">
        <v>27.153608374587602</v>
      </c>
      <c r="CJ19" s="24">
        <v>25.843368119538631</v>
      </c>
      <c r="CK19" s="24">
        <v>36.541889190673828</v>
      </c>
      <c r="CL19" s="24">
        <v>0.47592681646347046</v>
      </c>
    </row>
    <row r="20" spans="1:90">
      <c r="A20" s="24"/>
      <c r="B20" s="24">
        <f t="shared" si="0"/>
        <v>2.75</v>
      </c>
      <c r="C20" s="24">
        <v>1.0699857189952808</v>
      </c>
      <c r="D20" s="24">
        <v>4.8165721178600762</v>
      </c>
      <c r="E20" s="24">
        <v>155.07021182922841</v>
      </c>
      <c r="F20" s="24">
        <v>3.1464376449584961</v>
      </c>
      <c r="G20" s="24">
        <v>27.026084382166328</v>
      </c>
      <c r="H20" s="24">
        <v>5.3613523560782834</v>
      </c>
      <c r="I20" s="24">
        <v>9.3978815078735352</v>
      </c>
      <c r="J20" s="24">
        <v>1.4453102350234985</v>
      </c>
      <c r="K20" s="24">
        <v>1.0699857189952808</v>
      </c>
      <c r="L20" s="24">
        <v>4.8165721178600762</v>
      </c>
      <c r="M20" s="24">
        <v>155.07021182922841</v>
      </c>
      <c r="N20" s="24">
        <v>3.1464376449584961</v>
      </c>
      <c r="O20" s="24">
        <v>27.026084382166328</v>
      </c>
      <c r="P20" s="24">
        <v>7.8934930343884648</v>
      </c>
      <c r="Q20" s="24">
        <v>11.74990177154541</v>
      </c>
      <c r="R20" s="24">
        <v>1.0568097829818726</v>
      </c>
      <c r="S20" s="24">
        <v>1.0607636859387208</v>
      </c>
      <c r="T20" s="24">
        <v>4.7798043917695416</v>
      </c>
      <c r="U20" s="24">
        <v>153.80361751797682</v>
      </c>
      <c r="V20" s="24">
        <v>3.1481325626373291</v>
      </c>
      <c r="W20" s="24">
        <v>27.034311736516088</v>
      </c>
      <c r="X20" s="24">
        <v>10.307822976904353</v>
      </c>
      <c r="Y20" s="24">
        <v>14.138897895812988</v>
      </c>
      <c r="Z20" s="24">
        <v>0.82174336910247803</v>
      </c>
      <c r="AA20" s="24">
        <v>1.0469969420262586</v>
      </c>
      <c r="AB20" s="24">
        <v>4.7246528026337389</v>
      </c>
      <c r="AC20" s="24">
        <v>151.90621679743865</v>
      </c>
      <c r="AD20" s="24">
        <v>3.1506764888763428</v>
      </c>
      <c r="AE20" s="24">
        <v>27.046652768040726</v>
      </c>
      <c r="AF20" s="24">
        <v>12.597730363258115</v>
      </c>
      <c r="AG20" s="24">
        <v>16.55888557434082</v>
      </c>
      <c r="AH20" s="24">
        <v>0.69239574670791626</v>
      </c>
      <c r="AI20" s="24">
        <v>1.0424252444681483</v>
      </c>
      <c r="AJ20" s="24">
        <v>4.7062689395884725</v>
      </c>
      <c r="AK20" s="24">
        <v>151.27441343945472</v>
      </c>
      <c r="AL20" s="24">
        <v>3.151524543762207</v>
      </c>
      <c r="AM20" s="24">
        <v>27.050766445215608</v>
      </c>
      <c r="AN20" s="24">
        <v>14.841516531943803</v>
      </c>
      <c r="AO20" s="24">
        <v>19.098897933959961</v>
      </c>
      <c r="AP20" s="24">
        <v>0.59897845983505249</v>
      </c>
      <c r="AQ20" s="24">
        <v>1.0151685943196853</v>
      </c>
      <c r="AR20" s="24">
        <v>4.595965761316867</v>
      </c>
      <c r="AS20" s="24">
        <v>147.49054919608156</v>
      </c>
      <c r="AT20" s="24">
        <v>3.1566181182861328</v>
      </c>
      <c r="AU20" s="24">
        <v>27.075448508264884</v>
      </c>
      <c r="AV20" s="24">
        <v>16.817372108351513</v>
      </c>
      <c r="AW20" s="24">
        <v>21.519901275634766</v>
      </c>
      <c r="AX20" s="24">
        <v>0.54022538661956787</v>
      </c>
      <c r="AY20" s="24">
        <v>1.0151685943196853</v>
      </c>
      <c r="AZ20" s="24">
        <v>4.595965761316867</v>
      </c>
      <c r="BA20" s="24">
        <v>147.49054919608156</v>
      </c>
      <c r="BB20" s="24">
        <v>3.1566181182861328</v>
      </c>
      <c r="BC20" s="24">
        <v>27.075448508264884</v>
      </c>
      <c r="BD20" s="24">
        <v>18.879494450827842</v>
      </c>
      <c r="BE20" s="24">
        <v>24.253898620605469</v>
      </c>
      <c r="BF20" s="24">
        <v>0.50026470422744751</v>
      </c>
      <c r="BG20" s="24">
        <v>1.010654589715664</v>
      </c>
      <c r="BH20" s="24">
        <v>4.5775818982715997</v>
      </c>
      <c r="BI20" s="24">
        <v>146.86106296082679</v>
      </c>
      <c r="BJ20" s="24">
        <v>3.1574676036834717</v>
      </c>
      <c r="BK20" s="24">
        <v>27.079562185439766</v>
      </c>
      <c r="BL20" s="24">
        <v>20.792135204622241</v>
      </c>
      <c r="BM20" s="24">
        <v>27.054887771606445</v>
      </c>
      <c r="BN20" s="24">
        <v>0.48105162382125854</v>
      </c>
      <c r="BO20" s="24">
        <v>0.99267459709134576</v>
      </c>
      <c r="BP20" s="24">
        <v>4.5040464460905296</v>
      </c>
      <c r="BQ20" s="24">
        <v>144.34642010459629</v>
      </c>
      <c r="BR20" s="24">
        <v>3.16086745262146</v>
      </c>
      <c r="BS20" s="24">
        <v>27.096016894139286</v>
      </c>
      <c r="BT20" s="24">
        <v>22.460141395783335</v>
      </c>
      <c r="BU20" s="24">
        <v>29.780902862548828</v>
      </c>
      <c r="BV20" s="24">
        <v>0.46732622385025024</v>
      </c>
      <c r="BW20" s="24">
        <v>0.97036423983484033</v>
      </c>
      <c r="BX20" s="24">
        <v>4.4121271308641923</v>
      </c>
      <c r="BY20" s="24">
        <v>141.21053412217847</v>
      </c>
      <c r="BZ20" s="24">
        <v>3.16512131690979</v>
      </c>
      <c r="CA20" s="24">
        <v>27.116585280013684</v>
      </c>
      <c r="CB20" s="24">
        <v>23.949993428128632</v>
      </c>
      <c r="CC20" s="24">
        <v>32.511890411376953</v>
      </c>
      <c r="CD20" s="24">
        <v>0.45406264066696167</v>
      </c>
      <c r="CE20" s="24">
        <v>0.95706367068518905</v>
      </c>
      <c r="CF20" s="24">
        <v>4.3569755417283895</v>
      </c>
      <c r="CG20" s="24">
        <v>139.33295084794855</v>
      </c>
      <c r="CH20" s="24">
        <v>3.1676757335662842</v>
      </c>
      <c r="CI20" s="24">
        <v>27.128926311538322</v>
      </c>
      <c r="CJ20" s="24">
        <v>25.378541842944504</v>
      </c>
      <c r="CK20" s="24">
        <v>35.478908538818359</v>
      </c>
      <c r="CL20" s="24">
        <v>0.46317192912101746</v>
      </c>
    </row>
    <row r="21" spans="1:90">
      <c r="A21" s="24"/>
    </row>
    <row r="22" spans="1:90">
      <c r="B22" s="26"/>
      <c r="C22" s="24"/>
      <c r="D22" s="24"/>
      <c r="E22" s="24"/>
      <c r="F22" s="24"/>
      <c r="G22" s="24"/>
      <c r="H22" s="24"/>
      <c r="I22" s="24"/>
      <c r="J22" s="24"/>
    </row>
    <row r="23" spans="1:90">
      <c r="A23" s="24"/>
      <c r="B23" s="26"/>
      <c r="C23" s="24"/>
      <c r="D23" s="24"/>
      <c r="E23" s="24"/>
      <c r="F23" s="24"/>
      <c r="G23" s="24"/>
      <c r="H23" s="24"/>
      <c r="I23" s="24"/>
      <c r="J23" s="24"/>
    </row>
    <row r="24" spans="1:90">
      <c r="A24" s="31" t="s">
        <v>340</v>
      </c>
      <c r="C24" s="24"/>
      <c r="D24" s="24"/>
      <c r="E24" s="24"/>
      <c r="F24" s="24"/>
      <c r="G24" s="24"/>
      <c r="H24" s="24"/>
      <c r="I24" s="24"/>
      <c r="J24" s="24"/>
    </row>
    <row r="25" spans="1:90">
      <c r="A25" s="19" t="s">
        <v>346</v>
      </c>
      <c r="B25" s="24"/>
      <c r="C25" s="24"/>
      <c r="D25" s="24"/>
      <c r="E25" s="24"/>
      <c r="F25" s="24"/>
      <c r="G25" s="24"/>
      <c r="H25" s="24"/>
      <c r="I25" s="24"/>
      <c r="J25" s="24"/>
    </row>
    <row r="26" spans="1:90" ht="15">
      <c r="A26" s="24"/>
      <c r="B26" s="24"/>
      <c r="C26" s="24"/>
      <c r="D26" s="24"/>
      <c r="E26" s="24"/>
      <c r="F26" s="24"/>
      <c r="G26" s="24"/>
      <c r="H26" s="17">
        <v>8.3144597999999998</v>
      </c>
      <c r="I26" s="24"/>
      <c r="J26" s="24"/>
    </row>
    <row r="27" spans="1:90">
      <c r="A27" s="24"/>
      <c r="B27" s="19"/>
      <c r="C27" s="24"/>
      <c r="D27" s="24"/>
      <c r="E27" s="24"/>
      <c r="F27" s="24"/>
      <c r="G27" s="24"/>
      <c r="H27" s="24"/>
      <c r="I27" s="24"/>
      <c r="J27" s="24"/>
      <c r="K27" s="19" t="s">
        <v>148</v>
      </c>
      <c r="L27" s="19" t="s">
        <v>292</v>
      </c>
      <c r="M27" s="24"/>
      <c r="N27" s="24"/>
      <c r="O27" s="24"/>
      <c r="P27" s="24"/>
      <c r="Q27" s="24"/>
      <c r="R27" s="24"/>
      <c r="S27" s="24"/>
      <c r="T27" s="24"/>
      <c r="U27" s="24"/>
      <c r="V27" s="24"/>
      <c r="W27" s="24"/>
      <c r="X27" s="19" t="s">
        <v>125</v>
      </c>
      <c r="Y27" s="19" t="s">
        <v>367</v>
      </c>
      <c r="Z27" s="19" t="s">
        <v>29</v>
      </c>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row>
    <row r="28" spans="1:90">
      <c r="A28" s="19" t="s">
        <v>148</v>
      </c>
      <c r="B28" s="26" t="s">
        <v>93</v>
      </c>
      <c r="C28" s="24" t="s">
        <v>154</v>
      </c>
      <c r="D28" s="24" t="s">
        <v>155</v>
      </c>
      <c r="E28" s="24" t="s">
        <v>156</v>
      </c>
      <c r="F28" s="24" t="s">
        <v>159</v>
      </c>
      <c r="G28" s="24" t="s">
        <v>238</v>
      </c>
      <c r="H28" s="24" t="s">
        <v>157</v>
      </c>
      <c r="I28" s="24" t="s">
        <v>160</v>
      </c>
      <c r="J28" s="24" t="s">
        <v>265</v>
      </c>
      <c r="K28" s="27" t="s">
        <v>341</v>
      </c>
      <c r="L28" s="27" t="s">
        <v>342</v>
      </c>
      <c r="M28" s="19" t="s">
        <v>343</v>
      </c>
      <c r="N28" s="19" t="s">
        <v>288</v>
      </c>
      <c r="O28" s="19" t="s">
        <v>344</v>
      </c>
      <c r="P28" s="24" t="s">
        <v>313</v>
      </c>
      <c r="Q28" s="24">
        <v>0.11752599826391281</v>
      </c>
      <c r="R28" s="24"/>
      <c r="S28" s="24"/>
      <c r="T28" s="19" t="s">
        <v>364</v>
      </c>
      <c r="U28" s="19" t="s">
        <v>366</v>
      </c>
      <c r="V28" s="24"/>
      <c r="W28" s="19" t="s">
        <v>313</v>
      </c>
      <c r="X28" s="24">
        <f>AVERAGE(Q28,Q42,Q57,Q72,Q87)</f>
        <v>0.1264440511644786</v>
      </c>
      <c r="Y28" s="24">
        <f>STDEV(Q28,Q42,Q57,Q72,Q87)/SQRT(Z28)</f>
        <v>3.7371580941873931E-3</v>
      </c>
      <c r="Z28" s="24">
        <v>5</v>
      </c>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row>
    <row r="29" spans="1:90" ht="15">
      <c r="A29" s="24">
        <v>15</v>
      </c>
      <c r="B29" s="26">
        <v>0.1</v>
      </c>
      <c r="C29" s="24">
        <v>0.86123438120389528</v>
      </c>
      <c r="D29" s="24">
        <v>3.9157628286419697</v>
      </c>
      <c r="E29" s="24">
        <v>737.06626066024114</v>
      </c>
      <c r="F29" s="24">
        <v>0.5381697416305542</v>
      </c>
      <c r="G29" s="24">
        <v>27.227654563735438</v>
      </c>
      <c r="H29" s="24">
        <v>9.0919276979233121</v>
      </c>
      <c r="I29" s="24">
        <v>13.001893997192383</v>
      </c>
      <c r="J29" s="24">
        <v>1.542919397354126</v>
      </c>
      <c r="K29" s="29">
        <f>0.1013*42.75*EXP((37830*((G29+273.15)-298))/(298*$H$26*(G29+273.15)))</f>
        <v>4.8868896524403338</v>
      </c>
      <c r="L29">
        <f>(A29-K29)*9.87</f>
        <v>99.816399130413885</v>
      </c>
      <c r="M29">
        <f>H29/L29</f>
        <v>9.1086512608457917E-2</v>
      </c>
      <c r="N29">
        <f>E29*0.001</f>
        <v>0.73706626066024117</v>
      </c>
      <c r="O29">
        <v>0.74389430572852644</v>
      </c>
      <c r="P29" t="s">
        <v>314</v>
      </c>
      <c r="Q29">
        <v>36.080376676457725</v>
      </c>
      <c r="T29">
        <v>0.73706626066024117</v>
      </c>
      <c r="U29">
        <v>0.74389430572852644</v>
      </c>
      <c r="W29" s="19" t="s">
        <v>314</v>
      </c>
      <c r="X29" s="24">
        <f>AVERAGE(Q29,Q43,Q58,Q73,Q88)</f>
        <v>36.078975099635578</v>
      </c>
      <c r="Y29" s="24">
        <f t="shared" ref="Y29:Y30" si="1">STDEV(Q29,Q43,Q58,Q73,Q88)/SQRT(Z29)</f>
        <v>9.3156662728414183E-4</v>
      </c>
      <c r="Z29" s="24">
        <v>5</v>
      </c>
    </row>
    <row r="30" spans="1:90" ht="15">
      <c r="A30" s="24">
        <v>20</v>
      </c>
      <c r="C30" s="24">
        <v>0.83556021839417494</v>
      </c>
      <c r="D30" s="24">
        <v>3.8054596503703642</v>
      </c>
      <c r="E30" s="24">
        <v>709.52766444433814</v>
      </c>
      <c r="F30" s="24">
        <v>0.54330939054489136</v>
      </c>
      <c r="G30" s="24">
        <v>27.252336626784718</v>
      </c>
      <c r="H30" s="24">
        <v>12.947369248850748</v>
      </c>
      <c r="I30" s="24">
        <v>17.042901992797852</v>
      </c>
      <c r="J30" s="24">
        <v>1.1901719570159912</v>
      </c>
      <c r="K30" s="29">
        <f t="shared" ref="K30:K39" si="2">0.1013*42.75*EXP((37830*((G30+273.15)-298))/(298*$H$26*(G30+273.15)))</f>
        <v>4.892975423968414</v>
      </c>
      <c r="L30" s="24">
        <f t="shared" ref="L30:L39" si="3">(A30-K30)*9.87</f>
        <v>149.10633256543173</v>
      </c>
      <c r="M30" s="24">
        <f t="shared" ref="M30:M39" si="4">H30/L30</f>
        <v>8.6833127916744288E-2</v>
      </c>
      <c r="N30" s="24">
        <f t="shared" ref="N30:N39" si="5">E30*0.001</f>
        <v>0.70952766444433812</v>
      </c>
      <c r="O30">
        <v>0.71202022714362412</v>
      </c>
      <c r="P30" t="s">
        <v>312</v>
      </c>
      <c r="Q30">
        <v>0.15483811530892486</v>
      </c>
      <c r="T30">
        <v>0.70952766444433812</v>
      </c>
      <c r="U30">
        <v>0.71202022714362412</v>
      </c>
      <c r="W30" s="19" t="s">
        <v>312</v>
      </c>
      <c r="X30" s="24">
        <f>AVERAGE(Q30,Q44,Q59,Q74,Q89)</f>
        <v>0.10953137953837991</v>
      </c>
      <c r="Y30" s="24">
        <f t="shared" si="1"/>
        <v>1.4787660366735535E-2</v>
      </c>
      <c r="Z30" s="24">
        <v>5</v>
      </c>
    </row>
    <row r="31" spans="1:90" ht="15">
      <c r="A31" s="24">
        <v>25</v>
      </c>
      <c r="B31" s="24"/>
      <c r="C31" s="24">
        <v>0.81005754905946747</v>
      </c>
      <c r="D31" s="24">
        <v>3.6951564720987591</v>
      </c>
      <c r="E31" s="24">
        <v>682.49713870796199</v>
      </c>
      <c r="F31" s="24">
        <v>0.54845553636550903</v>
      </c>
      <c r="G31" s="24">
        <v>27.277018689833998</v>
      </c>
      <c r="H31" s="24">
        <v>16.403266940515767</v>
      </c>
      <c r="I31" s="24">
        <v>21.104896545410156</v>
      </c>
      <c r="J31" s="24">
        <v>0.98665356636047363</v>
      </c>
      <c r="K31" s="29">
        <f t="shared" si="2"/>
        <v>4.8990677724260143</v>
      </c>
      <c r="L31" s="24">
        <f t="shared" si="3"/>
        <v>198.3962010861552</v>
      </c>
      <c r="M31" s="24">
        <f t="shared" si="4"/>
        <v>8.2679339880064096E-2</v>
      </c>
      <c r="N31" s="24">
        <f t="shared" si="5"/>
        <v>0.68249713870796203</v>
      </c>
      <c r="O31">
        <v>0.68126713783953718</v>
      </c>
      <c r="P31" t="s">
        <v>327</v>
      </c>
      <c r="R31">
        <v>0.59680114685636965</v>
      </c>
      <c r="T31">
        <v>0.68249713870796203</v>
      </c>
      <c r="U31">
        <v>0.68126713783953718</v>
      </c>
      <c r="W31" s="19" t="s">
        <v>315</v>
      </c>
      <c r="X31" s="24">
        <f>AVERAGE(R34,R48,R63,R78,R93)</f>
        <v>0.98768069330791008</v>
      </c>
      <c r="Y31" s="24">
        <f>STDEV(R34,R48,R63,R78,R93)/SQRT(Z31)</f>
        <v>3.7772128491173856E-3</v>
      </c>
      <c r="Z31" s="24">
        <v>5</v>
      </c>
    </row>
    <row r="32" spans="1:90" ht="15">
      <c r="A32" s="24">
        <v>30</v>
      </c>
      <c r="B32" s="24"/>
      <c r="C32" s="24">
        <v>0.78050523759319224</v>
      </c>
      <c r="D32" s="24">
        <v>3.5664694307818872</v>
      </c>
      <c r="E32" s="24">
        <v>651.58604778063079</v>
      </c>
      <c r="F32" s="24">
        <v>0.55446761846542358</v>
      </c>
      <c r="G32" s="24">
        <v>27.305814430058156</v>
      </c>
      <c r="H32" s="24">
        <v>19.440694524222987</v>
      </c>
      <c r="I32" s="24">
        <v>25.16490364074707</v>
      </c>
      <c r="J32" s="24">
        <v>0.86796224117279053</v>
      </c>
      <c r="K32" s="29">
        <f t="shared" si="2"/>
        <v>4.9061838327301848</v>
      </c>
      <c r="L32" s="24">
        <f t="shared" si="3"/>
        <v>247.67596557095305</v>
      </c>
      <c r="M32" s="24">
        <f t="shared" si="4"/>
        <v>7.8492454766079064E-2</v>
      </c>
      <c r="N32" s="24">
        <f t="shared" si="5"/>
        <v>0.65158604778063078</v>
      </c>
      <c r="O32">
        <v>0.65013748503333979</v>
      </c>
      <c r="P32" t="s">
        <v>328</v>
      </c>
      <c r="R32">
        <v>9</v>
      </c>
      <c r="T32">
        <v>0.65158604778063078</v>
      </c>
      <c r="U32">
        <v>0.65013748503333979</v>
      </c>
    </row>
    <row r="33" spans="1:21" ht="15">
      <c r="A33" s="24">
        <v>35</v>
      </c>
      <c r="B33" s="24"/>
      <c r="C33" s="24">
        <v>0.75533284536777079</v>
      </c>
      <c r="D33" s="24">
        <v>3.4561662525102821</v>
      </c>
      <c r="E33" s="24">
        <v>625.61156721344628</v>
      </c>
      <c r="F33" s="24">
        <v>0.55962783098220825</v>
      </c>
      <c r="G33" s="24">
        <v>27.330496493107436</v>
      </c>
      <c r="H33" s="24">
        <v>22.098451087787083</v>
      </c>
      <c r="I33" s="24">
        <v>29.275909423828125</v>
      </c>
      <c r="J33" s="24">
        <v>0.85148471593856812</v>
      </c>
      <c r="K33" s="29">
        <f t="shared" si="2"/>
        <v>4.9122904515951733</v>
      </c>
      <c r="L33" s="24">
        <f t="shared" si="3"/>
        <v>296.96569324275561</v>
      </c>
      <c r="M33" s="24">
        <f t="shared" si="4"/>
        <v>7.441415486913712E-2</v>
      </c>
      <c r="N33" s="24">
        <f t="shared" si="5"/>
        <v>0.62561156721344624</v>
      </c>
      <c r="O33">
        <v>0.62082449913189552</v>
      </c>
      <c r="P33" t="s">
        <v>329</v>
      </c>
      <c r="R33">
        <v>5.2304761821277655E-3</v>
      </c>
      <c r="T33">
        <v>0.62561156721344624</v>
      </c>
      <c r="U33">
        <v>0.62082449913189552</v>
      </c>
    </row>
    <row r="34" spans="1:21" ht="15">
      <c r="A34" s="24">
        <v>40</v>
      </c>
      <c r="B34" s="24"/>
      <c r="C34" s="24">
        <v>0.73029539713939484</v>
      </c>
      <c r="D34" s="24">
        <v>3.3458630742386766</v>
      </c>
      <c r="E34" s="24">
        <v>600.10480216056646</v>
      </c>
      <c r="F34" s="24">
        <v>0.56479454040527344</v>
      </c>
      <c r="G34" s="24">
        <v>27.355178556156716</v>
      </c>
      <c r="H34" s="24">
        <v>24.36458732251954</v>
      </c>
      <c r="I34" s="24">
        <v>33.419883728027344</v>
      </c>
      <c r="J34" s="24">
        <v>0.85879474878311157</v>
      </c>
      <c r="K34" s="29">
        <f t="shared" si="2"/>
        <v>4.9184036662236261</v>
      </c>
      <c r="L34" s="24">
        <f t="shared" si="3"/>
        <v>346.25535581437282</v>
      </c>
      <c r="M34" s="24">
        <f t="shared" si="4"/>
        <v>7.0365950774148811E-2</v>
      </c>
      <c r="N34" s="24">
        <f t="shared" si="5"/>
        <v>0.6001048021605665</v>
      </c>
      <c r="O34">
        <v>0.59213776310665212</v>
      </c>
      <c r="P34" t="s">
        <v>315</v>
      </c>
      <c r="R34">
        <v>0.99715601119831487</v>
      </c>
      <c r="T34">
        <v>0.6001048021605665</v>
      </c>
      <c r="U34">
        <v>0.59213776310665212</v>
      </c>
    </row>
    <row r="35" spans="1:21" ht="15">
      <c r="A35" s="24">
        <v>45</v>
      </c>
      <c r="B35" s="24"/>
      <c r="C35" s="24">
        <v>0.7012424039779217</v>
      </c>
      <c r="D35" s="24">
        <v>3.2171760329218047</v>
      </c>
      <c r="E35" s="24">
        <v>570.92225850823752</v>
      </c>
      <c r="F35" s="24">
        <v>0.57083064317703247</v>
      </c>
      <c r="G35" s="24">
        <v>27.383974296380874</v>
      </c>
      <c r="H35" s="24">
        <v>26.24603909413819</v>
      </c>
      <c r="I35" s="24">
        <v>37.549903869628906</v>
      </c>
      <c r="J35" s="24">
        <v>0.88245666027069092</v>
      </c>
      <c r="K35" s="29">
        <f t="shared" si="2"/>
        <v>4.9255440942155593</v>
      </c>
      <c r="L35" s="24">
        <f t="shared" si="3"/>
        <v>395.53487979009242</v>
      </c>
      <c r="M35" s="24">
        <f t="shared" si="4"/>
        <v>6.6355814455773862E-2</v>
      </c>
      <c r="N35" s="24">
        <f t="shared" si="5"/>
        <v>0.57092225850823752</v>
      </c>
      <c r="O35">
        <v>0.5636000902711239</v>
      </c>
      <c r="T35">
        <v>0.57092225850823752</v>
      </c>
      <c r="U35">
        <v>0.5636000902711239</v>
      </c>
    </row>
    <row r="36" spans="1:21" ht="15">
      <c r="A36" s="24">
        <v>50</v>
      </c>
      <c r="B36" s="24"/>
      <c r="C36" s="24">
        <v>0.66000246705982624</v>
      </c>
      <c r="D36" s="24">
        <v>3.0333374024691291</v>
      </c>
      <c r="E36" s="24">
        <v>530.27346062022184</v>
      </c>
      <c r="F36" s="24">
        <v>0.57946908473968506</v>
      </c>
      <c r="G36" s="24">
        <v>27.425111068129674</v>
      </c>
      <c r="H36" s="24">
        <v>27.750788185113688</v>
      </c>
      <c r="I36" s="24">
        <v>41.518886566162109</v>
      </c>
      <c r="J36" s="24">
        <v>0.89146798849105835</v>
      </c>
      <c r="K36" s="29">
        <f t="shared" si="2"/>
        <v>4.9357603117942146</v>
      </c>
      <c r="L36" s="24">
        <f t="shared" si="3"/>
        <v>444.78404572259109</v>
      </c>
      <c r="M36" s="24">
        <f t="shared" si="4"/>
        <v>6.2391599815659018E-2</v>
      </c>
      <c r="N36" s="24">
        <f t="shared" si="5"/>
        <v>0.53027346062022185</v>
      </c>
      <c r="O36">
        <v>0.53441645258107551</v>
      </c>
      <c r="T36">
        <v>0.53027346062022185</v>
      </c>
      <c r="U36">
        <v>0.53441645258107551</v>
      </c>
    </row>
    <row r="37" spans="1:21" ht="15">
      <c r="A37">
        <v>55</v>
      </c>
      <c r="B37" s="26"/>
      <c r="C37" s="24">
        <v>0.6353938710763688</v>
      </c>
      <c r="D37" s="24">
        <v>2.9230342241975245</v>
      </c>
      <c r="E37" s="24">
        <v>506.45320083117855</v>
      </c>
      <c r="F37" s="24">
        <v>0.58466088771820068</v>
      </c>
      <c r="G37" s="24">
        <v>27.44979313117895</v>
      </c>
      <c r="H37" s="24">
        <v>29.074223439500035</v>
      </c>
      <c r="I37" s="24">
        <v>45.695907592773438</v>
      </c>
      <c r="J37" s="24">
        <v>0.9583163857460022</v>
      </c>
      <c r="K37" s="29">
        <f t="shared" si="2"/>
        <v>4.9418988653980707</v>
      </c>
      <c r="L37" s="24">
        <f t="shared" si="3"/>
        <v>494.073458198521</v>
      </c>
      <c r="M37" s="24">
        <f t="shared" si="4"/>
        <v>5.8845952878160634E-2</v>
      </c>
      <c r="N37" s="24">
        <f t="shared" si="5"/>
        <v>0.50645320083117851</v>
      </c>
      <c r="O37">
        <v>0.51019840643131364</v>
      </c>
      <c r="T37">
        <v>0.50645320083117851</v>
      </c>
      <c r="U37">
        <v>0.51019840643131364</v>
      </c>
    </row>
    <row r="38" spans="1:21" ht="15">
      <c r="A38" s="24">
        <v>60</v>
      </c>
      <c r="B38" s="26"/>
      <c r="C38" s="24">
        <v>0.61495659472827569</v>
      </c>
      <c r="D38" s="24">
        <v>2.8311149089711867</v>
      </c>
      <c r="E38" s="24">
        <v>486.91963380265838</v>
      </c>
      <c r="F38" s="24">
        <v>0.58899235725402832</v>
      </c>
      <c r="G38" s="24">
        <v>27.470361517053352</v>
      </c>
      <c r="H38" s="24">
        <v>30.201745919240782</v>
      </c>
      <c r="I38" s="24">
        <v>49.946907043457031</v>
      </c>
      <c r="J38" s="24">
        <v>1.0512125492095947</v>
      </c>
      <c r="K38" s="29">
        <f t="shared" si="2"/>
        <v>4.9470193869327446</v>
      </c>
      <c r="L38" s="24">
        <f t="shared" si="3"/>
        <v>543.37291865097382</v>
      </c>
      <c r="M38" s="24">
        <f t="shared" si="4"/>
        <v>5.5581985930072367E-2</v>
      </c>
      <c r="N38" s="24">
        <f t="shared" si="5"/>
        <v>0.4869196338026584</v>
      </c>
      <c r="O38">
        <v>0.48843011154418015</v>
      </c>
      <c r="T38">
        <v>0.4869196338026584</v>
      </c>
      <c r="U38">
        <v>0.48843011154418015</v>
      </c>
    </row>
    <row r="39" spans="1:21" ht="15">
      <c r="A39" s="24">
        <v>65</v>
      </c>
      <c r="B39" s="26"/>
      <c r="C39" s="24">
        <v>0.59050975535453654</v>
      </c>
      <c r="D39" s="24">
        <v>2.7208117306995816</v>
      </c>
      <c r="E39" s="24">
        <v>463.85058069058476</v>
      </c>
      <c r="F39" s="24">
        <v>0.5941961407661438</v>
      </c>
      <c r="G39" s="24">
        <v>27.495043580102628</v>
      </c>
      <c r="H39" s="24">
        <v>31.140517063590217</v>
      </c>
      <c r="I39" s="24">
        <v>54.118907928466797</v>
      </c>
      <c r="J39" s="24">
        <v>1.1012493371963501</v>
      </c>
      <c r="K39" s="29">
        <f t="shared" si="2"/>
        <v>4.9531700901860249</v>
      </c>
      <c r="L39" s="24">
        <f t="shared" si="3"/>
        <v>592.66221120986381</v>
      </c>
      <c r="M39" s="24">
        <f t="shared" si="4"/>
        <v>5.2543449665906315E-2</v>
      </c>
      <c r="N39" s="24">
        <f t="shared" si="5"/>
        <v>0.46385058069058477</v>
      </c>
      <c r="O39">
        <v>0.46788769045048384</v>
      </c>
      <c r="T39">
        <v>0.46385058069058477</v>
      </c>
      <c r="U39">
        <v>0.46788769045048384</v>
      </c>
    </row>
    <row r="40" spans="1:21">
      <c r="A40" s="24"/>
      <c r="T40">
        <v>0.46373526312846775</v>
      </c>
      <c r="U40">
        <v>0.46726307692779556</v>
      </c>
    </row>
    <row r="41" spans="1:21">
      <c r="A41" s="24"/>
      <c r="B41" s="19"/>
      <c r="C41" s="24"/>
      <c r="D41" s="24"/>
      <c r="E41" s="24"/>
      <c r="F41" s="24"/>
      <c r="G41" s="24"/>
      <c r="H41" s="24"/>
      <c r="I41" s="24"/>
      <c r="J41" s="24"/>
      <c r="K41" s="19" t="s">
        <v>148</v>
      </c>
      <c r="L41" s="19" t="s">
        <v>292</v>
      </c>
      <c r="M41" s="24"/>
      <c r="N41" s="24"/>
      <c r="O41" s="24"/>
      <c r="T41">
        <v>0.44673145315060037</v>
      </c>
      <c r="U41">
        <v>0.45133662492681126</v>
      </c>
    </row>
    <row r="42" spans="1:21">
      <c r="A42" s="19" t="s">
        <v>148</v>
      </c>
      <c r="B42" s="26" t="s">
        <v>93</v>
      </c>
      <c r="C42" s="24" t="s">
        <v>154</v>
      </c>
      <c r="D42" s="24" t="s">
        <v>155</v>
      </c>
      <c r="E42" s="24" t="s">
        <v>156</v>
      </c>
      <c r="F42" s="24" t="s">
        <v>159</v>
      </c>
      <c r="G42" s="24" t="s">
        <v>238</v>
      </c>
      <c r="H42" s="24" t="s">
        <v>157</v>
      </c>
      <c r="I42" s="24" t="s">
        <v>160</v>
      </c>
      <c r="J42" s="24" t="s">
        <v>265</v>
      </c>
      <c r="K42" s="27" t="s">
        <v>341</v>
      </c>
      <c r="L42" s="27" t="s">
        <v>342</v>
      </c>
      <c r="M42" s="19" t="s">
        <v>343</v>
      </c>
      <c r="N42" s="19" t="s">
        <v>288</v>
      </c>
      <c r="O42" s="19" t="s">
        <v>344</v>
      </c>
      <c r="P42" t="s">
        <v>313</v>
      </c>
      <c r="Q42">
        <v>0.11814326757990498</v>
      </c>
      <c r="T42">
        <v>0.44431982294239031</v>
      </c>
      <c r="U42">
        <v>0.43988827147418286</v>
      </c>
    </row>
    <row r="43" spans="1:21" ht="15">
      <c r="A43" s="24">
        <v>15</v>
      </c>
      <c r="B43" s="24">
        <v>0.5</v>
      </c>
      <c r="C43" s="24">
        <v>0.93063977001698839</v>
      </c>
      <c r="D43" s="24">
        <v>4.2282885004115167</v>
      </c>
      <c r="E43" s="24">
        <v>463.73526312846775</v>
      </c>
      <c r="F43" s="24">
        <v>0.92364257574081421</v>
      </c>
      <c r="G43" s="24">
        <v>27.157722051762484</v>
      </c>
      <c r="H43" s="24">
        <v>8.2269300032213675</v>
      </c>
      <c r="I43" s="24">
        <v>12.124889373779297</v>
      </c>
      <c r="J43" s="24">
        <v>1.5185085535049438</v>
      </c>
      <c r="K43" s="29">
        <f t="shared" ref="K43:K53" si="6">0.1013*42.75*EXP((37830*((G43+273.15)-298))/(298*$H$26*(G43+273.15)))</f>
        <v>4.8696822975487128</v>
      </c>
      <c r="L43" s="24">
        <f t="shared" ref="L43" si="7">(A43-K43)*9.87</f>
        <v>99.986235723194184</v>
      </c>
      <c r="M43" s="24">
        <f t="shared" ref="M43" si="8">H43/L43</f>
        <v>8.228062536524651E-2</v>
      </c>
      <c r="N43" s="24">
        <f t="shared" ref="N43" si="9">E43*0.001</f>
        <v>0.46373526312846775</v>
      </c>
      <c r="O43">
        <v>0.46726307692779556</v>
      </c>
      <c r="P43" t="s">
        <v>314</v>
      </c>
      <c r="Q43">
        <v>36.080492616213427</v>
      </c>
      <c r="T43">
        <v>0.42755932671887997</v>
      </c>
      <c r="U43">
        <v>0.42453690883434014</v>
      </c>
    </row>
    <row r="44" spans="1:21" ht="15">
      <c r="A44" s="24">
        <v>20</v>
      </c>
      <c r="B44" s="24"/>
      <c r="C44" s="24">
        <v>0.90009528567253816</v>
      </c>
      <c r="D44" s="24">
        <v>4.0996014590946448</v>
      </c>
      <c r="E44" s="24">
        <v>446.73145315060037</v>
      </c>
      <c r="F44" s="24">
        <v>0.92961806058883667</v>
      </c>
      <c r="G44" s="24">
        <v>27.186517791986642</v>
      </c>
      <c r="H44" s="24">
        <v>11.767840564931756</v>
      </c>
      <c r="I44" s="24">
        <v>15.730897903442383</v>
      </c>
      <c r="J44" s="24">
        <v>1.0325877666473389</v>
      </c>
      <c r="K44" s="29">
        <f t="shared" si="6"/>
        <v>4.8767612991642624</v>
      </c>
      <c r="L44" s="24">
        <f t="shared" ref="L44:L53" si="10">(A44-K44)*9.87</f>
        <v>149.26636597724874</v>
      </c>
      <c r="M44" s="24">
        <f t="shared" ref="M44:M53" si="11">H44/L44</f>
        <v>7.8837857998937388E-2</v>
      </c>
      <c r="N44" s="24">
        <f t="shared" ref="N44:N53" si="12">E44*0.001</f>
        <v>0.44673145315060037</v>
      </c>
      <c r="O44">
        <v>0.45133662492681126</v>
      </c>
      <c r="P44" t="s">
        <v>312</v>
      </c>
      <c r="Q44">
        <v>0.13059606144876232</v>
      </c>
      <c r="T44">
        <v>0.41100788206645728</v>
      </c>
      <c r="U44">
        <v>0.40944118923112316</v>
      </c>
    </row>
    <row r="45" spans="1:21" ht="15">
      <c r="A45" s="24">
        <v>25</v>
      </c>
      <c r="B45" s="24"/>
      <c r="C45" s="24">
        <v>0.89575575027805843</v>
      </c>
      <c r="D45" s="24">
        <v>4.0812175960493775</v>
      </c>
      <c r="E45" s="24">
        <v>444.31982294239032</v>
      </c>
      <c r="F45" s="24">
        <v>0.93047243356704712</v>
      </c>
      <c r="G45" s="24">
        <v>27.19063146916152</v>
      </c>
      <c r="H45" s="24">
        <v>15.111135196592015</v>
      </c>
      <c r="I45" s="24">
        <v>19.48790168762207</v>
      </c>
      <c r="J45" s="24">
        <v>0.9041784405708313</v>
      </c>
      <c r="K45" s="29">
        <f t="shared" si="6"/>
        <v>4.8777733139010611</v>
      </c>
      <c r="L45" s="24">
        <f t="shared" si="10"/>
        <v>198.60637739179654</v>
      </c>
      <c r="M45" s="24">
        <f t="shared" si="11"/>
        <v>7.6085850792101409E-2</v>
      </c>
      <c r="N45" s="24">
        <f t="shared" si="12"/>
        <v>0.44431982294239031</v>
      </c>
      <c r="O45">
        <v>0.43988827147418286</v>
      </c>
      <c r="P45" t="s">
        <v>327</v>
      </c>
      <c r="R45">
        <v>0.39625438472733981</v>
      </c>
      <c r="T45">
        <v>0.39698465650146547</v>
      </c>
      <c r="U45">
        <v>0.39508818504087539</v>
      </c>
    </row>
    <row r="46" spans="1:21" ht="15">
      <c r="A46" s="24">
        <v>30</v>
      </c>
      <c r="B46" s="24"/>
      <c r="C46" s="24">
        <v>0.86553062788129864</v>
      </c>
      <c r="D46" s="24">
        <v>3.9525305547325047</v>
      </c>
      <c r="E46" s="24">
        <v>427.55932671887996</v>
      </c>
      <c r="F46" s="24">
        <v>0.93645799160003662</v>
      </c>
      <c r="G46" s="24">
        <v>27.219427209385678</v>
      </c>
      <c r="H46" s="24">
        <v>18.026835806911819</v>
      </c>
      <c r="I46" s="24">
        <v>23.166900634765625</v>
      </c>
      <c r="J46" s="24">
        <v>0.78626590967178345</v>
      </c>
      <c r="K46" s="29">
        <f t="shared" si="6"/>
        <v>4.8848625224442888</v>
      </c>
      <c r="L46" s="24">
        <f t="shared" si="10"/>
        <v>247.88640690347486</v>
      </c>
      <c r="M46" s="24">
        <f t="shared" si="11"/>
        <v>7.2722163478416688E-2</v>
      </c>
      <c r="N46" s="24">
        <f t="shared" si="12"/>
        <v>0.42755932671887997</v>
      </c>
      <c r="O46">
        <v>0.42453690883434014</v>
      </c>
      <c r="P46" t="s">
        <v>328</v>
      </c>
      <c r="R46">
        <v>9</v>
      </c>
      <c r="T46">
        <v>0.38081220334757759</v>
      </c>
      <c r="U46">
        <v>0.38047887702265715</v>
      </c>
    </row>
    <row r="47" spans="1:21" ht="15">
      <c r="A47" s="24">
        <v>35</v>
      </c>
      <c r="B47" s="24"/>
      <c r="C47" s="24">
        <v>0.83556021839417494</v>
      </c>
      <c r="D47" s="24">
        <v>3.823843513415631</v>
      </c>
      <c r="E47" s="24">
        <v>411.00788206645728</v>
      </c>
      <c r="F47" s="24">
        <v>0.94245237112045288</v>
      </c>
      <c r="G47" s="24">
        <v>27.24822294960984</v>
      </c>
      <c r="H47" s="24">
        <v>20.61726665837255</v>
      </c>
      <c r="I47" s="24">
        <v>26.869901657104492</v>
      </c>
      <c r="J47" s="24">
        <v>0.73455721139907837</v>
      </c>
      <c r="K47" s="29">
        <f t="shared" si="6"/>
        <v>4.8919606721429565</v>
      </c>
      <c r="L47" s="24">
        <f t="shared" si="10"/>
        <v>297.16634816594899</v>
      </c>
      <c r="M47" s="24">
        <f t="shared" si="11"/>
        <v>6.9379547131154587E-2</v>
      </c>
      <c r="N47" s="24">
        <f t="shared" si="12"/>
        <v>0.41100788206645728</v>
      </c>
      <c r="O47">
        <v>0.40944118923112316</v>
      </c>
      <c r="P47" t="s">
        <v>329</v>
      </c>
      <c r="R47">
        <v>2.9093846847266921E-3</v>
      </c>
      <c r="T47">
        <v>0.36710880024289089</v>
      </c>
      <c r="U47">
        <v>0.36673067634358414</v>
      </c>
    </row>
    <row r="48" spans="1:21" ht="15">
      <c r="A48" s="24">
        <v>40</v>
      </c>
      <c r="B48" s="24"/>
      <c r="C48" s="24">
        <v>0.81005754905946747</v>
      </c>
      <c r="D48" s="24">
        <v>3.7135403351440273</v>
      </c>
      <c r="E48" s="24">
        <v>396.98465650146545</v>
      </c>
      <c r="F48" s="24">
        <v>0.9475974440574646</v>
      </c>
      <c r="G48" s="24">
        <v>27.272905012659116</v>
      </c>
      <c r="H48" s="24">
        <v>22.910324218698616</v>
      </c>
      <c r="I48" s="24">
        <v>30.646900177001953</v>
      </c>
      <c r="J48" s="24">
        <v>0.71053862571716309</v>
      </c>
      <c r="K48" s="29">
        <f t="shared" si="6"/>
        <v>4.89805192403304</v>
      </c>
      <c r="L48" s="24">
        <f t="shared" si="10"/>
        <v>346.45622750979385</v>
      </c>
      <c r="M48" s="24">
        <f t="shared" si="11"/>
        <v>6.6127615552966132E-2</v>
      </c>
      <c r="N48" s="24">
        <f t="shared" si="12"/>
        <v>0.39698465650146547</v>
      </c>
      <c r="O48">
        <v>0.39508818504087539</v>
      </c>
      <c r="P48" t="s">
        <v>315</v>
      </c>
      <c r="R48">
        <v>0.99645463984553717</v>
      </c>
      <c r="T48">
        <v>0.3535496960563233</v>
      </c>
      <c r="U48">
        <v>0.35354331470344996</v>
      </c>
    </row>
    <row r="49" spans="1:21" ht="15">
      <c r="A49" s="24">
        <v>45</v>
      </c>
      <c r="B49" s="24"/>
      <c r="C49" s="24">
        <v>0.78050523759319224</v>
      </c>
      <c r="D49" s="24">
        <v>3.5848532938271545</v>
      </c>
      <c r="E49" s="24">
        <v>380.81220334757757</v>
      </c>
      <c r="F49" s="24">
        <v>0.95360821485519409</v>
      </c>
      <c r="G49" s="24">
        <v>27.301700752883278</v>
      </c>
      <c r="H49" s="24">
        <v>24.863061927888879</v>
      </c>
      <c r="I49" s="24">
        <v>34.418899536132813</v>
      </c>
      <c r="J49" s="24">
        <v>0.70615494251251221</v>
      </c>
      <c r="K49" s="29">
        <f t="shared" si="6"/>
        <v>4.9051667037561426</v>
      </c>
      <c r="L49" s="24">
        <f t="shared" si="10"/>
        <v>395.73600463392683</v>
      </c>
      <c r="M49" s="24">
        <f t="shared" si="11"/>
        <v>6.2827394113124227E-2</v>
      </c>
      <c r="N49" s="24">
        <f t="shared" si="12"/>
        <v>0.38081220334757759</v>
      </c>
      <c r="O49">
        <v>0.38047887702265715</v>
      </c>
      <c r="T49">
        <v>0.34013285371803853</v>
      </c>
      <c r="U49">
        <v>0.34107206627189812</v>
      </c>
    </row>
    <row r="50" spans="1:21" ht="15">
      <c r="A50" s="24">
        <v>50</v>
      </c>
      <c r="B50" s="24"/>
      <c r="C50" s="24">
        <v>0.75533284536777079</v>
      </c>
      <c r="D50" s="24">
        <v>3.4745501155555494</v>
      </c>
      <c r="E50" s="24">
        <v>367.10880024289088</v>
      </c>
      <c r="F50" s="24">
        <v>0.9587673544883728</v>
      </c>
      <c r="G50" s="24">
        <v>27.326382815932554</v>
      </c>
      <c r="H50" s="24">
        <v>26.548684888129689</v>
      </c>
      <c r="I50" s="24">
        <v>38.278907775878906</v>
      </c>
      <c r="J50" s="24">
        <v>0.74202239513397217</v>
      </c>
      <c r="K50" s="29">
        <f t="shared" si="6"/>
        <v>4.9112722239060105</v>
      </c>
      <c r="L50" s="24">
        <f t="shared" si="10"/>
        <v>445.02574315004762</v>
      </c>
      <c r="M50" s="24">
        <f t="shared" si="11"/>
        <v>5.9656514924752053E-2</v>
      </c>
      <c r="N50" s="24">
        <f t="shared" si="12"/>
        <v>0.36710880024289089</v>
      </c>
      <c r="O50">
        <v>0.36673067634358414</v>
      </c>
      <c r="T50">
        <v>0.32685627412764617</v>
      </c>
      <c r="U50">
        <v>0.32941880453955963</v>
      </c>
    </row>
    <row r="51" spans="1:21" ht="15">
      <c r="A51" s="24">
        <v>55</v>
      </c>
      <c r="B51" s="24"/>
      <c r="C51" s="24">
        <v>0.73029539713939484</v>
      </c>
      <c r="D51" s="24">
        <v>3.3642469372839439</v>
      </c>
      <c r="E51" s="24">
        <v>353.54969605632328</v>
      </c>
      <c r="F51" s="24">
        <v>0.96393299102783203</v>
      </c>
      <c r="G51" s="24">
        <v>27.351064878981834</v>
      </c>
      <c r="H51" s="24">
        <v>27.975812797124025</v>
      </c>
      <c r="I51" s="24">
        <v>42.175910949707031</v>
      </c>
      <c r="J51" s="24">
        <v>0.77142608165740967</v>
      </c>
      <c r="K51" s="29">
        <f t="shared" si="6"/>
        <v>4.9173843388270324</v>
      </c>
      <c r="L51" s="24">
        <f t="shared" si="10"/>
        <v>494.31541657577714</v>
      </c>
      <c r="M51" s="24">
        <f t="shared" si="11"/>
        <v>5.6595064323338606E-2</v>
      </c>
      <c r="N51" s="24">
        <f t="shared" si="12"/>
        <v>0.3535496960563233</v>
      </c>
      <c r="O51">
        <v>0.35354331470344996</v>
      </c>
      <c r="T51">
        <v>0.31433247271099823</v>
      </c>
      <c r="U51">
        <v>0.32086021893833128</v>
      </c>
    </row>
    <row r="52" spans="1:21" ht="15">
      <c r="A52" s="24">
        <v>60</v>
      </c>
      <c r="C52" s="24">
        <v>0.70538278672706478</v>
      </c>
      <c r="D52" s="24">
        <v>3.2539437590123392</v>
      </c>
      <c r="E52" s="24">
        <v>340.13285371803852</v>
      </c>
      <c r="F52" s="24">
        <v>0.96910518407821655</v>
      </c>
      <c r="G52" s="24">
        <v>27.375746942031114</v>
      </c>
      <c r="H52" s="24">
        <v>29.183233845717876</v>
      </c>
      <c r="I52" s="24">
        <v>46.093902587890625</v>
      </c>
      <c r="J52" s="24">
        <v>0.82275068759918213</v>
      </c>
      <c r="K52" s="29">
        <f t="shared" si="6"/>
        <v>4.9235030544748239</v>
      </c>
      <c r="L52" s="24">
        <f t="shared" si="10"/>
        <v>543.60502485233349</v>
      </c>
      <c r="M52" s="24">
        <f t="shared" si="11"/>
        <v>5.3684628565832879E-2</v>
      </c>
      <c r="N52" s="24">
        <f t="shared" si="12"/>
        <v>0.34013285371803853</v>
      </c>
      <c r="O52">
        <v>0.34107206627189812</v>
      </c>
      <c r="T52">
        <v>0.31433247271099823</v>
      </c>
      <c r="U52">
        <v>0.31535100048554926</v>
      </c>
    </row>
    <row r="53" spans="1:21" ht="15">
      <c r="A53" s="24">
        <v>65</v>
      </c>
      <c r="C53" s="24">
        <v>0.68058551086134389</v>
      </c>
      <c r="D53" s="24">
        <v>3.1436405807407346</v>
      </c>
      <c r="E53" s="24">
        <v>326.85627412764615</v>
      </c>
      <c r="F53" s="24">
        <v>0.97428387403488159</v>
      </c>
      <c r="G53" s="24">
        <v>27.400429005080394</v>
      </c>
      <c r="H53" s="24">
        <v>30.210267979661886</v>
      </c>
      <c r="I53" s="24">
        <v>50.019893646240234</v>
      </c>
      <c r="J53" s="24">
        <v>0.85967707633972168</v>
      </c>
      <c r="K53" s="29">
        <f t="shared" si="6"/>
        <v>4.929628376809208</v>
      </c>
      <c r="L53" s="24">
        <f t="shared" si="10"/>
        <v>592.89456792089311</v>
      </c>
      <c r="M53" s="24">
        <f t="shared" si="11"/>
        <v>5.095386197515759E-2</v>
      </c>
      <c r="N53" s="24">
        <f t="shared" si="12"/>
        <v>0.32685627412764617</v>
      </c>
      <c r="O53">
        <v>0.32941880453955963</v>
      </c>
      <c r="T53">
        <v>0.30832978999887822</v>
      </c>
      <c r="U53">
        <v>0.30792606518863058</v>
      </c>
    </row>
    <row r="54" spans="1:21">
      <c r="A54" s="24"/>
      <c r="C54" s="24"/>
      <c r="D54" s="24"/>
      <c r="E54" s="24"/>
      <c r="F54" s="24"/>
      <c r="G54" s="24"/>
      <c r="H54" s="24"/>
      <c r="I54" s="24"/>
      <c r="J54" s="24"/>
      <c r="T54">
        <v>0.30235524662418478</v>
      </c>
      <c r="U54">
        <v>0.30051495247376953</v>
      </c>
    </row>
    <row r="55" spans="1:21">
      <c r="A55" s="24"/>
      <c r="C55" s="24"/>
      <c r="D55" s="24"/>
      <c r="E55" s="24"/>
      <c r="F55" s="24"/>
      <c r="G55" s="24"/>
      <c r="H55" s="24"/>
      <c r="I55" s="24"/>
      <c r="J55" s="24"/>
      <c r="T55">
        <v>0.29640867626837797</v>
      </c>
      <c r="U55">
        <v>0.29306705937412802</v>
      </c>
    </row>
    <row r="56" spans="1:21">
      <c r="A56" s="24"/>
      <c r="B56" s="19"/>
      <c r="C56" s="24"/>
      <c r="D56" s="24"/>
      <c r="E56" s="24"/>
      <c r="F56" s="24"/>
      <c r="G56" s="24"/>
      <c r="H56" s="24"/>
      <c r="I56" s="24"/>
      <c r="J56" s="24"/>
      <c r="K56" s="19" t="s">
        <v>148</v>
      </c>
      <c r="L56" s="19" t="s">
        <v>292</v>
      </c>
      <c r="M56" s="24"/>
      <c r="N56" s="24"/>
      <c r="O56" s="24"/>
      <c r="T56">
        <v>0.29048991390343448</v>
      </c>
      <c r="U56">
        <v>0.28552101189776058</v>
      </c>
    </row>
    <row r="57" spans="1:21">
      <c r="A57" s="19" t="s">
        <v>148</v>
      </c>
      <c r="B57" s="26" t="s">
        <v>93</v>
      </c>
      <c r="C57" s="24" t="s">
        <v>154</v>
      </c>
      <c r="D57" s="24" t="s">
        <v>155</v>
      </c>
      <c r="E57" s="24" t="s">
        <v>156</v>
      </c>
      <c r="F57" s="24" t="s">
        <v>159</v>
      </c>
      <c r="G57" s="24" t="s">
        <v>238</v>
      </c>
      <c r="H57" s="24" t="s">
        <v>157</v>
      </c>
      <c r="I57" s="24" t="s">
        <v>160</v>
      </c>
      <c r="J57" s="24" t="s">
        <v>265</v>
      </c>
      <c r="K57" s="27" t="s">
        <v>341</v>
      </c>
      <c r="L57" s="27" t="s">
        <v>342</v>
      </c>
      <c r="M57" s="19" t="s">
        <v>343</v>
      </c>
      <c r="N57" s="19" t="s">
        <v>288</v>
      </c>
      <c r="O57" s="19" t="s">
        <v>344</v>
      </c>
      <c r="P57" t="s">
        <v>313</v>
      </c>
      <c r="Q57">
        <v>0.12759244731909472</v>
      </c>
      <c r="T57">
        <v>0.27873515941183935</v>
      </c>
      <c r="U57">
        <v>0.27662803037234279</v>
      </c>
    </row>
    <row r="58" spans="1:21" ht="15">
      <c r="A58" s="24">
        <v>15</v>
      </c>
      <c r="B58" s="24">
        <v>1</v>
      </c>
      <c r="C58" s="24">
        <v>0.97036423983484033</v>
      </c>
      <c r="D58" s="24">
        <v>4.3937432678189241</v>
      </c>
      <c r="E58" s="24">
        <v>314.33247271099822</v>
      </c>
      <c r="F58" s="24">
        <v>1.4159727096557617</v>
      </c>
      <c r="G58" s="24">
        <v>27.120698957188566</v>
      </c>
      <c r="H58" s="24">
        <v>7.3093192799532529</v>
      </c>
      <c r="I58" s="24">
        <v>11.231893539428711</v>
      </c>
      <c r="J58" s="24">
        <v>1.3754351139068604</v>
      </c>
      <c r="K58" s="29">
        <f t="shared" ref="K58" si="13">0.1013*42.75*EXP((37830*((G58+273.15)-298))/(298*$H$26*(G58+273.15)))</f>
        <v>4.860593831100668</v>
      </c>
      <c r="L58" s="24">
        <f t="shared" ref="L58" si="14">(A58-K58)*9.87</f>
        <v>100.07593888703639</v>
      </c>
      <c r="M58" s="24">
        <f t="shared" ref="M58" si="15">H58/L58</f>
        <v>7.3037728761194617E-2</v>
      </c>
      <c r="N58" s="24">
        <f t="shared" ref="N58" si="16">E58*0.001</f>
        <v>0.31433247271099823</v>
      </c>
      <c r="O58">
        <v>0.32086021893833128</v>
      </c>
      <c r="P58" t="s">
        <v>314</v>
      </c>
      <c r="Q58">
        <v>36.080615962431366</v>
      </c>
      <c r="T58">
        <v>0.26999088080142752</v>
      </c>
      <c r="U58">
        <v>0.26849380767984343</v>
      </c>
    </row>
    <row r="59" spans="1:21" ht="15">
      <c r="A59" s="24">
        <v>20</v>
      </c>
      <c r="C59" s="24">
        <v>0.97036423983484033</v>
      </c>
      <c r="D59" s="24">
        <v>4.3937432678189241</v>
      </c>
      <c r="E59" s="24">
        <v>314.33247271099822</v>
      </c>
      <c r="F59" s="24">
        <v>1.4159727096557617</v>
      </c>
      <c r="G59" s="24">
        <v>27.120698957188566</v>
      </c>
      <c r="H59" s="24">
        <v>10.637710246614434</v>
      </c>
      <c r="I59" s="24">
        <v>14.515898704528809</v>
      </c>
      <c r="J59" s="24">
        <v>1.0040018558502197</v>
      </c>
      <c r="K59" s="29">
        <f t="shared" ref="K59:K68" si="17">0.1013*42.75*EXP((37830*((G59+273.15)-298))/(298*$H$26*(G59+273.15)))</f>
        <v>4.860593831100668</v>
      </c>
      <c r="L59" s="24">
        <f t="shared" ref="L59:L68" si="18">(A59-K59)*9.87</f>
        <v>149.42593888703638</v>
      </c>
      <c r="M59" s="24">
        <f t="shared" ref="M59:M68" si="19">H59/L59</f>
        <v>7.1190519703920832E-2</v>
      </c>
      <c r="N59" s="24">
        <f t="shared" ref="N59:N68" si="20">E59*0.001</f>
        <v>0.31433247271099823</v>
      </c>
      <c r="O59">
        <v>0.31535100048554926</v>
      </c>
      <c r="P59" t="s">
        <v>312</v>
      </c>
      <c r="Q59">
        <v>0.10302845731070302</v>
      </c>
      <c r="T59">
        <v>0.25986619689215429</v>
      </c>
      <c r="U59">
        <v>0.26026046813270981</v>
      </c>
    </row>
    <row r="60" spans="1:21" ht="15">
      <c r="A60" s="24">
        <v>25</v>
      </c>
      <c r="C60" s="24">
        <v>0.9526434727739147</v>
      </c>
      <c r="D60" s="24">
        <v>4.3202078156378549</v>
      </c>
      <c r="E60" s="24">
        <v>308.3297899988782</v>
      </c>
      <c r="F60" s="24">
        <v>1.419379711151123</v>
      </c>
      <c r="G60" s="24">
        <v>27.137153665888082</v>
      </c>
      <c r="H60" s="24">
        <v>13.683500532560926</v>
      </c>
      <c r="I60" s="24">
        <v>17.807895660400391</v>
      </c>
      <c r="J60" s="24">
        <v>0.8292573094367981</v>
      </c>
      <c r="K60" s="29">
        <f t="shared" si="17"/>
        <v>4.8646313301943112</v>
      </c>
      <c r="L60" s="24">
        <f t="shared" si="18"/>
        <v>198.73608877098215</v>
      </c>
      <c r="M60" s="24">
        <f t="shared" si="19"/>
        <v>6.8852620664832567E-2</v>
      </c>
      <c r="N60" s="24">
        <f t="shared" si="20"/>
        <v>0.30832978999887822</v>
      </c>
      <c r="O60">
        <v>0.30792606518863058</v>
      </c>
      <c r="P60" t="s">
        <v>327</v>
      </c>
      <c r="R60">
        <v>0.28417679873404394</v>
      </c>
      <c r="T60">
        <v>0.24982360404359669</v>
      </c>
      <c r="U60">
        <v>0.25233014369440976</v>
      </c>
    </row>
    <row r="61" spans="1:21" ht="15">
      <c r="A61" s="24">
        <v>30</v>
      </c>
      <c r="C61" s="24">
        <v>0.9350271579258348</v>
      </c>
      <c r="D61" s="24">
        <v>4.2466723634567849</v>
      </c>
      <c r="E61" s="24">
        <v>302.35524662418476</v>
      </c>
      <c r="F61" s="24">
        <v>1.4227895736694336</v>
      </c>
      <c r="G61" s="24">
        <v>27.153608374587602</v>
      </c>
      <c r="H61" s="24">
        <v>16.497183706839536</v>
      </c>
      <c r="I61" s="24">
        <v>21.15690803527832</v>
      </c>
      <c r="J61" s="24">
        <v>0.7151373028755188</v>
      </c>
      <c r="K61" s="29">
        <f t="shared" si="17"/>
        <v>4.868671740066052</v>
      </c>
      <c r="L61" s="24">
        <f t="shared" si="18"/>
        <v>248.04620992554806</v>
      </c>
      <c r="M61" s="24">
        <f t="shared" si="19"/>
        <v>6.6508509490192269E-2</v>
      </c>
      <c r="N61" s="24">
        <f t="shared" si="20"/>
        <v>0.30235524662418478</v>
      </c>
      <c r="O61">
        <v>0.30051495247376953</v>
      </c>
      <c r="P61" t="s">
        <v>328</v>
      </c>
      <c r="R61">
        <v>9</v>
      </c>
      <c r="T61">
        <v>0.24128037270859398</v>
      </c>
      <c r="U61">
        <v>0.24499222413577632</v>
      </c>
    </row>
    <row r="62" spans="1:21" ht="15">
      <c r="A62" s="24">
        <v>35</v>
      </c>
      <c r="C62" s="24">
        <v>0.91751400475159217</v>
      </c>
      <c r="D62" s="24">
        <v>4.1731369112757148</v>
      </c>
      <c r="E62" s="24">
        <v>296.40867626837797</v>
      </c>
      <c r="F62" s="24">
        <v>1.4262024164199829</v>
      </c>
      <c r="G62" s="24">
        <v>27.170063083287122</v>
      </c>
      <c r="H62" s="24">
        <v>19.072768849646387</v>
      </c>
      <c r="I62" s="24">
        <v>24.571903228759766</v>
      </c>
      <c r="J62" s="24">
        <v>0.65879029035568237</v>
      </c>
      <c r="K62" s="29">
        <f t="shared" si="17"/>
        <v>4.8727150624708022</v>
      </c>
      <c r="L62" s="24">
        <f t="shared" si="18"/>
        <v>297.35630233341317</v>
      </c>
      <c r="M62" s="24">
        <f t="shared" si="19"/>
        <v>6.4141128672836709E-2</v>
      </c>
      <c r="N62" s="24">
        <f t="shared" si="20"/>
        <v>0.29640867626837797</v>
      </c>
      <c r="O62">
        <v>0.29306705937412802</v>
      </c>
      <c r="P62" t="s">
        <v>329</v>
      </c>
      <c r="R62">
        <v>3.4952696462273369E-3</v>
      </c>
      <c r="T62">
        <v>0.19936353493117889</v>
      </c>
      <c r="U62">
        <v>0.20064154708398174</v>
      </c>
    </row>
    <row r="63" spans="1:21" ht="15">
      <c r="A63" s="24">
        <v>40</v>
      </c>
      <c r="C63" s="24">
        <v>0.90009528567253816</v>
      </c>
      <c r="D63" s="24">
        <v>4.0996014590946448</v>
      </c>
      <c r="E63" s="24">
        <v>290.48991390343446</v>
      </c>
      <c r="F63" s="24">
        <v>1.4296181201934814</v>
      </c>
      <c r="G63" s="24">
        <v>27.186517791986642</v>
      </c>
      <c r="H63" s="24">
        <v>21.399581984681983</v>
      </c>
      <c r="I63" s="24">
        <v>28.060892105102539</v>
      </c>
      <c r="J63" s="24">
        <v>0.62564468383789063</v>
      </c>
      <c r="K63" s="29">
        <f t="shared" si="17"/>
        <v>4.8767612991642624</v>
      </c>
      <c r="L63" s="24">
        <f t="shared" si="18"/>
        <v>346.66636597724869</v>
      </c>
      <c r="M63" s="24">
        <f t="shared" si="19"/>
        <v>6.1729616959974747E-2</v>
      </c>
      <c r="N63" s="24">
        <f t="shared" si="20"/>
        <v>0.29048991390343448</v>
      </c>
      <c r="O63">
        <v>0.28552101189776058</v>
      </c>
      <c r="P63" t="s">
        <v>315</v>
      </c>
      <c r="R63">
        <v>0.98374481184967388</v>
      </c>
      <c r="T63">
        <v>0.19682764364218164</v>
      </c>
      <c r="U63">
        <v>0.19786529852680299</v>
      </c>
    </row>
    <row r="64" spans="1:21" ht="15">
      <c r="A64" s="24">
        <v>45</v>
      </c>
      <c r="C64" s="24">
        <v>0.86553062788129864</v>
      </c>
      <c r="D64" s="24">
        <v>3.9525305547325047</v>
      </c>
      <c r="E64" s="24">
        <v>278.73515941183933</v>
      </c>
      <c r="F64" s="24">
        <v>1.4364579916000366</v>
      </c>
      <c r="G64" s="24">
        <v>27.219427209385678</v>
      </c>
      <c r="H64" s="24">
        <v>23.352099586773136</v>
      </c>
      <c r="I64" s="24">
        <v>31.421895980834961</v>
      </c>
      <c r="J64" s="24">
        <v>0.60626018047332764</v>
      </c>
      <c r="K64" s="29">
        <f t="shared" si="17"/>
        <v>4.8848625224442888</v>
      </c>
      <c r="L64" s="24">
        <f t="shared" si="18"/>
        <v>395.93640690347485</v>
      </c>
      <c r="M64" s="24">
        <f t="shared" si="19"/>
        <v>5.897941987554111E-2</v>
      </c>
      <c r="N64" s="24">
        <f t="shared" si="20"/>
        <v>0.27873515941183935</v>
      </c>
      <c r="O64">
        <v>0.27662803037234279</v>
      </c>
      <c r="T64">
        <v>0.19345459875867455</v>
      </c>
      <c r="U64">
        <v>0.19483559353645802</v>
      </c>
    </row>
    <row r="65" spans="1:21" ht="15">
      <c r="A65" s="24">
        <v>50</v>
      </c>
      <c r="C65" s="24">
        <v>0.83982672200577047</v>
      </c>
      <c r="D65" s="24">
        <v>3.8422273764608992</v>
      </c>
      <c r="E65" s="24">
        <v>269.99088080142752</v>
      </c>
      <c r="F65" s="24">
        <v>1.4415954351425171</v>
      </c>
      <c r="G65" s="24">
        <v>27.244109272434958</v>
      </c>
      <c r="H65" s="24">
        <v>25.110997764820219</v>
      </c>
      <c r="I65" s="24">
        <v>34.925907135009766</v>
      </c>
      <c r="J65" s="24">
        <v>0.61419028043746948</v>
      </c>
      <c r="K65" s="29">
        <f t="shared" si="17"/>
        <v>4.8909461029824737</v>
      </c>
      <c r="L65" s="24">
        <f t="shared" si="18"/>
        <v>445.22636196356291</v>
      </c>
      <c r="M65" s="24">
        <f t="shared" si="19"/>
        <v>5.640051872506887E-2</v>
      </c>
      <c r="N65" s="24">
        <f t="shared" si="20"/>
        <v>0.26999088080142752</v>
      </c>
      <c r="O65">
        <v>0.26849380767984343</v>
      </c>
      <c r="T65">
        <v>0.19345459875867455</v>
      </c>
      <c r="U65">
        <v>0.1927781186545241</v>
      </c>
    </row>
    <row r="66" spans="1:21" ht="15">
      <c r="A66" s="24">
        <v>55</v>
      </c>
      <c r="C66" s="24">
        <v>0.81005754905946747</v>
      </c>
      <c r="D66" s="24">
        <v>3.7135403351440273</v>
      </c>
      <c r="E66" s="24">
        <v>259.86619689215428</v>
      </c>
      <c r="F66" s="24">
        <v>1.4475973844528198</v>
      </c>
      <c r="G66" s="24">
        <v>27.272905012659116</v>
      </c>
      <c r="H66" s="24">
        <v>26.60398674148113</v>
      </c>
      <c r="I66" s="24">
        <v>38.407905578613281</v>
      </c>
      <c r="J66" s="24">
        <v>0.61988592147827148</v>
      </c>
      <c r="K66" s="29">
        <f t="shared" si="17"/>
        <v>4.89805192403304</v>
      </c>
      <c r="L66" s="24">
        <f t="shared" si="18"/>
        <v>494.50622750979386</v>
      </c>
      <c r="M66" s="24">
        <f t="shared" si="19"/>
        <v>5.3799093442062323E-2</v>
      </c>
      <c r="N66" s="24">
        <f t="shared" si="20"/>
        <v>0.25986619689215429</v>
      </c>
      <c r="O66">
        <v>0.26026046813270981</v>
      </c>
      <c r="T66">
        <v>0.19177155863590681</v>
      </c>
      <c r="U66">
        <v>0.19014918415489351</v>
      </c>
    </row>
    <row r="67" spans="1:21" ht="15">
      <c r="A67" s="24">
        <v>60</v>
      </c>
      <c r="C67" s="24">
        <v>0.78050523759319224</v>
      </c>
      <c r="D67" s="24">
        <v>3.5848532938271545</v>
      </c>
      <c r="E67" s="24">
        <v>249.82360404359667</v>
      </c>
      <c r="F67" s="24">
        <v>1.4536081552505493</v>
      </c>
      <c r="G67" s="24">
        <v>27.301700752883278</v>
      </c>
      <c r="H67" s="24">
        <v>27.885651764136448</v>
      </c>
      <c r="I67" s="24">
        <v>41.908905029296875</v>
      </c>
      <c r="J67" s="24">
        <v>0.63898366689682007</v>
      </c>
      <c r="K67" s="29">
        <f t="shared" si="17"/>
        <v>4.9051667037561426</v>
      </c>
      <c r="L67" s="24">
        <f t="shared" si="18"/>
        <v>543.78600463392684</v>
      </c>
      <c r="M67" s="24">
        <f t="shared" si="19"/>
        <v>5.1280561703512181E-2</v>
      </c>
      <c r="N67" s="24">
        <f t="shared" si="20"/>
        <v>0.24982360404359669</v>
      </c>
      <c r="O67">
        <v>0.25233014369440976</v>
      </c>
      <c r="T67">
        <v>0.18841242585105919</v>
      </c>
      <c r="U67">
        <v>0.18702177463745467</v>
      </c>
    </row>
    <row r="68" spans="1:21" ht="15">
      <c r="A68" s="24">
        <v>65</v>
      </c>
      <c r="C68" s="24">
        <v>0.75533284536777079</v>
      </c>
      <c r="D68" s="24">
        <v>3.4745501155555494</v>
      </c>
      <c r="E68" s="24">
        <v>241.28037270859397</v>
      </c>
      <c r="F68" s="24">
        <v>1.458767294883728</v>
      </c>
      <c r="G68" s="24">
        <v>27.326382815932554</v>
      </c>
      <c r="H68" s="24">
        <v>29.012853515346318</v>
      </c>
      <c r="I68" s="24">
        <v>45.510894775390625</v>
      </c>
      <c r="J68" s="24">
        <v>0.66902285814285278</v>
      </c>
      <c r="K68" s="29">
        <f t="shared" si="17"/>
        <v>4.9112722239060105</v>
      </c>
      <c r="L68" s="24">
        <f t="shared" si="18"/>
        <v>593.07574315004763</v>
      </c>
      <c r="M68" s="24">
        <f t="shared" si="19"/>
        <v>4.8919305586919093E-2</v>
      </c>
      <c r="N68" s="24">
        <f t="shared" si="20"/>
        <v>0.24128037270859398</v>
      </c>
      <c r="O68">
        <v>0.24499222413577632</v>
      </c>
      <c r="T68">
        <v>0.18506253351860344</v>
      </c>
      <c r="U68">
        <v>0.18384900620062913</v>
      </c>
    </row>
    <row r="69" spans="1:21" s="24" customFormat="1" ht="15">
      <c r="K69" s="29"/>
      <c r="T69">
        <v>0.18255616188655682</v>
      </c>
      <c r="U69">
        <v>0.18080423908985427</v>
      </c>
    </row>
    <row r="70" spans="1:21">
      <c r="A70" s="24"/>
      <c r="C70" s="24"/>
      <c r="D70" s="24"/>
      <c r="E70" s="24"/>
      <c r="F70" s="24"/>
      <c r="G70" s="24"/>
      <c r="H70" s="24"/>
      <c r="I70" s="24"/>
      <c r="J70" s="24"/>
      <c r="T70">
        <v>0.17755891990635073</v>
      </c>
      <c r="U70">
        <v>0.17717405314237306</v>
      </c>
    </row>
    <row r="71" spans="1:21">
      <c r="A71" s="24"/>
      <c r="B71" s="19"/>
      <c r="C71" s="24"/>
      <c r="D71" s="24"/>
      <c r="E71" s="24"/>
      <c r="F71" s="24"/>
      <c r="G71" s="24"/>
      <c r="H71" s="24"/>
      <c r="I71" s="24"/>
      <c r="J71" s="24"/>
      <c r="K71" s="19" t="s">
        <v>148</v>
      </c>
      <c r="L71" s="19" t="s">
        <v>292</v>
      </c>
      <c r="M71" s="24"/>
      <c r="N71" s="24"/>
      <c r="O71" s="24"/>
      <c r="T71">
        <v>0.17092794718050133</v>
      </c>
      <c r="U71">
        <v>0.17325430006883946</v>
      </c>
    </row>
    <row r="72" spans="1:21">
      <c r="A72" s="19" t="s">
        <v>148</v>
      </c>
      <c r="B72" s="26" t="s">
        <v>93</v>
      </c>
      <c r="C72" s="24" t="s">
        <v>154</v>
      </c>
      <c r="D72" s="24" t="s">
        <v>155</v>
      </c>
      <c r="E72" s="24" t="s">
        <v>156</v>
      </c>
      <c r="F72" s="24" t="s">
        <v>159</v>
      </c>
      <c r="G72" s="24" t="s">
        <v>238</v>
      </c>
      <c r="H72" s="24" t="s">
        <v>157</v>
      </c>
      <c r="I72" s="24" t="s">
        <v>160</v>
      </c>
      <c r="J72" s="24" t="s">
        <v>265</v>
      </c>
      <c r="K72" s="27" t="s">
        <v>341</v>
      </c>
      <c r="L72" s="27" t="s">
        <v>342</v>
      </c>
      <c r="M72" s="19" t="s">
        <v>343</v>
      </c>
      <c r="N72" s="19" t="s">
        <v>288</v>
      </c>
      <c r="O72" s="19" t="s">
        <v>344</v>
      </c>
      <c r="P72" t="s">
        <v>313</v>
      </c>
      <c r="Q72">
        <v>0.13495043840594464</v>
      </c>
      <c r="T72">
        <v>0.16927589878519683</v>
      </c>
      <c r="U72">
        <v>0.17029249101996097</v>
      </c>
    </row>
    <row r="73" spans="1:21" ht="15">
      <c r="A73" s="24">
        <v>15</v>
      </c>
      <c r="B73" s="24">
        <v>2</v>
      </c>
      <c r="C73" s="24">
        <v>1.0469969420262586</v>
      </c>
      <c r="D73" s="24">
        <v>4.7246528026337389</v>
      </c>
      <c r="E73" s="24">
        <v>199.36353493117889</v>
      </c>
      <c r="F73" s="24">
        <v>2.4006764888763428</v>
      </c>
      <c r="G73" s="24">
        <v>27.046652768040726</v>
      </c>
      <c r="H73" s="24">
        <v>6.0790786426549008</v>
      </c>
      <c r="I73" s="24">
        <v>10.057882308959961</v>
      </c>
      <c r="J73" s="24">
        <v>1.4624258279800415</v>
      </c>
      <c r="K73" s="29">
        <f t="shared" ref="K73" si="21">0.1013*42.75*EXP((37830*((G73+273.15)-298))/(298*$H$26*(G73+273.15)))</f>
        <v>4.84246105904713</v>
      </c>
      <c r="L73" s="24">
        <f t="shared" ref="L73" si="22">(A73-K73)*9.87</f>
        <v>100.25490934720482</v>
      </c>
      <c r="M73" s="24">
        <f t="shared" ref="M73" si="23">H73/L73</f>
        <v>6.0636219036433556E-2</v>
      </c>
      <c r="N73" s="24">
        <f t="shared" ref="N73" si="24">E73*0.001</f>
        <v>0.19936353493117889</v>
      </c>
      <c r="O73">
        <v>0.20064154708398174</v>
      </c>
      <c r="P73" t="s">
        <v>314</v>
      </c>
      <c r="Q73">
        <v>36.076691767389015</v>
      </c>
      <c r="T73">
        <v>0.14599487504298017</v>
      </c>
      <c r="U73">
        <v>0.14588853396303353</v>
      </c>
    </row>
    <row r="74" spans="1:21" ht="15">
      <c r="A74" s="24">
        <v>20</v>
      </c>
      <c r="C74" s="24">
        <v>1.0333070166167508</v>
      </c>
      <c r="D74" s="24">
        <v>4.669501213497937</v>
      </c>
      <c r="E74" s="24">
        <v>196.82764364218164</v>
      </c>
      <c r="F74" s="24">
        <v>2.4032218456268311</v>
      </c>
      <c r="G74" s="24">
        <v>27.058993799565368</v>
      </c>
      <c r="H74" s="24">
        <v>8.8622843062308654</v>
      </c>
      <c r="I74" s="24">
        <v>12.702899932861328</v>
      </c>
      <c r="J74" s="24">
        <v>1.0179022550582886</v>
      </c>
      <c r="K74" s="29">
        <f t="shared" ref="K74:K83" si="25">0.1013*42.75*EXP((37830*((G74+273.15)-298))/(298*$H$26*(G74+273.15)))</f>
        <v>4.845479103684462</v>
      </c>
      <c r="L74" s="24">
        <f t="shared" ref="L74:L83" si="26">(A74-K74)*9.87</f>
        <v>149.57512124663435</v>
      </c>
      <c r="M74" s="24">
        <f t="shared" ref="M74:M83" si="27">H74/L74</f>
        <v>5.9249721694143567E-2</v>
      </c>
      <c r="N74" s="24">
        <f t="shared" ref="N74:N83" si="28">E74*0.001</f>
        <v>0.19682764364218164</v>
      </c>
      <c r="O74">
        <v>0.19786529852680299</v>
      </c>
      <c r="P74" t="s">
        <v>312</v>
      </c>
      <c r="Q74">
        <v>8.4216140409586276E-2</v>
      </c>
      <c r="T74">
        <v>0.14365603122075335</v>
      </c>
      <c r="U74">
        <v>0.14432868225758255</v>
      </c>
    </row>
    <row r="75" spans="1:21" ht="15">
      <c r="A75" s="24">
        <v>25</v>
      </c>
      <c r="C75" s="24">
        <v>1.0151685943196853</v>
      </c>
      <c r="D75" s="24">
        <v>4.595965761316867</v>
      </c>
      <c r="E75" s="24">
        <v>193.45459875867454</v>
      </c>
      <c r="F75" s="24">
        <v>2.4066181182861328</v>
      </c>
      <c r="G75" s="24">
        <v>27.075448508264884</v>
      </c>
      <c r="H75" s="24">
        <v>11.485110739279964</v>
      </c>
      <c r="I75" s="24">
        <v>15.378893852233887</v>
      </c>
      <c r="J75" s="24">
        <v>0.77880126237869263</v>
      </c>
      <c r="K75" s="29">
        <f t="shared" si="25"/>
        <v>4.8495057029755184</v>
      </c>
      <c r="L75" s="24">
        <f t="shared" si="26"/>
        <v>198.8853787116316</v>
      </c>
      <c r="M75" s="24">
        <f t="shared" si="27"/>
        <v>5.7747386025457835E-2</v>
      </c>
      <c r="N75" s="24">
        <f t="shared" si="28"/>
        <v>0.19345459875867455</v>
      </c>
      <c r="O75">
        <v>0.19483559353645802</v>
      </c>
      <c r="P75" t="s">
        <v>327</v>
      </c>
      <c r="R75">
        <v>0.18624234744135315</v>
      </c>
      <c r="T75">
        <v>0.14248831328597433</v>
      </c>
      <c r="U75">
        <v>0.14312223387893619</v>
      </c>
    </row>
    <row r="76" spans="1:21" ht="15">
      <c r="A76" s="24">
        <v>30</v>
      </c>
      <c r="C76" s="24">
        <v>1.0151685943196853</v>
      </c>
      <c r="D76" s="24">
        <v>4.595965761316867</v>
      </c>
      <c r="E76" s="24">
        <v>193.45459875867454</v>
      </c>
      <c r="F76" s="24">
        <v>2.4066181182861328</v>
      </c>
      <c r="G76" s="24">
        <v>27.075448508264884</v>
      </c>
      <c r="H76" s="24">
        <v>14.068320360442582</v>
      </c>
      <c r="I76" s="24">
        <v>18.214902877807617</v>
      </c>
      <c r="J76" s="24">
        <v>0.67756617069244385</v>
      </c>
      <c r="K76" s="29">
        <f t="shared" si="25"/>
        <v>4.8495057029755184</v>
      </c>
      <c r="L76" s="24">
        <f t="shared" si="26"/>
        <v>248.2353787116316</v>
      </c>
      <c r="M76" s="24">
        <f t="shared" si="27"/>
        <v>5.6673309153025181E-2</v>
      </c>
      <c r="N76" s="24">
        <f t="shared" si="28"/>
        <v>0.19345459875867455</v>
      </c>
      <c r="O76">
        <v>0.1927781186545241</v>
      </c>
      <c r="P76" t="s">
        <v>328</v>
      </c>
      <c r="R76">
        <v>9</v>
      </c>
      <c r="T76">
        <v>0.14190487988513295</v>
      </c>
      <c r="U76">
        <v>0.14206367937462649</v>
      </c>
    </row>
    <row r="77" spans="1:21" ht="15">
      <c r="A77" s="24">
        <v>35</v>
      </c>
      <c r="C77" s="24">
        <v>1.0061482846650671</v>
      </c>
      <c r="D77" s="24">
        <v>4.5591980352263315</v>
      </c>
      <c r="E77" s="24">
        <v>191.77155863590681</v>
      </c>
      <c r="F77" s="24">
        <v>2.4083173274993896</v>
      </c>
      <c r="G77" s="24">
        <v>27.083675862614644</v>
      </c>
      <c r="H77" s="24">
        <v>16.466644314939447</v>
      </c>
      <c r="I77" s="24">
        <v>21.082904815673828</v>
      </c>
      <c r="J77" s="24">
        <v>0.61878794431686401</v>
      </c>
      <c r="K77" s="29">
        <f t="shared" si="25"/>
        <v>4.8515200915883199</v>
      </c>
      <c r="L77" s="24">
        <f t="shared" si="26"/>
        <v>297.56549669602327</v>
      </c>
      <c r="M77" s="24">
        <f t="shared" si="27"/>
        <v>5.5337881904234602E-2</v>
      </c>
      <c r="N77" s="24">
        <f t="shared" si="28"/>
        <v>0.19177155863590681</v>
      </c>
      <c r="O77">
        <v>0.19014918415489351</v>
      </c>
      <c r="P77" t="s">
        <v>329</v>
      </c>
      <c r="R77">
        <v>1.5193641352868037E-3</v>
      </c>
      <c r="T77">
        <v>0.14132173003260734</v>
      </c>
      <c r="U77">
        <v>0.14097284047774231</v>
      </c>
    </row>
    <row r="78" spans="1:21" ht="15">
      <c r="A78" s="24">
        <v>40</v>
      </c>
      <c r="C78" s="24">
        <v>0.9881981274902838</v>
      </c>
      <c r="D78" s="24">
        <v>4.4856625830452614</v>
      </c>
      <c r="E78" s="24">
        <v>188.4124258510592</v>
      </c>
      <c r="F78" s="24">
        <v>2.4117178916931152</v>
      </c>
      <c r="G78" s="24">
        <v>27.100130571314164</v>
      </c>
      <c r="H78" s="24">
        <v>18.653579799869604</v>
      </c>
      <c r="I78" s="24">
        <v>23.95390510559082</v>
      </c>
      <c r="J78" s="24">
        <v>0.56029069423675537</v>
      </c>
      <c r="K78" s="29">
        <f t="shared" si="25"/>
        <v>4.8555510478432149</v>
      </c>
      <c r="L78" s="24">
        <f t="shared" si="26"/>
        <v>346.87571115778746</v>
      </c>
      <c r="M78" s="24">
        <f t="shared" si="27"/>
        <v>5.3775975658856175E-2</v>
      </c>
      <c r="N78" s="24">
        <f t="shared" si="28"/>
        <v>0.18841242585105919</v>
      </c>
      <c r="O78">
        <v>0.18702177463745467</v>
      </c>
      <c r="P78" t="s">
        <v>315</v>
      </c>
      <c r="R78">
        <v>0.97995158488228007</v>
      </c>
      <c r="T78">
        <v>0.14015628048470305</v>
      </c>
      <c r="U78">
        <v>0.1396909981478083</v>
      </c>
    </row>
    <row r="79" spans="1:21" ht="15">
      <c r="A79" s="24">
        <v>45</v>
      </c>
      <c r="C79" s="24">
        <v>0.97036423983484033</v>
      </c>
      <c r="D79" s="24">
        <v>4.4121271308641923</v>
      </c>
      <c r="E79" s="24">
        <v>185.06253351860343</v>
      </c>
      <c r="F79" s="24">
        <v>2.41512131690979</v>
      </c>
      <c r="G79" s="24">
        <v>27.116585280013684</v>
      </c>
      <c r="H79" s="24">
        <v>20.675357586858194</v>
      </c>
      <c r="I79" s="24">
        <v>26.892892837524414</v>
      </c>
      <c r="J79" s="24">
        <v>0.53111845254898071</v>
      </c>
      <c r="K79" s="29">
        <f t="shared" si="25"/>
        <v>4.8595849109307681</v>
      </c>
      <c r="L79" s="24">
        <f t="shared" si="26"/>
        <v>396.18589692911326</v>
      </c>
      <c r="M79" s="24">
        <f t="shared" si="27"/>
        <v>5.2186000933186899E-2</v>
      </c>
      <c r="N79" s="24">
        <f t="shared" si="28"/>
        <v>0.18506253351860344</v>
      </c>
      <c r="O79">
        <v>0.18384900620062913</v>
      </c>
      <c r="T79">
        <v>0.13957398054556847</v>
      </c>
      <c r="U79">
        <v>0.13851270068668919</v>
      </c>
    </row>
    <row r="80" spans="1:21" ht="15">
      <c r="A80" s="24">
        <v>50</v>
      </c>
      <c r="C80" s="24">
        <v>0.95706367068518905</v>
      </c>
      <c r="D80" s="24">
        <v>4.3569755417283895</v>
      </c>
      <c r="E80" s="24">
        <v>182.55616188655682</v>
      </c>
      <c r="F80" s="24">
        <v>2.4176757335662842</v>
      </c>
      <c r="G80" s="24">
        <v>27.128926311538322</v>
      </c>
      <c r="H80" s="24">
        <v>22.561262762077035</v>
      </c>
      <c r="I80" s="24">
        <v>29.969894409179687</v>
      </c>
      <c r="J80" s="24">
        <v>0.51600450277328491</v>
      </c>
      <c r="K80" s="29">
        <f t="shared" si="25"/>
        <v>4.8626122169098664</v>
      </c>
      <c r="L80" s="24">
        <f t="shared" si="26"/>
        <v>445.50601741909958</v>
      </c>
      <c r="M80" s="24">
        <f t="shared" si="27"/>
        <v>5.0641881096867528E-2</v>
      </c>
      <c r="N80" s="24">
        <f t="shared" si="28"/>
        <v>0.18255616188655682</v>
      </c>
      <c r="O80">
        <v>0.18080423908985427</v>
      </c>
      <c r="T80">
        <v>0.13666672432815524</v>
      </c>
      <c r="U80">
        <v>0.1367455977740209</v>
      </c>
    </row>
    <row r="81" spans="1:21" ht="15">
      <c r="A81" s="24">
        <v>55</v>
      </c>
      <c r="C81" s="24">
        <v>0.9350271579258348</v>
      </c>
      <c r="D81" s="24">
        <v>4.2466723634567849</v>
      </c>
      <c r="E81" s="24">
        <v>177.55891990635072</v>
      </c>
      <c r="F81" s="24">
        <v>2.4227895736694336</v>
      </c>
      <c r="G81" s="24">
        <v>27.153608374587602</v>
      </c>
      <c r="H81" s="24">
        <v>24.163960640590251</v>
      </c>
      <c r="I81" s="24">
        <v>32.943897247314453</v>
      </c>
      <c r="J81" s="24">
        <v>0.50043946504592896</v>
      </c>
      <c r="K81" s="29">
        <f t="shared" si="25"/>
        <v>4.868671740066052</v>
      </c>
      <c r="L81" s="24">
        <f t="shared" si="26"/>
        <v>494.79620992554806</v>
      </c>
      <c r="M81" s="24">
        <f t="shared" si="27"/>
        <v>4.8836187820084961E-2</v>
      </c>
      <c r="N81" s="24">
        <f t="shared" si="28"/>
        <v>0.17755891990635073</v>
      </c>
      <c r="O81">
        <v>0.17717405314237306</v>
      </c>
      <c r="T81">
        <v>0.13608612092899844</v>
      </c>
      <c r="U81">
        <v>0.13546612702071403</v>
      </c>
    </row>
    <row r="82" spans="1:21" ht="15">
      <c r="A82" s="24">
        <v>60</v>
      </c>
      <c r="C82" s="24">
        <v>0.90009528567253816</v>
      </c>
      <c r="D82" s="24">
        <v>4.0996014590946448</v>
      </c>
      <c r="E82" s="24">
        <v>170.92794718050132</v>
      </c>
      <c r="F82" s="24">
        <v>2.4296181201934814</v>
      </c>
      <c r="G82" s="24">
        <v>27.186517791986642</v>
      </c>
      <c r="H82" s="24">
        <v>25.517690262902089</v>
      </c>
      <c r="I82" s="24">
        <v>35.803901672363281</v>
      </c>
      <c r="J82" s="24">
        <v>0.49663683772087097</v>
      </c>
      <c r="K82" s="29">
        <f t="shared" si="25"/>
        <v>4.8767612991642624</v>
      </c>
      <c r="L82" s="24">
        <f t="shared" si="26"/>
        <v>544.06636597724867</v>
      </c>
      <c r="M82" s="24">
        <f t="shared" si="27"/>
        <v>4.6901797020786923E-2</v>
      </c>
      <c r="N82" s="24">
        <f t="shared" si="28"/>
        <v>0.17092794718050133</v>
      </c>
      <c r="O82">
        <v>0.17325430006883946</v>
      </c>
      <c r="T82">
        <v>0.13376652943147427</v>
      </c>
      <c r="U82">
        <v>0.13376378175286044</v>
      </c>
    </row>
    <row r="83" spans="1:21" ht="15">
      <c r="A83" s="24">
        <v>65</v>
      </c>
      <c r="C83" s="24">
        <v>0.8914217378213154</v>
      </c>
      <c r="D83" s="24">
        <v>4.0628337330041093</v>
      </c>
      <c r="E83" s="24">
        <v>169.27589878519683</v>
      </c>
      <c r="F83" s="24">
        <v>2.4313268661499023</v>
      </c>
      <c r="G83" s="24">
        <v>27.194745146336402</v>
      </c>
      <c r="H83" s="24">
        <v>26.92348788069388</v>
      </c>
      <c r="I83" s="24">
        <v>39.221900939941406</v>
      </c>
      <c r="J83" s="24">
        <v>0.5231403112411499</v>
      </c>
      <c r="K83" s="29">
        <f t="shared" si="25"/>
        <v>4.8787855109181377</v>
      </c>
      <c r="L83" s="24">
        <f t="shared" si="26"/>
        <v>593.39638700723799</v>
      </c>
      <c r="M83" s="24">
        <f t="shared" si="27"/>
        <v>4.5371843290925667E-2</v>
      </c>
      <c r="N83" s="24">
        <f t="shared" si="28"/>
        <v>0.16927589878519683</v>
      </c>
      <c r="O83">
        <v>0.17029249101996097</v>
      </c>
      <c r="T83">
        <v>0.1308733806892696</v>
      </c>
      <c r="U83">
        <v>0.1319318511139555</v>
      </c>
    </row>
    <row r="86" spans="1:21">
      <c r="A86" s="24"/>
      <c r="B86" s="19"/>
      <c r="C86" s="24"/>
      <c r="D86" s="24"/>
      <c r="E86" s="24"/>
      <c r="F86" s="24"/>
      <c r="G86" s="24"/>
      <c r="H86" s="24"/>
      <c r="I86" s="24"/>
      <c r="J86" s="24"/>
      <c r="K86" s="19" t="s">
        <v>148</v>
      </c>
      <c r="L86" s="19" t="s">
        <v>292</v>
      </c>
      <c r="M86" s="24"/>
      <c r="N86" s="24"/>
      <c r="O86" s="24"/>
    </row>
    <row r="87" spans="1:21">
      <c r="A87" s="19" t="s">
        <v>148</v>
      </c>
      <c r="B87" s="26" t="s">
        <v>93</v>
      </c>
      <c r="C87" s="24" t="s">
        <v>154</v>
      </c>
      <c r="D87" s="24" t="s">
        <v>155</v>
      </c>
      <c r="E87" s="24" t="s">
        <v>156</v>
      </c>
      <c r="F87" s="24" t="s">
        <v>159</v>
      </c>
      <c r="G87" s="24" t="s">
        <v>238</v>
      </c>
      <c r="H87" s="24" t="s">
        <v>157</v>
      </c>
      <c r="I87" s="24" t="s">
        <v>160</v>
      </c>
      <c r="J87" s="24" t="s">
        <v>265</v>
      </c>
      <c r="K87" s="27" t="s">
        <v>341</v>
      </c>
      <c r="L87" s="27" t="s">
        <v>342</v>
      </c>
      <c r="M87" s="19" t="s">
        <v>343</v>
      </c>
      <c r="N87" s="19" t="s">
        <v>288</v>
      </c>
      <c r="O87" s="19" t="s">
        <v>344</v>
      </c>
      <c r="P87" t="s">
        <v>313</v>
      </c>
      <c r="Q87">
        <v>0.13400810425353588</v>
      </c>
    </row>
    <row r="88" spans="1:21" ht="15">
      <c r="A88" s="24">
        <v>15</v>
      </c>
      <c r="B88" s="24">
        <f>B20+0.25</f>
        <v>3</v>
      </c>
      <c r="C88" s="24">
        <v>1.0885431822299414</v>
      </c>
      <c r="D88" s="24">
        <v>4.8901075700411463</v>
      </c>
      <c r="E88" s="24">
        <v>145.99487504298017</v>
      </c>
      <c r="F88" s="24">
        <v>3.393049955368042</v>
      </c>
      <c r="G88" s="24">
        <v>27.009629673466808</v>
      </c>
      <c r="H88" s="24">
        <v>5.1910705962301824</v>
      </c>
      <c r="I88" s="24">
        <v>9.2388811111450195</v>
      </c>
      <c r="J88" s="24">
        <v>1.4413329362869263</v>
      </c>
      <c r="K88" s="29">
        <f t="shared" ref="K88" si="29">0.1013*42.75*EXP((37830*((G88+273.15)-298))/(298*$H$26*(G88+273.15)))</f>
        <v>4.8334167135338006</v>
      </c>
      <c r="L88" s="24">
        <f t="shared" ref="L88" si="30">(A88-K88)*9.87</f>
        <v>100.34417703742137</v>
      </c>
      <c r="M88" s="24">
        <f t="shared" ref="M88" si="31">H88/L88</f>
        <v>5.1732654046226074E-2</v>
      </c>
      <c r="N88" s="24">
        <f t="shared" ref="N88" si="32">E88*0.001</f>
        <v>0.14599487504298017</v>
      </c>
      <c r="O88">
        <v>0.14588853396303353</v>
      </c>
      <c r="P88" t="s">
        <v>314</v>
      </c>
      <c r="Q88">
        <v>36.076698475686356</v>
      </c>
    </row>
    <row r="89" spans="1:21" ht="15">
      <c r="A89" s="24">
        <v>20</v>
      </c>
      <c r="C89" s="24">
        <v>1.0699857189952808</v>
      </c>
      <c r="D89" s="24">
        <v>4.8165721178600762</v>
      </c>
      <c r="E89" s="24">
        <v>143.65603122075333</v>
      </c>
      <c r="F89" s="24">
        <v>3.3964376449584961</v>
      </c>
      <c r="G89" s="24">
        <v>27.026084382166328</v>
      </c>
      <c r="H89" s="24">
        <v>7.5789928600523684</v>
      </c>
      <c r="I89" s="24">
        <v>11.449898719787598</v>
      </c>
      <c r="J89" s="24">
        <v>1.0500234365463257</v>
      </c>
      <c r="K89" s="29">
        <f t="shared" ref="K89:K98" si="33">0.1013*42.75*EXP((37830*((G89+273.15)-298))/(298*$H$26*(G89+273.15)))</f>
        <v>4.8374346107133279</v>
      </c>
      <c r="L89" s="24">
        <f t="shared" ref="L89:L98" si="34">(A89-K89)*9.87</f>
        <v>149.65452039225946</v>
      </c>
      <c r="M89" s="24">
        <f t="shared" ref="M89:M98" si="35">H89/L89</f>
        <v>5.0643260492145979E-2</v>
      </c>
      <c r="N89" s="24">
        <f t="shared" ref="N89:N98" si="36">E89*0.001</f>
        <v>0.14365603122075335</v>
      </c>
      <c r="O89">
        <v>0.14432868225758255</v>
      </c>
      <c r="P89" t="s">
        <v>312</v>
      </c>
      <c r="Q89">
        <v>7.4978123213923067E-2</v>
      </c>
    </row>
    <row r="90" spans="1:21" ht="15">
      <c r="A90" s="24">
        <v>25</v>
      </c>
      <c r="C90" s="24">
        <v>1.0607636859387208</v>
      </c>
      <c r="D90" s="24">
        <v>4.7798043917695416</v>
      </c>
      <c r="E90" s="24">
        <v>142.48831328597433</v>
      </c>
      <c r="F90" s="24">
        <v>3.3981325626373291</v>
      </c>
      <c r="G90" s="24">
        <v>27.034311736516088</v>
      </c>
      <c r="H90" s="24">
        <v>9.9066794953347994</v>
      </c>
      <c r="I90" s="24">
        <v>13.73189640045166</v>
      </c>
      <c r="J90" s="24">
        <v>0.81366920471191406</v>
      </c>
      <c r="K90" s="29">
        <f t="shared" si="33"/>
        <v>4.8394446463016214</v>
      </c>
      <c r="L90" s="24">
        <f t="shared" si="34"/>
        <v>198.98468134100298</v>
      </c>
      <c r="M90" s="24">
        <f t="shared" si="35"/>
        <v>4.9786141468636858E-2</v>
      </c>
      <c r="N90" s="24">
        <f t="shared" si="36"/>
        <v>0.14248831328597433</v>
      </c>
      <c r="O90">
        <v>0.14312223387893619</v>
      </c>
      <c r="P90" t="s">
        <v>327</v>
      </c>
      <c r="R90">
        <v>0.13931716780687431</v>
      </c>
    </row>
    <row r="91" spans="1:21" ht="15">
      <c r="A91" s="24">
        <v>30</v>
      </c>
      <c r="C91" s="24">
        <v>1.0561660509861999</v>
      </c>
      <c r="D91" s="24">
        <v>4.7614205287242743</v>
      </c>
      <c r="E91" s="24">
        <v>141.90487988513294</v>
      </c>
      <c r="F91" s="24">
        <v>3.3989803791046143</v>
      </c>
      <c r="G91" s="24">
        <v>27.038425413690966</v>
      </c>
      <c r="H91" s="24">
        <v>12.174003410209446</v>
      </c>
      <c r="I91" s="24">
        <v>16.095897674560547</v>
      </c>
      <c r="J91" s="24">
        <v>0.68404912948608398</v>
      </c>
      <c r="K91" s="29">
        <f t="shared" si="33"/>
        <v>4.8404499359410469</v>
      </c>
      <c r="L91" s="24">
        <f t="shared" si="34"/>
        <v>248.32475913226187</v>
      </c>
      <c r="M91" s="24">
        <f t="shared" si="35"/>
        <v>4.9024525193339143E-2</v>
      </c>
      <c r="N91" s="24">
        <f t="shared" si="36"/>
        <v>0.14190487988513295</v>
      </c>
      <c r="O91">
        <v>0.14206367937462649</v>
      </c>
      <c r="P91" t="s">
        <v>328</v>
      </c>
      <c r="R91">
        <v>9</v>
      </c>
      <c r="T91" s="24"/>
      <c r="U91" s="24"/>
    </row>
    <row r="92" spans="1:21" ht="15">
      <c r="A92" s="24">
        <v>35</v>
      </c>
      <c r="C92" s="24">
        <v>1.0515771738842021</v>
      </c>
      <c r="D92" s="24">
        <v>4.7430366656790071</v>
      </c>
      <c r="E92" s="24">
        <v>141.32173003260735</v>
      </c>
      <c r="F92" s="24">
        <v>3.3998281955718994</v>
      </c>
      <c r="G92" s="24">
        <v>27.042539090865848</v>
      </c>
      <c r="H92" s="24">
        <v>14.359035921016421</v>
      </c>
      <c r="I92" s="24">
        <v>18.532903671264648</v>
      </c>
      <c r="J92" s="24">
        <v>0.60608011484146118</v>
      </c>
      <c r="K92" s="29">
        <f t="shared" si="33"/>
        <v>4.8414554068471043</v>
      </c>
      <c r="L92" s="24">
        <f t="shared" si="34"/>
        <v>297.66483513441909</v>
      </c>
      <c r="M92" s="24">
        <f t="shared" si="35"/>
        <v>4.8238939324264443E-2</v>
      </c>
      <c r="N92" s="24">
        <f t="shared" si="36"/>
        <v>0.14132173003260734</v>
      </c>
      <c r="O92">
        <v>0.14097284047774231</v>
      </c>
      <c r="P92" t="s">
        <v>329</v>
      </c>
      <c r="R92">
        <v>6.5543434356362502E-4</v>
      </c>
      <c r="T92" s="24"/>
      <c r="U92" s="24"/>
    </row>
    <row r="93" spans="1:21" ht="15">
      <c r="A93" s="24">
        <v>40</v>
      </c>
      <c r="C93" s="24">
        <v>1.0424252444681483</v>
      </c>
      <c r="D93" s="24">
        <v>4.7062689395884725</v>
      </c>
      <c r="E93" s="24">
        <v>140.15628048470305</v>
      </c>
      <c r="F93" s="24">
        <v>3.401524543762207</v>
      </c>
      <c r="G93" s="24">
        <v>27.050766445215608</v>
      </c>
      <c r="H93" s="24">
        <v>16.421426853312518</v>
      </c>
      <c r="I93" s="24">
        <v>21.009910583496094</v>
      </c>
      <c r="J93" s="24">
        <v>0.54449003934860229</v>
      </c>
      <c r="K93" s="29">
        <f t="shared" si="33"/>
        <v>4.8434668925684807</v>
      </c>
      <c r="L93" s="24">
        <f t="shared" si="34"/>
        <v>346.99498177034911</v>
      </c>
      <c r="M93" s="24">
        <f t="shared" si="35"/>
        <v>4.7324681093459366E-2</v>
      </c>
      <c r="N93" s="24">
        <f t="shared" si="36"/>
        <v>0.14015628048470305</v>
      </c>
      <c r="O93">
        <v>0.1396909981478083</v>
      </c>
      <c r="P93" t="s">
        <v>315</v>
      </c>
      <c r="R93">
        <v>0.98109641876374398</v>
      </c>
    </row>
    <row r="94" spans="1:21" ht="15">
      <c r="A94" s="24">
        <v>45</v>
      </c>
      <c r="C94" s="24">
        <v>1.0378619718996447</v>
      </c>
      <c r="D94" s="24">
        <v>4.6878850765432043</v>
      </c>
      <c r="E94" s="24">
        <v>139.57398054556847</v>
      </c>
      <c r="F94" s="24">
        <v>3.4023730754852295</v>
      </c>
      <c r="G94" s="24">
        <v>27.054880122390486</v>
      </c>
      <c r="H94" s="24">
        <v>18.419330908300253</v>
      </c>
      <c r="I94" s="24">
        <v>23.610898971557617</v>
      </c>
      <c r="J94" s="24">
        <v>0.50926977396011353</v>
      </c>
      <c r="K94" s="29">
        <f t="shared" si="33"/>
        <v>4.8444729074384698</v>
      </c>
      <c r="L94" s="24">
        <f t="shared" si="34"/>
        <v>396.33505240358227</v>
      </c>
      <c r="M94" s="24">
        <f t="shared" si="35"/>
        <v>4.6474140494502901E-2</v>
      </c>
      <c r="N94" s="24">
        <f t="shared" si="36"/>
        <v>0.13957398054556847</v>
      </c>
      <c r="O94">
        <v>0.13851270068668919</v>
      </c>
    </row>
    <row r="95" spans="1:21" ht="15">
      <c r="A95" s="24">
        <v>50</v>
      </c>
      <c r="C95" s="24">
        <v>1.0151685943196853</v>
      </c>
      <c r="D95" s="24">
        <v>4.595965761316867</v>
      </c>
      <c r="E95" s="24">
        <v>136.66672432815523</v>
      </c>
      <c r="F95" s="24">
        <v>3.4066181182861328</v>
      </c>
      <c r="G95" s="24">
        <v>27.075448508264884</v>
      </c>
      <c r="H95" s="24">
        <v>20.158663633560675</v>
      </c>
      <c r="I95" s="24">
        <v>26.092889785766602</v>
      </c>
      <c r="J95" s="24">
        <v>0.47950166463851929</v>
      </c>
      <c r="K95" s="29">
        <f t="shared" si="33"/>
        <v>4.8495057029755184</v>
      </c>
      <c r="L95" s="24">
        <f t="shared" si="34"/>
        <v>445.63537871163157</v>
      </c>
      <c r="M95" s="24">
        <f t="shared" si="35"/>
        <v>4.5235779286287872E-2</v>
      </c>
      <c r="N95" s="24">
        <f t="shared" si="36"/>
        <v>0.13666672432815524</v>
      </c>
      <c r="O95">
        <v>0.1367455977740209</v>
      </c>
    </row>
    <row r="96" spans="1:21" ht="15">
      <c r="A96" s="24">
        <v>55</v>
      </c>
      <c r="C96" s="24">
        <v>1.010654589715664</v>
      </c>
      <c r="D96" s="24">
        <v>4.5775818982715997</v>
      </c>
      <c r="E96" s="24">
        <v>136.08612092899844</v>
      </c>
      <c r="F96" s="24">
        <v>3.4074676036834717</v>
      </c>
      <c r="G96" s="24">
        <v>27.079562185439766</v>
      </c>
      <c r="H96" s="24">
        <v>21.932054609760105</v>
      </c>
      <c r="I96" s="24">
        <v>28.879886627197266</v>
      </c>
      <c r="J96" s="24">
        <v>0.4636203944683075</v>
      </c>
      <c r="K96" s="29">
        <f t="shared" si="33"/>
        <v>4.8505128065118424</v>
      </c>
      <c r="L96" s="24">
        <f t="shared" si="34"/>
        <v>494.97543859972808</v>
      </c>
      <c r="M96" s="24">
        <f t="shared" si="35"/>
        <v>4.4309379616502352E-2</v>
      </c>
      <c r="N96" s="24">
        <f t="shared" si="36"/>
        <v>0.13608612092899844</v>
      </c>
      <c r="O96">
        <v>0.13546612702071403</v>
      </c>
    </row>
    <row r="97" spans="1:90" ht="15">
      <c r="A97" s="24">
        <v>60</v>
      </c>
      <c r="C97" s="24">
        <v>0.99267459709134576</v>
      </c>
      <c r="D97" s="24">
        <v>4.5040464460905296</v>
      </c>
      <c r="E97" s="24">
        <v>133.76652943147425</v>
      </c>
      <c r="F97" s="24">
        <v>3.41086745262146</v>
      </c>
      <c r="G97" s="24">
        <v>27.096016894139286</v>
      </c>
      <c r="H97" s="24">
        <v>23.460724733711352</v>
      </c>
      <c r="I97" s="24">
        <v>31.573896408081055</v>
      </c>
      <c r="J97" s="24">
        <v>0.45277303457260132</v>
      </c>
      <c r="K97" s="29">
        <f t="shared" si="33"/>
        <v>4.8545430363323909</v>
      </c>
      <c r="L97" s="24">
        <f t="shared" si="34"/>
        <v>544.28566023139933</v>
      </c>
      <c r="M97" s="24">
        <f t="shared" si="35"/>
        <v>4.3103698017208807E-2</v>
      </c>
      <c r="N97" s="24">
        <f t="shared" si="36"/>
        <v>0.13376652943147427</v>
      </c>
      <c r="O97">
        <v>0.13376378175286044</v>
      </c>
    </row>
    <row r="98" spans="1:90" ht="15">
      <c r="A98" s="24">
        <v>65</v>
      </c>
      <c r="C98" s="24">
        <v>0.97036423983484033</v>
      </c>
      <c r="D98" s="24">
        <v>4.4121271308641923</v>
      </c>
      <c r="E98" s="24">
        <v>130.8733806892696</v>
      </c>
      <c r="F98" s="24">
        <v>3.41512131690979</v>
      </c>
      <c r="G98" s="24">
        <v>27.116585280013684</v>
      </c>
      <c r="H98" s="24">
        <v>24.81816778436248</v>
      </c>
      <c r="I98" s="24">
        <v>34.264907836914062</v>
      </c>
      <c r="J98" s="24">
        <v>0.4474794864654541</v>
      </c>
      <c r="K98" s="29">
        <f t="shared" si="33"/>
        <v>4.8595849109307681</v>
      </c>
      <c r="L98" s="24">
        <f t="shared" si="34"/>
        <v>593.58589692911323</v>
      </c>
      <c r="M98" s="24">
        <f t="shared" si="35"/>
        <v>4.1810575205303936E-2</v>
      </c>
      <c r="N98" s="24">
        <f t="shared" si="36"/>
        <v>0.1308733806892696</v>
      </c>
      <c r="O98">
        <v>0.1319318511139555</v>
      </c>
    </row>
    <row r="102" spans="1:90">
      <c r="A102" s="19" t="s">
        <v>345</v>
      </c>
    </row>
    <row r="104" spans="1:90">
      <c r="A104" s="19" t="s">
        <v>347</v>
      </c>
      <c r="AE104" s="19" t="s">
        <v>405</v>
      </c>
    </row>
    <row r="105" spans="1:90">
      <c r="W105" s="19" t="s">
        <v>368</v>
      </c>
      <c r="AB105" s="19" t="s">
        <v>378</v>
      </c>
      <c r="AE105">
        <v>0.35</v>
      </c>
      <c r="AF105">
        <v>0.01</v>
      </c>
    </row>
    <row r="106" spans="1:90" ht="14.25">
      <c r="B106" s="19" t="s">
        <v>148</v>
      </c>
      <c r="C106" s="24"/>
      <c r="D106" s="24"/>
      <c r="E106" s="24"/>
      <c r="F106" s="24"/>
      <c r="G106" s="24"/>
      <c r="H106" s="24"/>
      <c r="I106" s="24"/>
      <c r="J106" s="24"/>
      <c r="K106" s="19" t="s">
        <v>148</v>
      </c>
      <c r="L106" s="19" t="s">
        <v>292</v>
      </c>
      <c r="M106" s="24"/>
      <c r="N106" s="24"/>
      <c r="O106" s="24"/>
      <c r="P106" s="24"/>
      <c r="Q106" s="24"/>
      <c r="R106" s="24"/>
      <c r="S106" s="24"/>
      <c r="T106" s="19" t="s">
        <v>364</v>
      </c>
      <c r="U106" s="19" t="s">
        <v>366</v>
      </c>
      <c r="V106" s="24"/>
      <c r="W106" s="24"/>
      <c r="X106" s="19" t="s">
        <v>125</v>
      </c>
      <c r="Y106" s="19" t="s">
        <v>367</v>
      </c>
      <c r="Z106" s="19" t="s">
        <v>29</v>
      </c>
      <c r="AA106" s="24"/>
      <c r="AB106" s="19" t="s">
        <v>392</v>
      </c>
      <c r="AC106" s="27" t="s">
        <v>379</v>
      </c>
      <c r="AD106" s="27" t="s">
        <v>314</v>
      </c>
      <c r="AE106" s="19" t="s">
        <v>384</v>
      </c>
      <c r="AF106" s="19" t="s">
        <v>385</v>
      </c>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row>
    <row r="107" spans="1:90">
      <c r="A107" s="19" t="s">
        <v>148</v>
      </c>
      <c r="B107" s="26" t="s">
        <v>93</v>
      </c>
      <c r="C107" s="24" t="s">
        <v>154</v>
      </c>
      <c r="D107" s="24" t="s">
        <v>155</v>
      </c>
      <c r="E107" s="24" t="s">
        <v>156</v>
      </c>
      <c r="F107" s="24" t="s">
        <v>159</v>
      </c>
      <c r="G107" s="24" t="s">
        <v>238</v>
      </c>
      <c r="H107" s="24" t="s">
        <v>157</v>
      </c>
      <c r="I107" s="24" t="s">
        <v>160</v>
      </c>
      <c r="J107" s="24" t="s">
        <v>265</v>
      </c>
      <c r="K107" s="27" t="s">
        <v>341</v>
      </c>
      <c r="L107" s="27" t="s">
        <v>342</v>
      </c>
      <c r="M107" s="19" t="s">
        <v>343</v>
      </c>
      <c r="N107" s="19" t="s">
        <v>288</v>
      </c>
      <c r="O107" s="19" t="s">
        <v>344</v>
      </c>
      <c r="P107" s="24" t="s">
        <v>313</v>
      </c>
      <c r="Q107" s="24">
        <v>0.20259709995894895</v>
      </c>
      <c r="R107" s="24"/>
      <c r="S107" s="24"/>
      <c r="T107">
        <v>0.73706626066024117</v>
      </c>
      <c r="U107">
        <v>0.73395401525846715</v>
      </c>
      <c r="V107" s="24"/>
      <c r="W107" s="19" t="s">
        <v>313</v>
      </c>
      <c r="X107" s="24">
        <f>AVERAGE(Q107,Q123,Q138,Q153,Q168,Q183,Q198,Q213,Q228,Q243,Q258)</f>
        <v>0.21300504858231345</v>
      </c>
      <c r="Y107" s="24">
        <f>STDEV(Q107,Q123,Q138,Q153,Q168,Q183,Q198,Q213,Q228,Q243,Q258)/SQRT(Z107)</f>
        <v>5.3990153450063283E-3</v>
      </c>
      <c r="Z107" s="24">
        <v>11</v>
      </c>
      <c r="AA107" s="24"/>
      <c r="AB107" s="19" t="s">
        <v>380</v>
      </c>
      <c r="AC107" s="19" t="s">
        <v>388</v>
      </c>
      <c r="AD107" s="19" t="s">
        <v>389</v>
      </c>
      <c r="AE107" s="19" t="s">
        <v>390</v>
      </c>
      <c r="AF107" s="19" t="s">
        <v>391</v>
      </c>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row>
    <row r="108" spans="1:90" ht="15">
      <c r="A108">
        <v>15</v>
      </c>
      <c r="B108" s="26">
        <v>0.1</v>
      </c>
      <c r="C108" s="24">
        <v>0.86123438120389528</v>
      </c>
      <c r="D108" s="24">
        <v>3.9157628286419697</v>
      </c>
      <c r="E108" s="24">
        <v>737.06626066024114</v>
      </c>
      <c r="F108" s="24">
        <v>0.5381697416305542</v>
      </c>
      <c r="G108" s="24">
        <v>27.227654563735438</v>
      </c>
      <c r="H108" s="24">
        <v>9.0919276979233121</v>
      </c>
      <c r="I108" s="24">
        <v>13.001893997192383</v>
      </c>
      <c r="J108" s="24">
        <v>1.542919397354126</v>
      </c>
      <c r="K108" s="29">
        <f t="shared" ref="K108" si="37">0.1013*42.75*EXP((37830*((G108+273.15)-298))/(298*$H$26*(G108+273.15)))</f>
        <v>4.8868896524403338</v>
      </c>
      <c r="L108" s="24">
        <f t="shared" ref="L108" si="38">(A108-K108)*9.87</f>
        <v>99.816399130413885</v>
      </c>
      <c r="M108" s="24">
        <f t="shared" ref="M108" si="39">H108/L108</f>
        <v>9.1086512608457917E-2</v>
      </c>
      <c r="N108" s="24">
        <f t="shared" ref="N108" si="40">E108*0.001</f>
        <v>0.73706626066024117</v>
      </c>
      <c r="O108">
        <v>0.73395401525846715</v>
      </c>
      <c r="P108" t="s">
        <v>314</v>
      </c>
      <c r="Q108">
        <v>26.537249739522803</v>
      </c>
      <c r="T108">
        <v>0.68690574826791451</v>
      </c>
      <c r="U108">
        <v>0.68613784782558651</v>
      </c>
      <c r="W108" s="19" t="s">
        <v>314</v>
      </c>
      <c r="X108" s="24">
        <f>AVERAGE(Q108,Q124,Q139,Q154,Q169,Q184,Q199,Q214,Q229,Q244,Q259)</f>
        <v>27.476883836305444</v>
      </c>
      <c r="Y108" s="24">
        <f t="shared" ref="Y108" si="41">STDEV(Q108,Q124,Q139,Q154,Q169,Q184,Q199,Q214,Q229,Q244,Q259)/SQRT(Z108)</f>
        <v>0.36658322812213306</v>
      </c>
      <c r="Z108" s="24">
        <v>11</v>
      </c>
      <c r="AB108" s="19" t="s">
        <v>381</v>
      </c>
      <c r="AC108" s="19" t="s">
        <v>387</v>
      </c>
      <c r="AD108" s="19" t="s">
        <v>382</v>
      </c>
      <c r="AE108" s="19" t="s">
        <v>383</v>
      </c>
      <c r="AF108" s="19" t="s">
        <v>386</v>
      </c>
      <c r="AQ108" s="24"/>
      <c r="AR108" s="24"/>
      <c r="AS108" s="24"/>
      <c r="AT108" s="24"/>
      <c r="AU108" s="24"/>
      <c r="AV108" s="24"/>
      <c r="AW108" s="24"/>
      <c r="AX108" s="24"/>
    </row>
    <row r="109" spans="1:90" ht="15">
      <c r="A109" s="24">
        <v>15</v>
      </c>
      <c r="B109" s="26">
        <v>0.15</v>
      </c>
      <c r="C109" s="24">
        <v>0.86983216116124351</v>
      </c>
      <c r="D109" s="24">
        <v>3.9709144177777724</v>
      </c>
      <c r="E109" s="24">
        <v>686.90574826791453</v>
      </c>
      <c r="F109" s="24">
        <v>0.58560234308242798</v>
      </c>
      <c r="G109" s="24">
        <v>27.2153135322108</v>
      </c>
      <c r="H109" s="24">
        <v>8.9770788904962657</v>
      </c>
      <c r="I109" s="24">
        <v>12.882893562316895</v>
      </c>
      <c r="J109" s="24">
        <v>1.5396555662155151</v>
      </c>
      <c r="K109" s="29">
        <f t="shared" ref="K109:K172" si="42">0.1013*42.75*EXP((37830*((G109+273.15)-298))/(298*$H$26*(G109+273.15)))</f>
        <v>4.8838492311688269</v>
      </c>
      <c r="L109" s="24">
        <f t="shared" ref="L109:L172" si="43">(A109-K109)*9.87</f>
        <v>99.84640808836366</v>
      </c>
      <c r="M109" s="24">
        <f t="shared" ref="M109:M172" si="44">H109/L109</f>
        <v>8.9908881675058228E-2</v>
      </c>
      <c r="N109" s="24">
        <f t="shared" ref="N109:N172" si="45">E109*0.001</f>
        <v>0.68690574826791451</v>
      </c>
      <c r="O109">
        <v>0.68613784782558651</v>
      </c>
      <c r="P109" t="s">
        <v>312</v>
      </c>
      <c r="Q109">
        <v>7.2862357866961158E-2</v>
      </c>
      <c r="T109">
        <v>0.63286994015872855</v>
      </c>
      <c r="U109">
        <v>0.64017062045753714</v>
      </c>
      <c r="W109" s="19" t="s">
        <v>312</v>
      </c>
      <c r="X109" s="24">
        <f>AVERAGE(Q109,Q125,Q140,Q155,Q170,Q185,Q200,Q215,Q230,Q245,Q260)</f>
        <v>6.7264845372975904E-2</v>
      </c>
      <c r="Y109" s="24">
        <f>STDEV(Q109,Q125,Q140,Q155,Q170,Q185,Q200,Q215,Q230,Q245,Q260)/SQRT(Z109)</f>
        <v>1.2724603590452928E-3</v>
      </c>
      <c r="Z109" s="24">
        <v>11</v>
      </c>
      <c r="AB109" s="19" t="s">
        <v>399</v>
      </c>
      <c r="AC109" s="19" t="s">
        <v>393</v>
      </c>
      <c r="AD109" s="19" t="s">
        <v>394</v>
      </c>
      <c r="AE109" s="19" t="s">
        <v>395</v>
      </c>
      <c r="AF109" s="19" t="s">
        <v>396</v>
      </c>
      <c r="AQ109" s="24"/>
      <c r="AR109" s="24"/>
      <c r="AS109" s="24"/>
      <c r="AT109" s="24"/>
      <c r="AU109" s="24"/>
      <c r="AV109" s="24"/>
      <c r="AW109" s="24"/>
      <c r="AX109" s="24"/>
    </row>
    <row r="110" spans="1:90" ht="15">
      <c r="A110" s="24">
        <v>15</v>
      </c>
      <c r="B110" s="26">
        <v>0.2</v>
      </c>
      <c r="C110" s="24">
        <v>0.86983216116124351</v>
      </c>
      <c r="D110" s="24">
        <v>3.9709144177777724</v>
      </c>
      <c r="E110" s="24">
        <v>632.86994015872858</v>
      </c>
      <c r="F110" s="24">
        <v>0.63560235500335693</v>
      </c>
      <c r="G110" s="24">
        <v>27.2153135322108</v>
      </c>
      <c r="H110" s="24">
        <v>8.8309981346687518</v>
      </c>
      <c r="I110" s="24">
        <v>12.738890647888184</v>
      </c>
      <c r="J110" s="24">
        <v>1.5353093147277832</v>
      </c>
      <c r="K110" s="29">
        <f t="shared" si="42"/>
        <v>4.8838492311688269</v>
      </c>
      <c r="L110" s="24">
        <f t="shared" si="43"/>
        <v>99.84640808836366</v>
      </c>
      <c r="M110" s="24">
        <f t="shared" si="44"/>
        <v>8.8445826983113457E-2</v>
      </c>
      <c r="N110" s="24">
        <f t="shared" si="45"/>
        <v>0.63286994015872855</v>
      </c>
      <c r="O110">
        <v>0.64017062045753714</v>
      </c>
      <c r="P110" t="s">
        <v>327</v>
      </c>
      <c r="R110">
        <v>0.37637191442359069</v>
      </c>
      <c r="T110">
        <v>0.61106325875979017</v>
      </c>
      <c r="U110">
        <v>0.60816428748225948</v>
      </c>
      <c r="W110" s="19" t="s">
        <v>315</v>
      </c>
      <c r="X110" s="24">
        <f>AVERAGE(R113,R129,R144,R159,R174,R189,R204,R219,R234,R249,R264)</f>
        <v>0.99968230871957686</v>
      </c>
      <c r="Y110" s="24">
        <f>STDEV(R113,R129,R144,R159,R174,R189,R204,R219,R234,R249,R264)/SQRT(Z110)</f>
        <v>3.8024455615674787E-5</v>
      </c>
      <c r="Z110" s="24">
        <v>11</v>
      </c>
      <c r="AB110" s="19" t="s">
        <v>398</v>
      </c>
      <c r="AC110">
        <v>0.12</v>
      </c>
      <c r="AD110">
        <v>8.59</v>
      </c>
      <c r="AE110">
        <v>0.16</v>
      </c>
      <c r="AF110">
        <v>0.22</v>
      </c>
      <c r="AQ110" s="24"/>
      <c r="AR110" s="24"/>
      <c r="AS110" s="24"/>
      <c r="AT110" s="24"/>
      <c r="AU110" s="24"/>
      <c r="AV110" s="24"/>
      <c r="AW110" s="24"/>
      <c r="AX110" s="24"/>
    </row>
    <row r="111" spans="1:90" ht="15">
      <c r="A111" s="24">
        <v>15</v>
      </c>
      <c r="B111" s="24">
        <v>0.25</v>
      </c>
      <c r="C111" s="24">
        <v>0.90009528567253816</v>
      </c>
      <c r="D111" s="24">
        <v>4.0996014590946448</v>
      </c>
      <c r="E111" s="24">
        <v>611.06325875979019</v>
      </c>
      <c r="F111" s="24">
        <v>0.67961806058883667</v>
      </c>
      <c r="G111" s="24">
        <v>27.186517791986642</v>
      </c>
      <c r="H111" s="24">
        <v>8.776489138148353</v>
      </c>
      <c r="I111" s="24">
        <v>12.672892570495605</v>
      </c>
      <c r="J111" s="24">
        <v>1.5340961217880249</v>
      </c>
      <c r="K111" s="29">
        <f t="shared" si="42"/>
        <v>4.8767612991642624</v>
      </c>
      <c r="L111" s="24">
        <f t="shared" si="43"/>
        <v>99.916365977248731</v>
      </c>
      <c r="M111" s="24">
        <f t="shared" si="44"/>
        <v>8.783835413056143E-2</v>
      </c>
      <c r="N111" s="24">
        <f t="shared" si="45"/>
        <v>0.61106325875979017</v>
      </c>
      <c r="O111">
        <v>0.60816428748225948</v>
      </c>
      <c r="P111" t="s">
        <v>328</v>
      </c>
      <c r="R111">
        <v>12</v>
      </c>
      <c r="T111">
        <v>0.46373526312846775</v>
      </c>
      <c r="U111">
        <v>0.46564826482765026</v>
      </c>
      <c r="W111" s="19" t="s">
        <v>369</v>
      </c>
      <c r="AB111" s="19" t="s">
        <v>397</v>
      </c>
      <c r="AC111">
        <v>0.91</v>
      </c>
      <c r="AD111">
        <v>79.709999999999994</v>
      </c>
      <c r="AE111">
        <v>0.04</v>
      </c>
      <c r="AF111">
        <v>0.16</v>
      </c>
      <c r="AQ111" s="24"/>
      <c r="AR111" s="24"/>
      <c r="AS111" s="24"/>
      <c r="AT111" s="24"/>
      <c r="AU111" s="24"/>
      <c r="AV111" s="24"/>
      <c r="AW111" s="24"/>
      <c r="AX111" s="24"/>
    </row>
    <row r="112" spans="1:90" ht="15">
      <c r="A112" s="24">
        <v>15</v>
      </c>
      <c r="B112" s="24">
        <f t="shared" ref="B112:B121" si="46">B111+0.25</f>
        <v>0.5</v>
      </c>
      <c r="C112" s="24">
        <v>0.93063977001698839</v>
      </c>
      <c r="D112" s="24">
        <v>4.2282885004115167</v>
      </c>
      <c r="E112" s="24">
        <v>463.73526312846775</v>
      </c>
      <c r="F112" s="24">
        <v>0.92364257574081421</v>
      </c>
      <c r="G112" s="24">
        <v>27.157722051762484</v>
      </c>
      <c r="H112" s="24">
        <v>8.2269300032213675</v>
      </c>
      <c r="I112" s="24">
        <v>12.124889373779297</v>
      </c>
      <c r="J112" s="24">
        <v>1.5185085535049438</v>
      </c>
      <c r="K112" s="29">
        <f t="shared" si="42"/>
        <v>4.8696822975487128</v>
      </c>
      <c r="L112" s="24">
        <f t="shared" si="43"/>
        <v>99.986235723194184</v>
      </c>
      <c r="M112" s="24">
        <f t="shared" si="44"/>
        <v>8.228062536524651E-2</v>
      </c>
      <c r="N112" s="24">
        <f t="shared" si="45"/>
        <v>0.46373526312846775</v>
      </c>
      <c r="O112">
        <v>0.46564826482765026</v>
      </c>
      <c r="P112" t="s">
        <v>329</v>
      </c>
      <c r="R112">
        <v>3.0747038564427876E-3</v>
      </c>
      <c r="T112">
        <v>0.37798300397428736</v>
      </c>
      <c r="U112">
        <v>0.37741208520867853</v>
      </c>
      <c r="W112" s="19" t="s">
        <v>313</v>
      </c>
      <c r="X112" s="24">
        <f>AVERAGE(Q278,Q303,Q326,Q348,Q370,Q392)</f>
        <v>0.63561403035811559</v>
      </c>
      <c r="Y112" s="24">
        <f>STDEV(Q278,Q303,Q326,Q348,Q370,Q392)/SQRT(Z112)</f>
        <v>6.7333889961962975E-2</v>
      </c>
      <c r="Z112" s="24">
        <v>6</v>
      </c>
      <c r="AB112" s="19" t="s">
        <v>400</v>
      </c>
      <c r="AC112" s="19" t="s">
        <v>401</v>
      </c>
      <c r="AD112" s="19" t="s">
        <v>402</v>
      </c>
      <c r="AE112" s="19" t="s">
        <v>403</v>
      </c>
      <c r="AF112" s="19" t="s">
        <v>404</v>
      </c>
      <c r="AQ112" s="24"/>
      <c r="AR112" s="24"/>
      <c r="AS112" s="24"/>
      <c r="AT112" s="24"/>
      <c r="AU112" s="24"/>
      <c r="AV112" s="24"/>
      <c r="AW112" s="24"/>
      <c r="AX112" s="24"/>
    </row>
    <row r="113" spans="1:50" ht="15">
      <c r="A113" s="24">
        <v>15</v>
      </c>
      <c r="B113" s="24">
        <f t="shared" si="46"/>
        <v>0.75</v>
      </c>
      <c r="C113" s="24">
        <v>0.96149047515584185</v>
      </c>
      <c r="D113" s="24">
        <v>4.3569755417283895</v>
      </c>
      <c r="E113" s="24">
        <v>377.98300397428733</v>
      </c>
      <c r="F113" s="24">
        <v>1.1676758527755737</v>
      </c>
      <c r="G113" s="24">
        <v>27.128926311538322</v>
      </c>
      <c r="H113" s="24">
        <v>7.7663932450111854</v>
      </c>
      <c r="I113" s="24">
        <v>11.669894218444824</v>
      </c>
      <c r="J113" s="24">
        <v>1.5059053897857666</v>
      </c>
      <c r="K113" s="29">
        <f t="shared" si="42"/>
        <v>4.8626122169098664</v>
      </c>
      <c r="L113" s="24">
        <f t="shared" si="43"/>
        <v>100.0560174190996</v>
      </c>
      <c r="M113" s="24">
        <f t="shared" si="44"/>
        <v>7.7620451476501262E-2</v>
      </c>
      <c r="N113" s="24">
        <f t="shared" si="45"/>
        <v>0.37798300397428736</v>
      </c>
      <c r="O113">
        <v>0.37741208520867853</v>
      </c>
      <c r="P113" t="s">
        <v>315</v>
      </c>
      <c r="R113">
        <v>0.99980177337570264</v>
      </c>
      <c r="T113">
        <v>0.31433247271099823</v>
      </c>
      <c r="U113">
        <v>0.31547026987879456</v>
      </c>
      <c r="W113" s="19" t="s">
        <v>314</v>
      </c>
      <c r="X113" s="24">
        <f>AVERAGE(Q279,Q304,Q327,Q349,Q371,Q393)</f>
        <v>14.005060195364949</v>
      </c>
      <c r="Y113" s="24">
        <f t="shared" ref="Y113:Y114" si="47">STDEV(Q279,Q304,Q327,Q349,Q371,Q393)/SQRT(Z113)</f>
        <v>0.90642350217030576</v>
      </c>
      <c r="Z113" s="24">
        <v>6</v>
      </c>
      <c r="AQ113" s="24"/>
      <c r="AR113" s="24"/>
      <c r="AS113" s="24"/>
      <c r="AT113" s="24"/>
      <c r="AU113" s="24"/>
      <c r="AV113" s="24"/>
      <c r="AW113" s="24"/>
      <c r="AX113" s="24"/>
    </row>
    <row r="114" spans="1:50" ht="15">
      <c r="A114" s="24">
        <v>15</v>
      </c>
      <c r="B114" s="24">
        <f t="shared" si="46"/>
        <v>1</v>
      </c>
      <c r="C114" s="24">
        <v>0.97036423983484033</v>
      </c>
      <c r="D114" s="24">
        <v>4.3937432678189241</v>
      </c>
      <c r="E114" s="24">
        <v>314.33247271099822</v>
      </c>
      <c r="F114" s="24">
        <v>1.4159727096557617</v>
      </c>
      <c r="G114" s="24">
        <v>27.120698957188566</v>
      </c>
      <c r="H114" s="24">
        <v>7.3093192799532529</v>
      </c>
      <c r="I114" s="24">
        <v>11.231893539428711</v>
      </c>
      <c r="J114" s="24">
        <v>1.3754351139068604</v>
      </c>
      <c r="K114" s="29">
        <f t="shared" si="42"/>
        <v>4.860593831100668</v>
      </c>
      <c r="L114" s="24">
        <f t="shared" si="43"/>
        <v>100.07593888703639</v>
      </c>
      <c r="M114" s="24">
        <f t="shared" si="44"/>
        <v>7.3037728761194617E-2</v>
      </c>
      <c r="N114" s="24">
        <f t="shared" si="45"/>
        <v>0.31433247271099823</v>
      </c>
      <c r="O114">
        <v>0.31547026987879456</v>
      </c>
      <c r="T114">
        <v>0.27723817239586107</v>
      </c>
      <c r="U114">
        <v>0.27433328072793511</v>
      </c>
      <c r="W114" s="19" t="s">
        <v>312</v>
      </c>
      <c r="X114" s="24">
        <f>AVERAGE(Q280,Q305,Q328,Q350,Q372,Q394)</f>
        <v>3.5945977900673644E-2</v>
      </c>
      <c r="Y114" s="24">
        <f t="shared" si="47"/>
        <v>6.3327611644579188E-3</v>
      </c>
      <c r="Z114" s="24">
        <v>6</v>
      </c>
      <c r="AQ114" s="24"/>
      <c r="AR114" s="24"/>
      <c r="AS114" s="24"/>
      <c r="AT114" s="24"/>
      <c r="AU114" s="24"/>
      <c r="AV114" s="24"/>
      <c r="AW114" s="24"/>
      <c r="AX114" s="24"/>
    </row>
    <row r="115" spans="1:50" ht="15">
      <c r="A115" s="24">
        <v>15</v>
      </c>
      <c r="B115" s="24">
        <f t="shared" si="46"/>
        <v>1.25</v>
      </c>
      <c r="C115" s="24">
        <v>1.0061482846650671</v>
      </c>
      <c r="D115" s="24">
        <v>4.5408141721810642</v>
      </c>
      <c r="E115" s="24">
        <v>277.23817239586106</v>
      </c>
      <c r="F115" s="24">
        <v>1.6591671705245972</v>
      </c>
      <c r="G115" s="24">
        <v>27.087789539789526</v>
      </c>
      <c r="H115" s="24">
        <v>6.9875183982648954</v>
      </c>
      <c r="I115" s="24">
        <v>10.915889739990234</v>
      </c>
      <c r="J115" s="24">
        <v>1.3674716949462891</v>
      </c>
      <c r="K115" s="29">
        <f t="shared" si="42"/>
        <v>4.8525275582323202</v>
      </c>
      <c r="L115" s="24">
        <f t="shared" si="43"/>
        <v>100.15555300024698</v>
      </c>
      <c r="M115" s="24">
        <f t="shared" si="44"/>
        <v>6.9766659850080043E-2</v>
      </c>
      <c r="N115" s="24">
        <f t="shared" si="45"/>
        <v>0.27723817239586107</v>
      </c>
      <c r="O115">
        <v>0.27433328072793511</v>
      </c>
      <c r="T115">
        <v>0.24310192693075866</v>
      </c>
      <c r="U115">
        <v>0.24152318448665602</v>
      </c>
      <c r="W115" s="19" t="s">
        <v>315</v>
      </c>
      <c r="X115" s="24">
        <f>AVERAGE(R284,R309,R332,R354,R376,R398)</f>
        <v>0.9973756926616808</v>
      </c>
      <c r="Y115">
        <f>STDEV(R284,R309,R332,R354,R376,R398)/SQRT(Z115)</f>
        <v>6.5172417826067777E-5</v>
      </c>
      <c r="Z115">
        <v>6</v>
      </c>
      <c r="AQ115" s="24"/>
      <c r="AR115" s="24"/>
      <c r="AS115" s="24"/>
      <c r="AT115" s="24"/>
      <c r="AU115" s="24"/>
      <c r="AV115" s="24"/>
      <c r="AW115" s="24"/>
      <c r="AX115" s="24"/>
    </row>
    <row r="116" spans="1:50" ht="15">
      <c r="A116" s="24">
        <v>15</v>
      </c>
      <c r="B116" s="24">
        <f t="shared" si="46"/>
        <v>1.5</v>
      </c>
      <c r="C116" s="24">
        <v>1.0151685943196853</v>
      </c>
      <c r="D116" s="24">
        <v>4.5775818982715997</v>
      </c>
      <c r="E116" s="24">
        <v>243.10192693075865</v>
      </c>
      <c r="F116" s="24">
        <v>1.9074676036834717</v>
      </c>
      <c r="G116" s="24">
        <v>27.079562185439766</v>
      </c>
      <c r="H116" s="24">
        <v>6.6310471188532407</v>
      </c>
      <c r="I116" s="24">
        <v>10.579891204833984</v>
      </c>
      <c r="J116" s="24">
        <v>1.3588082790374756</v>
      </c>
      <c r="K116" s="29">
        <f t="shared" si="42"/>
        <v>4.8505128065118424</v>
      </c>
      <c r="L116" s="24">
        <f t="shared" si="43"/>
        <v>100.17543859972811</v>
      </c>
      <c r="M116" s="24">
        <f t="shared" si="44"/>
        <v>6.6194340763996801E-2</v>
      </c>
      <c r="N116" s="24">
        <f t="shared" si="45"/>
        <v>0.24310192693075866</v>
      </c>
      <c r="O116">
        <v>0.24152318448665602</v>
      </c>
      <c r="T116">
        <v>0.22063217388446119</v>
      </c>
      <c r="U116">
        <v>0.2178547119844739</v>
      </c>
      <c r="W116" s="19" t="s">
        <v>370</v>
      </c>
      <c r="AQ116" s="24"/>
      <c r="AR116" s="24"/>
      <c r="AS116" s="24"/>
      <c r="AT116" s="24"/>
      <c r="AU116" s="24"/>
      <c r="AV116" s="24"/>
      <c r="AW116" s="24"/>
      <c r="AX116" s="24"/>
    </row>
    <row r="117" spans="1:50" ht="15">
      <c r="A117" s="24">
        <v>15</v>
      </c>
      <c r="B117" s="24">
        <f t="shared" si="46"/>
        <v>1.75</v>
      </c>
      <c r="C117" s="24">
        <v>1.0378619718996447</v>
      </c>
      <c r="D117" s="24">
        <v>4.6878850765432043</v>
      </c>
      <c r="E117" s="24">
        <v>220.63217388446117</v>
      </c>
      <c r="F117" s="24">
        <v>2.1523730754852295</v>
      </c>
      <c r="G117" s="24">
        <v>27.054880122390486</v>
      </c>
      <c r="H117" s="24">
        <v>6.3659173871358563</v>
      </c>
      <c r="I117" s="24">
        <v>10.324885368347168</v>
      </c>
      <c r="J117" s="24">
        <v>1.352388858795166</v>
      </c>
      <c r="K117" s="29">
        <f t="shared" si="42"/>
        <v>4.8444729074384698</v>
      </c>
      <c r="L117" s="24">
        <f t="shared" si="43"/>
        <v>100.2350524035823</v>
      </c>
      <c r="M117" s="24">
        <f t="shared" si="44"/>
        <v>6.3509892342894059E-2</v>
      </c>
      <c r="N117" s="24">
        <f t="shared" si="45"/>
        <v>0.22063217388446119</v>
      </c>
      <c r="O117">
        <v>0.2178547119844739</v>
      </c>
      <c r="T117">
        <v>0.19936353493117889</v>
      </c>
      <c r="U117">
        <v>0.19809035561674465</v>
      </c>
      <c r="W117" s="19" t="s">
        <v>313</v>
      </c>
      <c r="X117">
        <f>AVERAGE(Q107,Q123,Q138,Q153,Q168,Q183,Q198,Q213,Q228,Q243,Q258,Q278,Q303,Q326,Q348,Q370,Q392)</f>
        <v>0.36216115979730246</v>
      </c>
      <c r="Y117">
        <f>STDEV(Q107,Q123,Q138,Q153,Q168,Q183,Q198,Q213,Q228,Q243,Q258,Q278,Q303,Q326,Q348,Q370,Q392)</f>
        <v>0.22811782147706341</v>
      </c>
      <c r="Z117">
        <v>17</v>
      </c>
      <c r="AQ117" s="24"/>
      <c r="AR117" s="24"/>
      <c r="AS117" s="24"/>
      <c r="AT117" s="24"/>
      <c r="AU117" s="24"/>
      <c r="AV117" s="24"/>
      <c r="AW117" s="24"/>
      <c r="AX117" s="24"/>
    </row>
    <row r="118" spans="1:50" ht="15">
      <c r="A118" s="24">
        <v>15</v>
      </c>
      <c r="B118" s="24">
        <f t="shared" si="46"/>
        <v>2</v>
      </c>
      <c r="C118" s="24">
        <v>1.0469969420262586</v>
      </c>
      <c r="D118" s="24">
        <v>4.7246528026337389</v>
      </c>
      <c r="E118" s="24">
        <v>199.36353493117889</v>
      </c>
      <c r="F118" s="24">
        <v>2.4006764888763428</v>
      </c>
      <c r="G118" s="24">
        <v>27.046652768040726</v>
      </c>
      <c r="H118" s="24">
        <v>6.0790786426549008</v>
      </c>
      <c r="I118" s="24">
        <v>10.057882308959961</v>
      </c>
      <c r="J118" s="24">
        <v>1.4624258279800415</v>
      </c>
      <c r="K118" s="29">
        <f t="shared" si="42"/>
        <v>4.84246105904713</v>
      </c>
      <c r="L118" s="24">
        <f t="shared" si="43"/>
        <v>100.25490934720482</v>
      </c>
      <c r="M118" s="24">
        <f t="shared" si="44"/>
        <v>6.0636219036433556E-2</v>
      </c>
      <c r="N118" s="24">
        <f t="shared" si="45"/>
        <v>0.19936353493117889</v>
      </c>
      <c r="O118">
        <v>0.19809035561674465</v>
      </c>
      <c r="T118">
        <v>0.18208209734044536</v>
      </c>
      <c r="U118">
        <v>0.18230985037182132</v>
      </c>
      <c r="W118" s="19" t="s">
        <v>314</v>
      </c>
      <c r="X118" s="24">
        <f>AVERAGE(Q108,Q124,Q139,Q154,Q169,Q184,Q199,Q214,Q229,Q244,Q259,Q279,Q304,Q327,Q349,Q371,Q393)</f>
        <v>22.722122551267624</v>
      </c>
      <c r="Y118" s="24">
        <f>STDEV(Q108,Q124,Q139,Q154,Q169,Q184,Q199,Q214,Q229,Q244,Q259,Q279,Q304,Q327,Q349,Q371,Q393)</f>
        <v>6.819267859615044</v>
      </c>
      <c r="Z118" s="24">
        <v>17</v>
      </c>
      <c r="AQ118" s="24"/>
      <c r="AR118" s="24"/>
      <c r="AS118" s="24"/>
      <c r="AT118" s="24"/>
      <c r="AU118" s="24"/>
      <c r="AV118" s="24"/>
      <c r="AW118" s="24"/>
      <c r="AX118" s="24"/>
    </row>
    <row r="119" spans="1:50" ht="15">
      <c r="A119" s="24">
        <v>15</v>
      </c>
      <c r="B119" s="24">
        <f t="shared" si="46"/>
        <v>2.25</v>
      </c>
      <c r="C119" s="24">
        <v>1.0561660509861999</v>
      </c>
      <c r="D119" s="24">
        <v>4.7614205287242743</v>
      </c>
      <c r="E119" s="24">
        <v>182.08209734044536</v>
      </c>
      <c r="F119" s="24">
        <v>2.6489803791046143</v>
      </c>
      <c r="G119" s="24">
        <v>27.038425413690966</v>
      </c>
      <c r="H119" s="24">
        <v>5.8209448374991668</v>
      </c>
      <c r="I119" s="24">
        <v>9.8188877105712891</v>
      </c>
      <c r="J119" s="24">
        <v>1.4561749696731567</v>
      </c>
      <c r="K119" s="29">
        <f t="shared" si="42"/>
        <v>4.8404499359410469</v>
      </c>
      <c r="L119" s="24">
        <f t="shared" si="43"/>
        <v>100.27475913226186</v>
      </c>
      <c r="M119" s="24">
        <f t="shared" si="44"/>
        <v>5.8049950833802273E-2</v>
      </c>
      <c r="N119" s="24">
        <f t="shared" si="45"/>
        <v>0.18208209734044536</v>
      </c>
      <c r="O119">
        <v>0.18230985037182132</v>
      </c>
      <c r="T119">
        <v>0.16776273695790755</v>
      </c>
      <c r="U119">
        <v>0.16946952805028981</v>
      </c>
      <c r="W119" s="19" t="s">
        <v>312</v>
      </c>
      <c r="X119" s="24">
        <f>AVERAGE(Q109,Q125,Q140,Q155,Q170,Q185,Q200,Q215,Q230,Q245,Q260,Q280,Q305,Q328,Q350,Q372,Q394)</f>
        <v>5.6211127441575102E-2</v>
      </c>
      <c r="Y119" s="24">
        <f>STDEV(Q109,Q125,Q140,Q155,Q170,Q185,Q200,Q215,Q230,Q245,Q260,Q280,Q305,Q328,Q350,Q372,Q394)</f>
        <v>1.8009220218121715E-2</v>
      </c>
      <c r="Z119" s="24">
        <v>17</v>
      </c>
      <c r="AQ119" s="24"/>
      <c r="AR119" s="24"/>
      <c r="AS119" s="24"/>
      <c r="AT119" s="24"/>
      <c r="AU119" s="24"/>
      <c r="AV119" s="24"/>
      <c r="AW119" s="24"/>
      <c r="AX119" s="24"/>
    </row>
    <row r="120" spans="1:50" ht="15">
      <c r="A120" s="24">
        <v>15</v>
      </c>
      <c r="B120" s="24">
        <f t="shared" si="46"/>
        <v>2.5</v>
      </c>
      <c r="C120" s="24">
        <v>1.0653701930392288</v>
      </c>
      <c r="D120" s="24">
        <v>4.7981882548148089</v>
      </c>
      <c r="E120" s="24">
        <v>167.76273695790755</v>
      </c>
      <c r="F120" s="24">
        <v>2.897284984588623</v>
      </c>
      <c r="G120" s="24">
        <v>27.030198059341206</v>
      </c>
      <c r="H120" s="24">
        <v>5.586540574598164</v>
      </c>
      <c r="I120" s="24">
        <v>9.6028861999511719</v>
      </c>
      <c r="J120" s="24">
        <v>1.4505833387374878</v>
      </c>
      <c r="K120" s="29">
        <f t="shared" si="42"/>
        <v>4.8384395379014915</v>
      </c>
      <c r="L120" s="24">
        <f t="shared" si="43"/>
        <v>100.29460176091227</v>
      </c>
      <c r="M120" s="24">
        <f t="shared" si="44"/>
        <v>5.5701308709671764E-2</v>
      </c>
      <c r="N120" s="24">
        <f t="shared" si="45"/>
        <v>0.16776273695790755</v>
      </c>
      <c r="O120">
        <v>0.16946952805028981</v>
      </c>
      <c r="T120">
        <v>0.15507021182922842</v>
      </c>
      <c r="U120">
        <v>0.15866947827465541</v>
      </c>
      <c r="AQ120" s="24"/>
      <c r="AR120" s="24"/>
      <c r="AS120" s="24"/>
      <c r="AT120" s="24"/>
      <c r="AU120" s="24"/>
      <c r="AV120" s="24"/>
      <c r="AW120" s="24"/>
      <c r="AX120" s="24"/>
    </row>
    <row r="121" spans="1:50" ht="15">
      <c r="A121" s="24">
        <v>15</v>
      </c>
      <c r="B121" s="24">
        <f t="shared" si="46"/>
        <v>2.75</v>
      </c>
      <c r="C121" s="24">
        <v>1.0699857189952808</v>
      </c>
      <c r="D121" s="24">
        <v>4.8165721178600762</v>
      </c>
      <c r="E121" s="24">
        <v>155.07021182922841</v>
      </c>
      <c r="F121" s="24">
        <v>3.1464376449584961</v>
      </c>
      <c r="G121" s="24">
        <v>27.026084382166328</v>
      </c>
      <c r="H121" s="24">
        <v>5.3613523560782834</v>
      </c>
      <c r="I121" s="24">
        <v>9.3978815078735352</v>
      </c>
      <c r="J121" s="24">
        <v>1.4453102350234985</v>
      </c>
      <c r="K121" s="29">
        <f t="shared" si="42"/>
        <v>4.8374346107133279</v>
      </c>
      <c r="L121" s="24">
        <f t="shared" si="43"/>
        <v>100.30452039225945</v>
      </c>
      <c r="M121" s="24">
        <f t="shared" si="44"/>
        <v>5.3450755111651198E-2</v>
      </c>
      <c r="N121" s="24">
        <f t="shared" si="45"/>
        <v>0.15507021182922842</v>
      </c>
      <c r="O121">
        <v>0.15866947827465541</v>
      </c>
      <c r="T121">
        <v>0.70952766444433812</v>
      </c>
      <c r="U121">
        <v>0.70674503147208856</v>
      </c>
      <c r="AQ121" s="24"/>
      <c r="AR121" s="24"/>
      <c r="AS121" s="24"/>
      <c r="AT121" s="24"/>
      <c r="AU121" s="24"/>
      <c r="AV121" s="24"/>
      <c r="AW121" s="24"/>
      <c r="AX121" s="24"/>
    </row>
    <row r="122" spans="1:50" ht="15">
      <c r="K122" s="29"/>
      <c r="L122" s="24"/>
      <c r="M122" s="24"/>
      <c r="N122" s="24"/>
      <c r="T122">
        <v>0.65791177722904814</v>
      </c>
      <c r="U122">
        <v>0.65984818572846315</v>
      </c>
    </row>
    <row r="123" spans="1:50" ht="15">
      <c r="A123">
        <v>20</v>
      </c>
      <c r="C123" s="24">
        <v>0.83556021839417494</v>
      </c>
      <c r="D123" s="24">
        <v>3.8054596503703642</v>
      </c>
      <c r="E123" s="24">
        <v>709.52766444433814</v>
      </c>
      <c r="F123" s="24">
        <v>0.54330939054489136</v>
      </c>
      <c r="G123" s="24">
        <v>27.252336626784718</v>
      </c>
      <c r="H123" s="24">
        <v>12.947369248850748</v>
      </c>
      <c r="I123" s="24">
        <v>17.042901992797852</v>
      </c>
      <c r="J123" s="24">
        <v>1.1901719570159912</v>
      </c>
      <c r="K123" s="29">
        <f t="shared" si="42"/>
        <v>4.892975423968414</v>
      </c>
      <c r="L123" s="24">
        <f t="shared" si="43"/>
        <v>149.10633256543173</v>
      </c>
      <c r="M123" s="24">
        <f t="shared" si="44"/>
        <v>8.6833127916744288E-2</v>
      </c>
      <c r="N123" s="24">
        <f t="shared" si="45"/>
        <v>0.70952766444433812</v>
      </c>
      <c r="O123">
        <v>0.70674503147208856</v>
      </c>
      <c r="P123" t="s">
        <v>313</v>
      </c>
      <c r="Q123">
        <v>0.19066153906446129</v>
      </c>
      <c r="T123">
        <v>0.62156936566106002</v>
      </c>
      <c r="U123">
        <v>0.621123226179498</v>
      </c>
    </row>
    <row r="124" spans="1:50" ht="15">
      <c r="A124" s="24">
        <v>20</v>
      </c>
      <c r="C124" s="24">
        <v>0.83982672200577047</v>
      </c>
      <c r="D124" s="24">
        <v>3.8422273764608992</v>
      </c>
      <c r="E124" s="24">
        <v>657.91177722904808</v>
      </c>
      <c r="F124" s="24">
        <v>0.59159547090530396</v>
      </c>
      <c r="G124" s="24">
        <v>27.244109272434958</v>
      </c>
      <c r="H124" s="24">
        <v>12.778693249591702</v>
      </c>
      <c r="I124" s="24">
        <v>16.85289192199707</v>
      </c>
      <c r="J124" s="24">
        <v>1.1191391944885254</v>
      </c>
      <c r="K124" s="29">
        <f t="shared" si="42"/>
        <v>4.8909461029824737</v>
      </c>
      <c r="L124" s="24">
        <f t="shared" si="43"/>
        <v>149.12636196356297</v>
      </c>
      <c r="M124" s="24">
        <f t="shared" si="44"/>
        <v>8.5690370779071282E-2</v>
      </c>
      <c r="N124" s="24">
        <f t="shared" si="45"/>
        <v>0.65791177722904814</v>
      </c>
      <c r="O124">
        <v>0.65984818572846315</v>
      </c>
      <c r="P124" t="s">
        <v>314</v>
      </c>
      <c r="Q124">
        <v>28.067537690498067</v>
      </c>
      <c r="T124">
        <v>0.58327145207999576</v>
      </c>
      <c r="U124">
        <v>0.58458579359139395</v>
      </c>
    </row>
    <row r="125" spans="1:50" ht="15">
      <c r="A125" s="24">
        <v>20</v>
      </c>
      <c r="C125" s="24">
        <v>0.85694312052728805</v>
      </c>
      <c r="D125" s="24">
        <v>3.9157628286419697</v>
      </c>
      <c r="E125" s="24">
        <v>621.56936566106003</v>
      </c>
      <c r="F125" s="24">
        <v>0.63816976547241211</v>
      </c>
      <c r="G125" s="24">
        <v>27.227654563735438</v>
      </c>
      <c r="H125" s="24">
        <v>12.648485120422217</v>
      </c>
      <c r="I125" s="24">
        <v>16.701898574829102</v>
      </c>
      <c r="J125" s="24">
        <v>1.1808797121047974</v>
      </c>
      <c r="K125" s="29">
        <f t="shared" si="42"/>
        <v>4.8868896524403338</v>
      </c>
      <c r="L125" s="24">
        <f t="shared" si="43"/>
        <v>149.16639913041388</v>
      </c>
      <c r="M125" s="24">
        <f t="shared" si="44"/>
        <v>8.4794465738653665E-2</v>
      </c>
      <c r="N125" s="24">
        <f t="shared" si="45"/>
        <v>0.62156936566106002</v>
      </c>
      <c r="O125">
        <v>0.621123226179498</v>
      </c>
      <c r="P125" t="s">
        <v>312</v>
      </c>
      <c r="Q125">
        <v>7.3642579806352124E-2</v>
      </c>
      <c r="T125">
        <v>0.44673145315060037</v>
      </c>
      <c r="U125">
        <v>0.45023866189925243</v>
      </c>
    </row>
    <row r="126" spans="1:50" ht="15">
      <c r="A126" s="24">
        <v>20</v>
      </c>
      <c r="C126" s="24">
        <v>0.86553062788129864</v>
      </c>
      <c r="D126" s="24">
        <v>3.9525305547325047</v>
      </c>
      <c r="E126" s="24">
        <v>583.2714520799957</v>
      </c>
      <c r="F126" s="24">
        <v>0.68645799160003662</v>
      </c>
      <c r="G126" s="24">
        <v>27.219427209385678</v>
      </c>
      <c r="H126" s="24">
        <v>12.493762965091799</v>
      </c>
      <c r="I126" s="24">
        <v>16.528896331787109</v>
      </c>
      <c r="J126" s="24">
        <v>1.110808253288269</v>
      </c>
      <c r="K126" s="29">
        <f t="shared" si="42"/>
        <v>4.8848625224442888</v>
      </c>
      <c r="L126" s="24">
        <f t="shared" si="43"/>
        <v>149.18640690347485</v>
      </c>
      <c r="M126" s="24">
        <f t="shared" si="44"/>
        <v>8.3745987482461412E-2</v>
      </c>
      <c r="N126" s="24">
        <f t="shared" si="45"/>
        <v>0.58327145207999576</v>
      </c>
      <c r="O126">
        <v>0.58458579359139395</v>
      </c>
      <c r="P126" t="s">
        <v>327</v>
      </c>
      <c r="R126">
        <v>0.3659756326372664</v>
      </c>
      <c r="T126">
        <v>0.36680739517751298</v>
      </c>
      <c r="U126">
        <v>0.36686736222863753</v>
      </c>
    </row>
    <row r="127" spans="1:50" ht="15">
      <c r="A127" s="24">
        <v>20</v>
      </c>
      <c r="C127" s="24">
        <v>0.90009528567253816</v>
      </c>
      <c r="D127" s="24">
        <v>4.0996014590946448</v>
      </c>
      <c r="E127" s="24">
        <v>446.73145315060037</v>
      </c>
      <c r="F127" s="24">
        <v>0.92961806058883667</v>
      </c>
      <c r="G127" s="24">
        <v>27.186517791986642</v>
      </c>
      <c r="H127" s="24">
        <v>11.767840564931756</v>
      </c>
      <c r="I127" s="24">
        <v>15.730897903442383</v>
      </c>
      <c r="J127" s="24">
        <v>1.0325877666473389</v>
      </c>
      <c r="K127" s="29">
        <f t="shared" si="42"/>
        <v>4.8767612991642624</v>
      </c>
      <c r="L127" s="24">
        <f t="shared" si="43"/>
        <v>149.26636597724874</v>
      </c>
      <c r="M127" s="24">
        <f t="shared" si="44"/>
        <v>7.8837857998937388E-2</v>
      </c>
      <c r="N127" s="24">
        <f t="shared" si="45"/>
        <v>0.44673145315060037</v>
      </c>
      <c r="O127">
        <v>0.45023866189925243</v>
      </c>
      <c r="P127" t="s">
        <v>328</v>
      </c>
      <c r="R127">
        <v>12</v>
      </c>
      <c r="T127">
        <v>0.31433247271099823</v>
      </c>
      <c r="U127">
        <v>0.31076496328326786</v>
      </c>
    </row>
    <row r="128" spans="1:50" ht="15">
      <c r="A128" s="24">
        <v>20</v>
      </c>
      <c r="C128" s="24">
        <v>0.9350271579258348</v>
      </c>
      <c r="D128" s="24">
        <v>4.2466723634567849</v>
      </c>
      <c r="E128" s="24">
        <v>366.807395177513</v>
      </c>
      <c r="F128" s="24">
        <v>1.1727895736694336</v>
      </c>
      <c r="G128" s="24">
        <v>27.153608374587602</v>
      </c>
      <c r="H128" s="24">
        <v>11.157503714995112</v>
      </c>
      <c r="I128" s="24">
        <v>15.070896148681641</v>
      </c>
      <c r="J128" s="24">
        <v>1.0168135166168213</v>
      </c>
      <c r="K128" s="29">
        <f t="shared" si="42"/>
        <v>4.868671740066052</v>
      </c>
      <c r="L128" s="24">
        <f t="shared" si="43"/>
        <v>149.34620992554807</v>
      </c>
      <c r="M128" s="24">
        <f t="shared" si="44"/>
        <v>7.4708984717840113E-2</v>
      </c>
      <c r="N128" s="24">
        <f t="shared" si="45"/>
        <v>0.36680739517751298</v>
      </c>
      <c r="O128">
        <v>0.36686736222863753</v>
      </c>
      <c r="P128" t="s">
        <v>329</v>
      </c>
      <c r="R128">
        <v>2.2581169760578466E-3</v>
      </c>
      <c r="T128">
        <v>0.26716296072798557</v>
      </c>
      <c r="U128">
        <v>0.2673652387165088</v>
      </c>
    </row>
    <row r="129" spans="1:21" ht="15">
      <c r="A129" s="24">
        <v>20</v>
      </c>
      <c r="C129" s="24">
        <v>0.97036423983484033</v>
      </c>
      <c r="D129" s="24">
        <v>4.3937432678189241</v>
      </c>
      <c r="E129" s="24">
        <v>314.33247271099822</v>
      </c>
      <c r="F129" s="24">
        <v>1.4159727096557617</v>
      </c>
      <c r="G129" s="24">
        <v>27.120698957188566</v>
      </c>
      <c r="H129" s="24">
        <v>10.637710246614434</v>
      </c>
      <c r="I129" s="24">
        <v>14.515898704528809</v>
      </c>
      <c r="J129" s="24">
        <v>1.0040018558502197</v>
      </c>
      <c r="K129" s="29">
        <f t="shared" si="42"/>
        <v>4.860593831100668</v>
      </c>
      <c r="L129" s="24">
        <f t="shared" si="43"/>
        <v>149.42593888703638</v>
      </c>
      <c r="M129" s="24">
        <f t="shared" si="44"/>
        <v>7.1190519703920832E-2</v>
      </c>
      <c r="N129" s="24">
        <f t="shared" si="45"/>
        <v>0.31433247271099823</v>
      </c>
      <c r="O129">
        <v>0.31076496328326786</v>
      </c>
      <c r="P129" t="s">
        <v>315</v>
      </c>
      <c r="R129">
        <v>0.99988231761926094</v>
      </c>
      <c r="T129">
        <v>0.24093462393699347</v>
      </c>
      <c r="U129">
        <v>0.23825528622775916</v>
      </c>
    </row>
    <row r="130" spans="1:21" ht="15">
      <c r="A130" s="24">
        <v>20</v>
      </c>
      <c r="C130" s="24">
        <v>0.97036423983484033</v>
      </c>
      <c r="D130" s="24">
        <v>4.3937432678189241</v>
      </c>
      <c r="E130" s="24">
        <v>267.16296072798553</v>
      </c>
      <c r="F130" s="24">
        <v>1.6659727096557617</v>
      </c>
      <c r="G130" s="24">
        <v>27.120698957188566</v>
      </c>
      <c r="H130" s="24">
        <v>10.043043947025691</v>
      </c>
      <c r="I130" s="24">
        <v>13.907899856567383</v>
      </c>
      <c r="J130" s="24">
        <v>0.98979425430297852</v>
      </c>
      <c r="K130" s="29">
        <f t="shared" si="42"/>
        <v>4.860593831100668</v>
      </c>
      <c r="L130" s="24">
        <f t="shared" si="43"/>
        <v>149.42593888703638</v>
      </c>
      <c r="M130" s="24">
        <f t="shared" si="44"/>
        <v>6.7210847205170121E-2</v>
      </c>
      <c r="N130" s="24">
        <f t="shared" si="45"/>
        <v>0.26716296072798557</v>
      </c>
      <c r="O130">
        <v>0.2673652387165088</v>
      </c>
      <c r="T130">
        <v>0.21588028948876745</v>
      </c>
      <c r="U130">
        <v>0.21435061635406755</v>
      </c>
    </row>
    <row r="131" spans="1:21" ht="15">
      <c r="A131" s="24">
        <v>20</v>
      </c>
      <c r="C131" s="24">
        <v>1.0061482846650671</v>
      </c>
      <c r="D131" s="24">
        <v>4.5408141721810642</v>
      </c>
      <c r="E131" s="24">
        <v>240.93462393699346</v>
      </c>
      <c r="F131" s="24">
        <v>1.9091671705245972</v>
      </c>
      <c r="G131" s="24">
        <v>27.087789539789526</v>
      </c>
      <c r="H131" s="24">
        <v>9.6568867723072547</v>
      </c>
      <c r="I131" s="24">
        <v>13.503896713256836</v>
      </c>
      <c r="J131" s="24">
        <v>1.0361244678497314</v>
      </c>
      <c r="K131" s="29">
        <f t="shared" si="42"/>
        <v>4.8525275582323202</v>
      </c>
      <c r="L131" s="24">
        <f t="shared" si="43"/>
        <v>149.50555300024698</v>
      </c>
      <c r="M131" s="24">
        <f t="shared" si="44"/>
        <v>6.4592161150638344E-2</v>
      </c>
      <c r="N131" s="24">
        <f t="shared" si="45"/>
        <v>0.24093462393699347</v>
      </c>
      <c r="O131">
        <v>0.23825528622775916</v>
      </c>
      <c r="T131">
        <v>0.19682764364218164</v>
      </c>
      <c r="U131">
        <v>0.19587974691424698</v>
      </c>
    </row>
    <row r="132" spans="1:21" ht="15">
      <c r="A132" s="24">
        <v>20</v>
      </c>
      <c r="C132" s="24">
        <v>1.0151685943196853</v>
      </c>
      <c r="D132" s="24">
        <v>4.595965761316867</v>
      </c>
      <c r="E132" s="24">
        <v>215.88028948876743</v>
      </c>
      <c r="F132" s="24">
        <v>2.1566181182861328</v>
      </c>
      <c r="G132" s="24">
        <v>27.075448508264884</v>
      </c>
      <c r="H132" s="24">
        <v>9.2291198092492586</v>
      </c>
      <c r="I132" s="24">
        <v>13.071900367736816</v>
      </c>
      <c r="J132" s="24">
        <v>0.97148507833480835</v>
      </c>
      <c r="K132" s="29">
        <f t="shared" si="42"/>
        <v>4.8495057029755184</v>
      </c>
      <c r="L132" s="24">
        <f t="shared" si="43"/>
        <v>149.53537871163161</v>
      </c>
      <c r="M132" s="24">
        <f t="shared" si="44"/>
        <v>6.1718637346998416E-2</v>
      </c>
      <c r="N132" s="24">
        <f t="shared" si="45"/>
        <v>0.21588028948876745</v>
      </c>
      <c r="O132">
        <v>0.21435061635406755</v>
      </c>
      <c r="T132">
        <v>0.18056045351771102</v>
      </c>
      <c r="U132">
        <v>0.18083511592062512</v>
      </c>
    </row>
    <row r="133" spans="1:21" ht="15">
      <c r="A133" s="24">
        <v>20</v>
      </c>
      <c r="C133" s="24">
        <v>1.0333070166167508</v>
      </c>
      <c r="D133" s="24">
        <v>4.669501213497937</v>
      </c>
      <c r="E133" s="24">
        <v>196.82764364218164</v>
      </c>
      <c r="F133" s="24">
        <v>2.4032218456268311</v>
      </c>
      <c r="G133" s="24">
        <v>27.058993799565368</v>
      </c>
      <c r="H133" s="24">
        <v>8.8622843062308654</v>
      </c>
      <c r="I133" s="24">
        <v>12.702899932861328</v>
      </c>
      <c r="J133" s="24">
        <v>1.0179022550582886</v>
      </c>
      <c r="K133" s="29">
        <f t="shared" si="42"/>
        <v>4.845479103684462</v>
      </c>
      <c r="L133" s="24">
        <f t="shared" si="43"/>
        <v>149.57512124663435</v>
      </c>
      <c r="M133" s="24">
        <f t="shared" si="44"/>
        <v>5.9249721694143567E-2</v>
      </c>
      <c r="N133" s="24">
        <f t="shared" si="45"/>
        <v>0.19682764364218164</v>
      </c>
      <c r="O133">
        <v>0.19587974691424698</v>
      </c>
      <c r="T133">
        <v>0.16707109332530831</v>
      </c>
      <c r="U133">
        <v>0.1685728558291642</v>
      </c>
    </row>
    <row r="134" spans="1:21" ht="15">
      <c r="A134" s="24">
        <v>20</v>
      </c>
      <c r="C134" s="24">
        <v>1.0469969420262586</v>
      </c>
      <c r="D134" s="24">
        <v>4.7246528026337389</v>
      </c>
      <c r="E134" s="24">
        <v>180.56045351771101</v>
      </c>
      <c r="F134" s="24">
        <v>2.6506764888763428</v>
      </c>
      <c r="G134" s="24">
        <v>27.046652768040726</v>
      </c>
      <c r="H134" s="24">
        <v>8.5146320754880165</v>
      </c>
      <c r="I134" s="24">
        <v>12.357898712158203</v>
      </c>
      <c r="J134" s="24">
        <v>1.0102332830429077</v>
      </c>
      <c r="K134" s="29">
        <f t="shared" si="42"/>
        <v>4.84246105904713</v>
      </c>
      <c r="L134" s="24">
        <f t="shared" si="43"/>
        <v>149.60490934720482</v>
      </c>
      <c r="M134" s="24">
        <f t="shared" si="44"/>
        <v>5.691412208757908E-2</v>
      </c>
      <c r="N134" s="24">
        <f t="shared" si="45"/>
        <v>0.18056045351771102</v>
      </c>
      <c r="O134">
        <v>0.18083511592062512</v>
      </c>
      <c r="T134">
        <v>0.15507021182922842</v>
      </c>
      <c r="U134">
        <v>0.15822452812207388</v>
      </c>
    </row>
    <row r="135" spans="1:21" ht="15">
      <c r="A135" s="24">
        <v>20</v>
      </c>
      <c r="C135" s="24">
        <v>1.0607636859387208</v>
      </c>
      <c r="D135" s="24">
        <v>4.7798043917695416</v>
      </c>
      <c r="E135" s="24">
        <v>167.07109332530831</v>
      </c>
      <c r="F135" s="24">
        <v>2.8981325626373291</v>
      </c>
      <c r="G135" s="24">
        <v>27.034311736516088</v>
      </c>
      <c r="H135" s="24">
        <v>8.1989560255708671</v>
      </c>
      <c r="I135" s="24">
        <v>12.046899795532227</v>
      </c>
      <c r="J135" s="24">
        <v>1.003392219543457</v>
      </c>
      <c r="K135" s="29">
        <f t="shared" si="42"/>
        <v>4.8394446463016214</v>
      </c>
      <c r="L135" s="24">
        <f t="shared" si="43"/>
        <v>149.63468134100299</v>
      </c>
      <c r="M135" s="24">
        <f t="shared" si="44"/>
        <v>5.4793153245578395E-2</v>
      </c>
      <c r="N135" s="24">
        <f t="shared" si="45"/>
        <v>0.16707109332530831</v>
      </c>
      <c r="O135">
        <v>0.1685728558291642</v>
      </c>
      <c r="T135">
        <v>0.68249713870796203</v>
      </c>
      <c r="U135">
        <v>0.68287734831520686</v>
      </c>
    </row>
    <row r="136" spans="1:21" ht="15">
      <c r="A136" s="24">
        <v>20</v>
      </c>
      <c r="C136" s="24">
        <v>1.0699857189952808</v>
      </c>
      <c r="D136" s="24">
        <v>4.8165721178600762</v>
      </c>
      <c r="E136" s="24">
        <v>155.07021182922841</v>
      </c>
      <c r="F136" s="24">
        <v>3.1464376449584961</v>
      </c>
      <c r="G136" s="24">
        <v>27.026084382166328</v>
      </c>
      <c r="H136" s="24">
        <v>7.8934930343884648</v>
      </c>
      <c r="I136" s="24">
        <v>11.74990177154541</v>
      </c>
      <c r="J136" s="24">
        <v>1.0568097829818726</v>
      </c>
      <c r="K136" s="29">
        <f t="shared" si="42"/>
        <v>4.8374346107133279</v>
      </c>
      <c r="L136" s="24">
        <f t="shared" si="43"/>
        <v>149.65452039225946</v>
      </c>
      <c r="M136" s="24">
        <f t="shared" si="44"/>
        <v>5.2744768508821725E-2</v>
      </c>
      <c r="N136" s="24">
        <f t="shared" si="45"/>
        <v>0.15507021182922842</v>
      </c>
      <c r="O136">
        <v>0.15822452812207388</v>
      </c>
      <c r="T136">
        <v>0.6497335972467212</v>
      </c>
      <c r="U136">
        <v>0.6440800647718441</v>
      </c>
    </row>
    <row r="137" spans="1:21" ht="15">
      <c r="K137" s="29"/>
      <c r="L137" s="24"/>
      <c r="M137" s="24"/>
      <c r="N137" s="24"/>
      <c r="T137">
        <v>0.60293240836786088</v>
      </c>
      <c r="U137">
        <v>0.60398376192916536</v>
      </c>
    </row>
    <row r="138" spans="1:21" ht="15">
      <c r="A138">
        <v>25</v>
      </c>
      <c r="C138" s="24">
        <v>0.81005754905946747</v>
      </c>
      <c r="D138" s="24">
        <v>3.6951564720987591</v>
      </c>
      <c r="E138" s="24">
        <v>682.49713870796199</v>
      </c>
      <c r="F138" s="24">
        <v>0.54845553636550903</v>
      </c>
      <c r="G138" s="24">
        <v>27.277018689833998</v>
      </c>
      <c r="H138" s="24">
        <v>16.403266940515767</v>
      </c>
      <c r="I138" s="24">
        <v>21.104896545410156</v>
      </c>
      <c r="J138" s="24">
        <v>0.98665356636047363</v>
      </c>
      <c r="K138" s="29">
        <f t="shared" si="42"/>
        <v>4.8990677724260143</v>
      </c>
      <c r="L138" s="24">
        <f t="shared" si="43"/>
        <v>198.3962010861552</v>
      </c>
      <c r="M138" s="24">
        <f t="shared" si="44"/>
        <v>8.2679339880064096E-2</v>
      </c>
      <c r="N138" s="24">
        <f t="shared" si="45"/>
        <v>0.68249713870796203</v>
      </c>
      <c r="O138">
        <v>0.68287734831520686</v>
      </c>
      <c r="P138" t="s">
        <v>313</v>
      </c>
      <c r="Q138">
        <v>0.20891395220057016</v>
      </c>
      <c r="T138">
        <v>0.56278221134108897</v>
      </c>
      <c r="U138">
        <v>0.56844324953966274</v>
      </c>
    </row>
    <row r="139" spans="1:21" ht="15">
      <c r="A139" s="24">
        <v>25</v>
      </c>
      <c r="C139" s="24">
        <v>0.83129855685865128</v>
      </c>
      <c r="D139" s="24">
        <v>3.8054596503703642</v>
      </c>
      <c r="E139" s="24">
        <v>649.73359724672116</v>
      </c>
      <c r="F139" s="24">
        <v>0.59330940246582031</v>
      </c>
      <c r="G139" s="24">
        <v>27.252336626784718</v>
      </c>
      <c r="H139" s="24">
        <v>16.28042857757848</v>
      </c>
      <c r="I139" s="24">
        <v>20.938899993896484</v>
      </c>
      <c r="J139" s="24">
        <v>0.98266458511352539</v>
      </c>
      <c r="K139" s="29">
        <f t="shared" si="42"/>
        <v>4.892975423968414</v>
      </c>
      <c r="L139" s="24">
        <f t="shared" si="43"/>
        <v>198.45633256543172</v>
      </c>
      <c r="M139" s="24">
        <f t="shared" si="44"/>
        <v>8.2035319141105095E-2</v>
      </c>
      <c r="N139" s="24">
        <f t="shared" si="45"/>
        <v>0.6497335972467212</v>
      </c>
      <c r="O139">
        <v>0.6440800647718441</v>
      </c>
      <c r="P139" t="s">
        <v>314</v>
      </c>
      <c r="Q139">
        <v>26.889062281139491</v>
      </c>
      <c r="T139">
        <v>0.44431982294239031</v>
      </c>
      <c r="U139">
        <v>0.44475974808456864</v>
      </c>
    </row>
    <row r="140" spans="1:21" ht="15">
      <c r="A140" s="24">
        <v>25</v>
      </c>
      <c r="C140" s="24">
        <v>0.83556021839417494</v>
      </c>
      <c r="D140" s="24">
        <v>3.823843513415631</v>
      </c>
      <c r="E140" s="24">
        <v>602.93240836786083</v>
      </c>
      <c r="F140" s="24">
        <v>0.64245235919952393</v>
      </c>
      <c r="G140" s="24">
        <v>27.24822294960984</v>
      </c>
      <c r="H140" s="24">
        <v>16.072566382547155</v>
      </c>
      <c r="I140" s="24">
        <v>20.679899215698242</v>
      </c>
      <c r="J140" s="24">
        <v>0.97513777017593384</v>
      </c>
      <c r="K140" s="29">
        <f t="shared" si="42"/>
        <v>4.8919606721429565</v>
      </c>
      <c r="L140" s="24">
        <f t="shared" si="43"/>
        <v>198.466348165949</v>
      </c>
      <c r="M140" s="24">
        <f t="shared" si="44"/>
        <v>8.0983836963171046E-2</v>
      </c>
      <c r="N140" s="24">
        <f t="shared" si="45"/>
        <v>0.60293240836786088</v>
      </c>
      <c r="O140">
        <v>0.60398376192916536</v>
      </c>
      <c r="P140" t="s">
        <v>312</v>
      </c>
      <c r="Q140">
        <v>6.9634774793643453E-2</v>
      </c>
      <c r="T140">
        <v>0.3631033752074983</v>
      </c>
      <c r="U140">
        <v>0.36310382020052967</v>
      </c>
    </row>
    <row r="141" spans="1:21" ht="15">
      <c r="A141" s="24">
        <v>25</v>
      </c>
      <c r="C141" s="24">
        <v>0.83982672200577047</v>
      </c>
      <c r="D141" s="24">
        <v>3.8422273764608992</v>
      </c>
      <c r="E141" s="24">
        <v>562.78221134108901</v>
      </c>
      <c r="F141" s="24">
        <v>0.69159549474716187</v>
      </c>
      <c r="G141" s="24">
        <v>27.244109272434958</v>
      </c>
      <c r="H141" s="24">
        <v>15.870396802244208</v>
      </c>
      <c r="I141" s="24">
        <v>20.429901123046875</v>
      </c>
      <c r="J141" s="24">
        <v>0.92794102430343628</v>
      </c>
      <c r="K141" s="29">
        <f t="shared" si="42"/>
        <v>4.8909461029824737</v>
      </c>
      <c r="L141" s="24">
        <f t="shared" si="43"/>
        <v>198.47636196356297</v>
      </c>
      <c r="M141" s="24">
        <f t="shared" si="44"/>
        <v>7.9961143207359656E-2</v>
      </c>
      <c r="N141" s="24">
        <f t="shared" si="45"/>
        <v>0.56278221134108897</v>
      </c>
      <c r="O141">
        <v>0.56844324953966274</v>
      </c>
      <c r="P141" t="s">
        <v>327</v>
      </c>
      <c r="R141">
        <v>0.35906737453246385</v>
      </c>
      <c r="T141">
        <v>0.30832978999887822</v>
      </c>
      <c r="U141">
        <v>0.30717154351429954</v>
      </c>
    </row>
    <row r="142" spans="1:21" ht="15">
      <c r="A142" s="24">
        <v>25</v>
      </c>
      <c r="C142" s="24">
        <v>0.89575575027805843</v>
      </c>
      <c r="D142" s="24">
        <v>4.0812175960493775</v>
      </c>
      <c r="E142" s="24">
        <v>444.31982294239032</v>
      </c>
      <c r="F142" s="24">
        <v>0.93047243356704712</v>
      </c>
      <c r="G142" s="24">
        <v>27.19063146916152</v>
      </c>
      <c r="H142" s="24">
        <v>15.111135196592015</v>
      </c>
      <c r="I142" s="24">
        <v>19.48790168762207</v>
      </c>
      <c r="J142" s="24">
        <v>0.9041784405708313</v>
      </c>
      <c r="K142" s="29">
        <f t="shared" si="42"/>
        <v>4.8777733139010611</v>
      </c>
      <c r="L142" s="24">
        <f t="shared" si="43"/>
        <v>198.60637739179654</v>
      </c>
      <c r="M142" s="24">
        <f t="shared" si="44"/>
        <v>7.6085850792101409E-2</v>
      </c>
      <c r="N142" s="24">
        <f t="shared" si="45"/>
        <v>0.44431982294239031</v>
      </c>
      <c r="O142">
        <v>0.44475974808456864</v>
      </c>
      <c r="P142" t="s">
        <v>328</v>
      </c>
      <c r="R142">
        <v>12</v>
      </c>
      <c r="T142">
        <v>0.26716296072798557</v>
      </c>
      <c r="U142">
        <v>0.26627878256229165</v>
      </c>
    </row>
    <row r="143" spans="1:21" ht="15">
      <c r="A143" s="24">
        <v>25</v>
      </c>
      <c r="C143" s="24">
        <v>0.92625849907946878</v>
      </c>
      <c r="D143" s="24">
        <v>4.2099046373662494</v>
      </c>
      <c r="E143" s="24">
        <v>363.10337520749829</v>
      </c>
      <c r="F143" s="24">
        <v>1.1744956970214844</v>
      </c>
      <c r="G143" s="24">
        <v>27.161835728937362</v>
      </c>
      <c r="H143" s="24">
        <v>14.358728149266742</v>
      </c>
      <c r="I143" s="24">
        <v>18.591899871826172</v>
      </c>
      <c r="J143" s="24">
        <v>0.84696048498153687</v>
      </c>
      <c r="K143" s="29">
        <f t="shared" si="42"/>
        <v>4.8706930370920967</v>
      </c>
      <c r="L143" s="24">
        <f t="shared" si="43"/>
        <v>198.67625972390101</v>
      </c>
      <c r="M143" s="24">
        <f t="shared" si="44"/>
        <v>7.2271987449436415E-2</v>
      </c>
      <c r="N143" s="24">
        <f t="shared" si="45"/>
        <v>0.3631033752074983</v>
      </c>
      <c r="O143">
        <v>0.36310382020052967</v>
      </c>
      <c r="P143" t="s">
        <v>329</v>
      </c>
      <c r="R143">
        <v>2.7191540180746109E-3</v>
      </c>
      <c r="T143">
        <v>0.23985238518337507</v>
      </c>
      <c r="U143">
        <v>0.23689030171994013</v>
      </c>
    </row>
    <row r="144" spans="1:21" ht="15">
      <c r="A144" s="24">
        <v>25</v>
      </c>
      <c r="C144" s="24">
        <v>0.9526434727739147</v>
      </c>
      <c r="D144" s="24">
        <v>4.3202078156378549</v>
      </c>
      <c r="E144" s="24">
        <v>308.3297899988782</v>
      </c>
      <c r="F144" s="24">
        <v>1.419379711151123</v>
      </c>
      <c r="G144" s="24">
        <v>27.137153665888082</v>
      </c>
      <c r="H144" s="24">
        <v>13.683500532560926</v>
      </c>
      <c r="I144" s="24">
        <v>17.807895660400391</v>
      </c>
      <c r="J144" s="24">
        <v>0.8292573094367981</v>
      </c>
      <c r="K144" s="29">
        <f t="shared" si="42"/>
        <v>4.8646313301943112</v>
      </c>
      <c r="L144" s="24">
        <f t="shared" si="43"/>
        <v>198.73608877098215</v>
      </c>
      <c r="M144" s="24">
        <f t="shared" si="44"/>
        <v>6.8852620664832567E-2</v>
      </c>
      <c r="N144" s="24">
        <f t="shared" si="45"/>
        <v>0.30832978999887822</v>
      </c>
      <c r="O144">
        <v>0.30717154351429954</v>
      </c>
      <c r="P144" t="s">
        <v>315</v>
      </c>
      <c r="R144">
        <v>0.99981629890332591</v>
      </c>
      <c r="T144">
        <v>0.21493210317080133</v>
      </c>
      <c r="U144">
        <v>0.21302445579337864</v>
      </c>
    </row>
    <row r="145" spans="1:21" ht="15">
      <c r="A145" s="24">
        <v>25</v>
      </c>
      <c r="C145" s="24">
        <v>0.97036423983484033</v>
      </c>
      <c r="D145" s="24">
        <v>4.3937432678189241</v>
      </c>
      <c r="E145" s="24">
        <v>267.16296072798553</v>
      </c>
      <c r="F145" s="24">
        <v>1.6659727096557617</v>
      </c>
      <c r="G145" s="24">
        <v>27.120698957188566</v>
      </c>
      <c r="H145" s="24">
        <v>13.045972169140949</v>
      </c>
      <c r="I145" s="24">
        <v>17.086887359619141</v>
      </c>
      <c r="J145" s="24">
        <v>0.78222423791885376</v>
      </c>
      <c r="K145" s="29">
        <f t="shared" si="42"/>
        <v>4.860593831100668</v>
      </c>
      <c r="L145" s="24">
        <f t="shared" si="43"/>
        <v>198.77593888703638</v>
      </c>
      <c r="M145" s="24">
        <f t="shared" si="44"/>
        <v>6.5631545961681637E-2</v>
      </c>
      <c r="N145" s="24">
        <f t="shared" si="45"/>
        <v>0.26716296072798557</v>
      </c>
      <c r="O145">
        <v>0.26627878256229165</v>
      </c>
      <c r="T145">
        <v>0.19345459875867455</v>
      </c>
      <c r="U145">
        <v>0.19366153033324246</v>
      </c>
    </row>
    <row r="146" spans="1:21" ht="15">
      <c r="A146" s="24">
        <v>25</v>
      </c>
      <c r="C146" s="24">
        <v>0.99715838392196043</v>
      </c>
      <c r="D146" s="24">
        <v>4.5224303091357969</v>
      </c>
      <c r="E146" s="24">
        <v>239.85238518337505</v>
      </c>
      <c r="F146" s="24">
        <v>1.9100172519683838</v>
      </c>
      <c r="G146" s="24">
        <v>27.091903216964404</v>
      </c>
      <c r="H146" s="24">
        <v>12.544987537518466</v>
      </c>
      <c r="I146" s="24">
        <v>16.522897720336914</v>
      </c>
      <c r="J146" s="24">
        <v>0.83540046215057373</v>
      </c>
      <c r="K146" s="29">
        <f t="shared" si="42"/>
        <v>4.8535352064712196</v>
      </c>
      <c r="L146" s="24">
        <f t="shared" si="43"/>
        <v>198.84560751212902</v>
      </c>
      <c r="M146" s="24">
        <f t="shared" si="44"/>
        <v>6.3089085519544383E-2</v>
      </c>
      <c r="N146" s="24">
        <f t="shared" si="45"/>
        <v>0.23985238518337507</v>
      </c>
      <c r="O146">
        <v>0.23689030171994013</v>
      </c>
      <c r="T146">
        <v>0.17904070753709125</v>
      </c>
      <c r="U146">
        <v>0.17911867790951</v>
      </c>
    </row>
    <row r="147" spans="1:21" ht="15">
      <c r="A147" s="24">
        <v>25</v>
      </c>
      <c r="C147" s="24">
        <v>1.010654589715664</v>
      </c>
      <c r="D147" s="24">
        <v>4.5775818982715997</v>
      </c>
      <c r="E147" s="24">
        <v>214.93210317080133</v>
      </c>
      <c r="F147" s="24">
        <v>2.1574676036834717</v>
      </c>
      <c r="G147" s="24">
        <v>27.079562185439766</v>
      </c>
      <c r="H147" s="24">
        <v>12.012702413054702</v>
      </c>
      <c r="I147" s="24">
        <v>15.941897392272949</v>
      </c>
      <c r="J147" s="24">
        <v>0.79006153345108032</v>
      </c>
      <c r="K147" s="29">
        <f t="shared" si="42"/>
        <v>4.8505128065118424</v>
      </c>
      <c r="L147" s="24">
        <f t="shared" si="43"/>
        <v>198.87543859972808</v>
      </c>
      <c r="M147" s="24">
        <f t="shared" si="44"/>
        <v>6.0403147304843342E-2</v>
      </c>
      <c r="N147" s="24">
        <f t="shared" si="45"/>
        <v>0.21493210317080133</v>
      </c>
      <c r="O147">
        <v>0.21302445579337864</v>
      </c>
      <c r="T147">
        <v>0.16499852674618865</v>
      </c>
      <c r="U147">
        <v>0.16653703180489435</v>
      </c>
    </row>
    <row r="148" spans="1:21" ht="15">
      <c r="A148" s="24">
        <v>25</v>
      </c>
      <c r="C148" s="24">
        <v>1.0151685943196853</v>
      </c>
      <c r="D148" s="24">
        <v>4.595965761316867</v>
      </c>
      <c r="E148" s="24">
        <v>193.45459875867454</v>
      </c>
      <c r="F148" s="24">
        <v>2.4066181182861328</v>
      </c>
      <c r="G148" s="24">
        <v>27.075448508264884</v>
      </c>
      <c r="H148" s="24">
        <v>11.485110739279964</v>
      </c>
      <c r="I148" s="24">
        <v>15.378893852233887</v>
      </c>
      <c r="J148" s="24">
        <v>0.77880126237869263</v>
      </c>
      <c r="K148" s="29">
        <f t="shared" si="42"/>
        <v>4.8495057029755184</v>
      </c>
      <c r="L148" s="24">
        <f t="shared" si="43"/>
        <v>198.8853787116316</v>
      </c>
      <c r="M148" s="24">
        <f t="shared" si="44"/>
        <v>5.7747386025457835E-2</v>
      </c>
      <c r="N148" s="24">
        <f t="shared" si="45"/>
        <v>0.19345459875867455</v>
      </c>
      <c r="O148">
        <v>0.19366153033324246</v>
      </c>
      <c r="T148">
        <v>0.15380361751797683</v>
      </c>
      <c r="U148">
        <v>0.15631759866210332</v>
      </c>
    </row>
    <row r="149" spans="1:21" ht="15">
      <c r="A149" s="24">
        <v>25</v>
      </c>
      <c r="C149" s="24">
        <v>1.0378619718996447</v>
      </c>
      <c r="D149" s="24">
        <v>4.6878850765432043</v>
      </c>
      <c r="E149" s="24">
        <v>179.04070753709124</v>
      </c>
      <c r="F149" s="24">
        <v>2.6523730754852295</v>
      </c>
      <c r="G149" s="24">
        <v>27.054880122390486</v>
      </c>
      <c r="H149" s="24">
        <v>11.093789168515833</v>
      </c>
      <c r="I149" s="24">
        <v>14.958893775939941</v>
      </c>
      <c r="J149" s="24">
        <v>0.80312782526016235</v>
      </c>
      <c r="K149" s="29">
        <f t="shared" si="42"/>
        <v>4.8444729074384698</v>
      </c>
      <c r="L149" s="24">
        <f t="shared" si="43"/>
        <v>198.93505240358229</v>
      </c>
      <c r="M149" s="24">
        <f t="shared" si="44"/>
        <v>5.5765884566233756E-2</v>
      </c>
      <c r="N149" s="24">
        <f t="shared" si="45"/>
        <v>0.17904070753709125</v>
      </c>
      <c r="O149">
        <v>0.17911867790951</v>
      </c>
      <c r="T149">
        <v>0.65158604778063078</v>
      </c>
      <c r="U149">
        <v>0.65344927355267424</v>
      </c>
    </row>
    <row r="150" spans="1:21" ht="15">
      <c r="A150" s="24">
        <v>25</v>
      </c>
      <c r="C150" s="24">
        <v>1.0469969420262586</v>
      </c>
      <c r="D150" s="24">
        <v>4.7246528026337389</v>
      </c>
      <c r="E150" s="24">
        <v>164.99852674618865</v>
      </c>
      <c r="F150" s="24">
        <v>2.9006764888763428</v>
      </c>
      <c r="G150" s="24">
        <v>27.046652768040726</v>
      </c>
      <c r="H150" s="24">
        <v>10.672069459184192</v>
      </c>
      <c r="I150" s="24">
        <v>14.517894744873047</v>
      </c>
      <c r="J150" s="24">
        <v>0.79447519779205322</v>
      </c>
      <c r="K150" s="29">
        <f t="shared" si="42"/>
        <v>4.84246105904713</v>
      </c>
      <c r="L150" s="24">
        <f t="shared" si="43"/>
        <v>198.95490934720479</v>
      </c>
      <c r="M150" s="24">
        <f t="shared" si="44"/>
        <v>5.3640643974056969E-2</v>
      </c>
      <c r="N150" s="24">
        <f t="shared" si="45"/>
        <v>0.16499852674618865</v>
      </c>
      <c r="O150">
        <v>0.16653703180489435</v>
      </c>
      <c r="T150">
        <v>0.62547559993668833</v>
      </c>
      <c r="U150">
        <v>0.61816238061489104</v>
      </c>
    </row>
    <row r="151" spans="1:21" ht="15">
      <c r="A151" s="24">
        <v>25</v>
      </c>
      <c r="C151" s="24">
        <v>1.0607636859387208</v>
      </c>
      <c r="D151" s="24">
        <v>4.7798043917695416</v>
      </c>
      <c r="E151" s="24">
        <v>153.80361751797682</v>
      </c>
      <c r="F151" s="24">
        <v>3.1481325626373291</v>
      </c>
      <c r="G151" s="24">
        <v>27.034311736516088</v>
      </c>
      <c r="H151" s="24">
        <v>10.307822976904353</v>
      </c>
      <c r="I151" s="24">
        <v>14.138897895812988</v>
      </c>
      <c r="J151" s="24">
        <v>0.82174336910247803</v>
      </c>
      <c r="K151" s="29">
        <f t="shared" si="42"/>
        <v>4.8394446463016214</v>
      </c>
      <c r="L151" s="24">
        <f t="shared" si="43"/>
        <v>198.98468134100298</v>
      </c>
      <c r="M151" s="24">
        <f t="shared" si="44"/>
        <v>5.1802093042728675E-2</v>
      </c>
      <c r="N151" s="24">
        <f t="shared" si="45"/>
        <v>0.15380361751797683</v>
      </c>
      <c r="O151">
        <v>0.15631759866210332</v>
      </c>
      <c r="T151">
        <v>0.58088810241612721</v>
      </c>
      <c r="U151">
        <v>0.58044227557928585</v>
      </c>
    </row>
    <row r="152" spans="1:21" ht="15">
      <c r="K152" s="29"/>
      <c r="L152" s="24"/>
      <c r="M152" s="24"/>
      <c r="N152" s="24"/>
      <c r="T152">
        <v>0.53925319333712574</v>
      </c>
      <c r="U152">
        <v>0.54600584638175409</v>
      </c>
    </row>
    <row r="153" spans="1:21" ht="15">
      <c r="A153">
        <v>30</v>
      </c>
      <c r="C153" s="24">
        <v>0.78050523759319224</v>
      </c>
      <c r="D153" s="24">
        <v>3.5664694307818872</v>
      </c>
      <c r="E153" s="24">
        <v>651.58604778063079</v>
      </c>
      <c r="F153" s="24">
        <v>0.55446761846542358</v>
      </c>
      <c r="G153" s="24">
        <v>27.305814430058156</v>
      </c>
      <c r="H153" s="24">
        <v>19.440694524222987</v>
      </c>
      <c r="I153" s="24">
        <v>25.16490364074707</v>
      </c>
      <c r="J153" s="24">
        <v>0.86796224117279053</v>
      </c>
      <c r="K153" s="29">
        <f t="shared" si="42"/>
        <v>4.9061838327301848</v>
      </c>
      <c r="L153" s="24">
        <f t="shared" si="43"/>
        <v>247.67596557095305</v>
      </c>
      <c r="M153" s="24">
        <f t="shared" si="44"/>
        <v>7.8492454766079064E-2</v>
      </c>
      <c r="N153" s="24">
        <f t="shared" si="45"/>
        <v>0.65158604778063078</v>
      </c>
      <c r="O153">
        <v>0.65344927355267424</v>
      </c>
      <c r="P153" t="s">
        <v>313</v>
      </c>
      <c r="Q153">
        <v>0.20419760915725732</v>
      </c>
      <c r="T153">
        <v>0.42755932671887997</v>
      </c>
      <c r="U153">
        <v>0.42938595852384326</v>
      </c>
    </row>
    <row r="154" spans="1:21" ht="15">
      <c r="A154" s="24">
        <v>30</v>
      </c>
      <c r="C154" s="24">
        <v>0.80582332616236396</v>
      </c>
      <c r="D154" s="24">
        <v>3.6951564720987591</v>
      </c>
      <c r="E154" s="24">
        <v>625.47559993668835</v>
      </c>
      <c r="F154" s="24">
        <v>0.59845554828643799</v>
      </c>
      <c r="G154" s="24">
        <v>27.277018689833998</v>
      </c>
      <c r="H154" s="24">
        <v>19.330229377039721</v>
      </c>
      <c r="I154" s="24">
        <v>24.991909027099609</v>
      </c>
      <c r="J154" s="24">
        <v>0.89344149827957153</v>
      </c>
      <c r="K154" s="29">
        <f t="shared" si="42"/>
        <v>4.8990677724260143</v>
      </c>
      <c r="L154" s="24">
        <f t="shared" si="43"/>
        <v>247.74620108615522</v>
      </c>
      <c r="M154" s="24">
        <f t="shared" si="44"/>
        <v>7.8024322037202568E-2</v>
      </c>
      <c r="N154" s="24">
        <f t="shared" si="45"/>
        <v>0.62547559993668833</v>
      </c>
      <c r="O154">
        <v>0.61816238061489104</v>
      </c>
      <c r="P154" t="s">
        <v>314</v>
      </c>
      <c r="Q154">
        <v>27.634906333780261</v>
      </c>
      <c r="T154">
        <v>0.3520543141125817</v>
      </c>
      <c r="U154">
        <v>0.35263036936319803</v>
      </c>
    </row>
    <row r="155" spans="1:21" ht="15">
      <c r="A155" s="24">
        <v>30</v>
      </c>
      <c r="C155" s="24">
        <v>0.81005754905946747</v>
      </c>
      <c r="D155" s="24">
        <v>3.7135403351440273</v>
      </c>
      <c r="E155" s="24">
        <v>580.88810241612714</v>
      </c>
      <c r="F155" s="24">
        <v>0.64759743213653564</v>
      </c>
      <c r="G155" s="24">
        <v>27.272905012659116</v>
      </c>
      <c r="H155" s="24">
        <v>19.103874360080564</v>
      </c>
      <c r="I155" s="24">
        <v>24.669910430908203</v>
      </c>
      <c r="J155" s="24">
        <v>0.88326168060302734</v>
      </c>
      <c r="K155" s="29">
        <f t="shared" si="42"/>
        <v>4.89805192403304</v>
      </c>
      <c r="L155" s="24">
        <f t="shared" si="43"/>
        <v>247.75622750979386</v>
      </c>
      <c r="M155" s="24">
        <f t="shared" si="44"/>
        <v>7.7107544589672866E-2</v>
      </c>
      <c r="N155" s="24">
        <f t="shared" si="45"/>
        <v>0.58088810241612721</v>
      </c>
      <c r="O155">
        <v>0.58044227557928585</v>
      </c>
      <c r="P155" t="s">
        <v>312</v>
      </c>
      <c r="Q155">
        <v>6.9619307761718305E-2</v>
      </c>
      <c r="T155">
        <v>0.30235524662418478</v>
      </c>
      <c r="U155">
        <v>0.30029494721082201</v>
      </c>
    </row>
    <row r="156" spans="1:21" ht="15">
      <c r="A156" s="24">
        <v>30</v>
      </c>
      <c r="C156" s="24">
        <v>0.81005754905946747</v>
      </c>
      <c r="D156" s="24">
        <v>3.7135403351440273</v>
      </c>
      <c r="E156" s="24">
        <v>539.25319333712571</v>
      </c>
      <c r="F156" s="24">
        <v>0.6975974440574646</v>
      </c>
      <c r="G156" s="24">
        <v>27.272905012659116</v>
      </c>
      <c r="H156" s="24">
        <v>18.861805382701018</v>
      </c>
      <c r="I156" s="24">
        <v>24.331903457641602</v>
      </c>
      <c r="J156" s="24">
        <v>0.81672203540802002</v>
      </c>
      <c r="K156" s="29">
        <f t="shared" si="42"/>
        <v>4.89805192403304</v>
      </c>
      <c r="L156" s="24">
        <f t="shared" si="43"/>
        <v>247.75622750979386</v>
      </c>
      <c r="M156" s="24">
        <f t="shared" si="44"/>
        <v>7.6130499613598634E-2</v>
      </c>
      <c r="N156" s="24">
        <f t="shared" si="45"/>
        <v>0.53925319333712574</v>
      </c>
      <c r="O156">
        <v>0.54600584638175409</v>
      </c>
      <c r="P156" t="s">
        <v>327</v>
      </c>
      <c r="R156">
        <v>0.34814916922248745</v>
      </c>
      <c r="T156">
        <v>0.26465672242573063</v>
      </c>
      <c r="U156">
        <v>0.26186512208771229</v>
      </c>
    </row>
    <row r="157" spans="1:21" ht="15">
      <c r="A157" s="24">
        <v>30</v>
      </c>
      <c r="C157" s="24">
        <v>0.86553062788129864</v>
      </c>
      <c r="D157" s="24">
        <v>3.9525305547325047</v>
      </c>
      <c r="E157" s="24">
        <v>427.55932671887996</v>
      </c>
      <c r="F157" s="24">
        <v>0.93645799160003662</v>
      </c>
      <c r="G157" s="24">
        <v>27.219427209385678</v>
      </c>
      <c r="H157" s="24">
        <v>18.026835806911819</v>
      </c>
      <c r="I157" s="24">
        <v>23.166900634765625</v>
      </c>
      <c r="J157" s="24">
        <v>0.78626590967178345</v>
      </c>
      <c r="K157" s="29">
        <f t="shared" si="42"/>
        <v>4.8848625224442888</v>
      </c>
      <c r="L157" s="24">
        <f t="shared" si="43"/>
        <v>247.88640690347486</v>
      </c>
      <c r="M157" s="24">
        <f t="shared" si="44"/>
        <v>7.2722163478416688E-2</v>
      </c>
      <c r="N157" s="24">
        <f t="shared" si="45"/>
        <v>0.42755932671887997</v>
      </c>
      <c r="O157">
        <v>0.42938595852384326</v>
      </c>
      <c r="P157" t="s">
        <v>328</v>
      </c>
      <c r="R157">
        <v>12</v>
      </c>
      <c r="T157">
        <v>0.23230299588396786</v>
      </c>
      <c r="U157">
        <v>0.23174570787469867</v>
      </c>
    </row>
    <row r="158" spans="1:21" ht="15">
      <c r="A158" s="24">
        <v>30</v>
      </c>
      <c r="C158" s="24">
        <v>0.90009528567253816</v>
      </c>
      <c r="D158" s="24">
        <v>4.0996014590946448</v>
      </c>
      <c r="E158" s="24">
        <v>352.05431411258172</v>
      </c>
      <c r="F158" s="24">
        <v>1.1796181201934814</v>
      </c>
      <c r="G158" s="24">
        <v>27.186517791986642</v>
      </c>
      <c r="H158" s="24">
        <v>17.209402842222815</v>
      </c>
      <c r="I158" s="24">
        <v>22.077909469604492</v>
      </c>
      <c r="J158" s="24">
        <v>0.73568296432495117</v>
      </c>
      <c r="K158" s="29">
        <f t="shared" si="42"/>
        <v>4.8767612991642624</v>
      </c>
      <c r="L158" s="24">
        <f t="shared" si="43"/>
        <v>247.96636597724873</v>
      </c>
      <c r="M158" s="24">
        <f t="shared" si="44"/>
        <v>6.9402165791314627E-2</v>
      </c>
      <c r="N158" s="24">
        <f t="shared" si="45"/>
        <v>0.3520543141125817</v>
      </c>
      <c r="O158">
        <v>0.35263036936319803</v>
      </c>
      <c r="P158" t="s">
        <v>329</v>
      </c>
      <c r="R158">
        <v>3.4181921481825934E-3</v>
      </c>
      <c r="T158">
        <v>0.21303791605495609</v>
      </c>
      <c r="U158">
        <v>0.21035884944025013</v>
      </c>
    </row>
    <row r="159" spans="1:21" ht="15">
      <c r="A159" s="24">
        <v>30</v>
      </c>
      <c r="C159" s="24">
        <v>0.9350271579258348</v>
      </c>
      <c r="D159" s="24">
        <v>4.2466723634567849</v>
      </c>
      <c r="E159" s="24">
        <v>302.35524662418476</v>
      </c>
      <c r="F159" s="24">
        <v>1.4227895736694336</v>
      </c>
      <c r="G159" s="24">
        <v>27.153608374587602</v>
      </c>
      <c r="H159" s="24">
        <v>16.497183706839536</v>
      </c>
      <c r="I159" s="24">
        <v>21.15690803527832</v>
      </c>
      <c r="J159" s="24">
        <v>0.7151373028755188</v>
      </c>
      <c r="K159" s="29">
        <f t="shared" si="42"/>
        <v>4.868671740066052</v>
      </c>
      <c r="L159" s="24">
        <f t="shared" si="43"/>
        <v>248.04620992554806</v>
      </c>
      <c r="M159" s="24">
        <f t="shared" si="44"/>
        <v>6.6508509490192269E-2</v>
      </c>
      <c r="N159" s="24">
        <f t="shared" si="45"/>
        <v>0.30235524662418478</v>
      </c>
      <c r="O159">
        <v>0.30029494721082201</v>
      </c>
      <c r="P159" t="s">
        <v>315</v>
      </c>
      <c r="R159">
        <v>0.99967609577832506</v>
      </c>
      <c r="T159">
        <v>0.19345459875867455</v>
      </c>
      <c r="U159">
        <v>0.1921122316722198</v>
      </c>
    </row>
    <row r="160" spans="1:21" ht="15">
      <c r="A160" s="24">
        <v>30</v>
      </c>
      <c r="C160" s="24">
        <v>0.96149047515584185</v>
      </c>
      <c r="D160" s="24">
        <v>4.3569755417283895</v>
      </c>
      <c r="E160" s="24">
        <v>264.65672242573061</v>
      </c>
      <c r="F160" s="24">
        <v>1.6676758527755737</v>
      </c>
      <c r="G160" s="24">
        <v>27.128926311538322</v>
      </c>
      <c r="H160" s="24">
        <v>15.822023596561129</v>
      </c>
      <c r="I160" s="24">
        <v>20.310911178588867</v>
      </c>
      <c r="J160" s="24">
        <v>0.69716686010360718</v>
      </c>
      <c r="K160" s="29">
        <f t="shared" si="42"/>
        <v>4.8626122169098664</v>
      </c>
      <c r="L160" s="24">
        <f t="shared" si="43"/>
        <v>248.1060174190996</v>
      </c>
      <c r="M160" s="24">
        <f t="shared" si="44"/>
        <v>6.3771220711002094E-2</v>
      </c>
      <c r="N160" s="24">
        <f t="shared" si="45"/>
        <v>0.26465672242573063</v>
      </c>
      <c r="O160">
        <v>0.26186512208771229</v>
      </c>
      <c r="T160">
        <v>0.17524962967610305</v>
      </c>
      <c r="U160">
        <v>0.17667917538283018</v>
      </c>
    </row>
    <row r="161" spans="1:21" ht="15">
      <c r="A161" s="24">
        <v>30</v>
      </c>
      <c r="C161" s="24">
        <v>0.97036423983484033</v>
      </c>
      <c r="D161" s="24">
        <v>4.3937432678189241</v>
      </c>
      <c r="E161" s="24">
        <v>232.30299588396784</v>
      </c>
      <c r="F161" s="24">
        <v>1.9159727096557617</v>
      </c>
      <c r="G161" s="24">
        <v>27.120698957188566</v>
      </c>
      <c r="H161" s="24">
        <v>15.114298938137841</v>
      </c>
      <c r="I161" s="24">
        <v>19.455907821655273</v>
      </c>
      <c r="J161" s="24">
        <v>0.67964053153991699</v>
      </c>
      <c r="K161" s="29">
        <f t="shared" si="42"/>
        <v>4.860593831100668</v>
      </c>
      <c r="L161" s="24">
        <f t="shared" si="43"/>
        <v>248.12593888703637</v>
      </c>
      <c r="M161" s="24">
        <f t="shared" si="44"/>
        <v>6.0913820642584597E-2</v>
      </c>
      <c r="N161" s="24">
        <f t="shared" si="45"/>
        <v>0.23230299588396786</v>
      </c>
      <c r="O161">
        <v>0.23174570787469867</v>
      </c>
      <c r="T161">
        <v>0.16430845859173454</v>
      </c>
      <c r="U161">
        <v>0.16536261880473568</v>
      </c>
    </row>
    <row r="162" spans="1:21" ht="15">
      <c r="A162" s="24">
        <v>30</v>
      </c>
      <c r="C162" s="24">
        <v>1.0016495814886457</v>
      </c>
      <c r="D162" s="24">
        <v>4.5408141721810642</v>
      </c>
      <c r="E162" s="24">
        <v>213.03791605495607</v>
      </c>
      <c r="F162" s="24">
        <v>2.1591672897338867</v>
      </c>
      <c r="G162" s="24">
        <v>27.087789539789526</v>
      </c>
      <c r="H162" s="24">
        <v>14.630182957449451</v>
      </c>
      <c r="I162" s="24">
        <v>18.869909286499023</v>
      </c>
      <c r="J162" s="24">
        <v>0.69021743535995483</v>
      </c>
      <c r="K162" s="29">
        <f t="shared" si="42"/>
        <v>4.8525275582323202</v>
      </c>
      <c r="L162" s="24">
        <f t="shared" si="43"/>
        <v>248.20555300024697</v>
      </c>
      <c r="M162" s="24">
        <f t="shared" si="44"/>
        <v>5.8943818059682546E-2</v>
      </c>
      <c r="N162" s="24">
        <f t="shared" si="45"/>
        <v>0.21303791605495609</v>
      </c>
      <c r="O162">
        <v>0.21035884944025013</v>
      </c>
      <c r="T162">
        <v>0.15190621679743865</v>
      </c>
      <c r="U162">
        <v>0.15495671142222966</v>
      </c>
    </row>
    <row r="163" spans="1:21" ht="15">
      <c r="A163" s="24">
        <v>30</v>
      </c>
      <c r="C163" s="24">
        <v>1.0151685943196853</v>
      </c>
      <c r="D163" s="24">
        <v>4.595965761316867</v>
      </c>
      <c r="E163" s="24">
        <v>193.45459875867454</v>
      </c>
      <c r="F163" s="24">
        <v>2.4066181182861328</v>
      </c>
      <c r="G163" s="24">
        <v>27.075448508264884</v>
      </c>
      <c r="H163" s="24">
        <v>14.068320360442582</v>
      </c>
      <c r="I163" s="24">
        <v>18.214902877807617</v>
      </c>
      <c r="J163" s="24">
        <v>0.67756617069244385</v>
      </c>
      <c r="K163" s="29">
        <f t="shared" si="42"/>
        <v>4.8495057029755184</v>
      </c>
      <c r="L163" s="24">
        <f t="shared" si="43"/>
        <v>248.2353787116316</v>
      </c>
      <c r="M163" s="24">
        <f t="shared" si="44"/>
        <v>5.6673309153025181E-2</v>
      </c>
      <c r="N163" s="24">
        <f t="shared" si="45"/>
        <v>0.19345459875867455</v>
      </c>
      <c r="O163">
        <v>0.1921122316722198</v>
      </c>
      <c r="T163">
        <v>0.62561156721344624</v>
      </c>
      <c r="U163">
        <v>0.62843544780017901</v>
      </c>
    </row>
    <row r="164" spans="1:21" ht="15">
      <c r="A164" s="24">
        <v>30</v>
      </c>
      <c r="C164" s="24">
        <v>1.0151685943196853</v>
      </c>
      <c r="D164" s="24">
        <v>4.595965761316867</v>
      </c>
      <c r="E164" s="24">
        <v>175.24962967610304</v>
      </c>
      <c r="F164" s="24">
        <v>2.6566181182861328</v>
      </c>
      <c r="G164" s="24">
        <v>27.075448508264884</v>
      </c>
      <c r="H164" s="24">
        <v>13.473226615155902</v>
      </c>
      <c r="I164" s="24">
        <v>17.540901184082031</v>
      </c>
      <c r="J164" s="24">
        <v>0.66487693786621094</v>
      </c>
      <c r="K164" s="29">
        <f t="shared" si="42"/>
        <v>4.8495057029755184</v>
      </c>
      <c r="L164" s="24">
        <f t="shared" si="43"/>
        <v>248.2353787116316</v>
      </c>
      <c r="M164" s="24">
        <f t="shared" si="44"/>
        <v>5.4276012891810194E-2</v>
      </c>
      <c r="N164" s="24">
        <f t="shared" si="45"/>
        <v>0.17524962967610305</v>
      </c>
      <c r="O164">
        <v>0.17667917538283018</v>
      </c>
      <c r="T164">
        <v>0.60162476323974845</v>
      </c>
      <c r="U164">
        <v>0.5952143688151591</v>
      </c>
    </row>
    <row r="165" spans="1:21" ht="15">
      <c r="A165" s="24">
        <v>30</v>
      </c>
      <c r="C165" s="24">
        <v>1.0424252444681483</v>
      </c>
      <c r="D165" s="24">
        <v>4.7062689395884725</v>
      </c>
      <c r="E165" s="24">
        <v>164.30845859173454</v>
      </c>
      <c r="F165" s="24">
        <v>2.901524543762207</v>
      </c>
      <c r="G165" s="24">
        <v>27.050766445215608</v>
      </c>
      <c r="H165" s="24">
        <v>13.083692685604149</v>
      </c>
      <c r="I165" s="24">
        <v>17.094888687133789</v>
      </c>
      <c r="J165" s="24">
        <v>0.67901414632797241</v>
      </c>
      <c r="K165" s="29">
        <f t="shared" si="42"/>
        <v>4.8434668925684807</v>
      </c>
      <c r="L165" s="24">
        <f t="shared" si="43"/>
        <v>248.2949817703491</v>
      </c>
      <c r="M165" s="24">
        <f t="shared" si="44"/>
        <v>5.269414867878968E-2</v>
      </c>
      <c r="N165" s="24">
        <f t="shared" si="45"/>
        <v>0.16430845859173454</v>
      </c>
      <c r="O165">
        <v>0.16536261880473568</v>
      </c>
      <c r="T165">
        <v>0.55560141424282561</v>
      </c>
      <c r="U165">
        <v>0.55882713235174064</v>
      </c>
    </row>
    <row r="166" spans="1:21" ht="15">
      <c r="A166" s="24">
        <v>30</v>
      </c>
      <c r="C166" s="24">
        <v>1.0469969420262586</v>
      </c>
      <c r="D166" s="24">
        <v>4.7246528026337389</v>
      </c>
      <c r="E166" s="24">
        <v>151.90621679743865</v>
      </c>
      <c r="F166" s="24">
        <v>3.1506764888763428</v>
      </c>
      <c r="G166" s="24">
        <v>27.046652768040726</v>
      </c>
      <c r="H166" s="24">
        <v>12.597730363258115</v>
      </c>
      <c r="I166" s="24">
        <v>16.55888557434082</v>
      </c>
      <c r="J166" s="24">
        <v>0.69239574670791626</v>
      </c>
      <c r="K166" s="29">
        <f t="shared" si="42"/>
        <v>4.84246105904713</v>
      </c>
      <c r="L166" s="24">
        <f t="shared" si="43"/>
        <v>248.30490934720478</v>
      </c>
      <c r="M166" s="24">
        <f t="shared" si="44"/>
        <v>5.0734922625483445E-2</v>
      </c>
      <c r="N166" s="24">
        <f t="shared" si="45"/>
        <v>0.15190621679743865</v>
      </c>
      <c r="O166">
        <v>0.15495671142222966</v>
      </c>
      <c r="T166">
        <v>0.53260356322543079</v>
      </c>
      <c r="U166">
        <v>0.53104302816763549</v>
      </c>
    </row>
    <row r="167" spans="1:21" ht="15">
      <c r="K167" s="29"/>
      <c r="L167" s="24"/>
      <c r="M167" s="24"/>
      <c r="N167" s="24"/>
      <c r="T167">
        <v>0.41100788206645728</v>
      </c>
      <c r="U167">
        <v>0.41628674209750632</v>
      </c>
    </row>
    <row r="168" spans="1:21" ht="15">
      <c r="A168">
        <v>35</v>
      </c>
      <c r="C168" s="24">
        <v>0.75533284536777079</v>
      </c>
      <c r="D168" s="24">
        <v>3.4561662525102821</v>
      </c>
      <c r="E168" s="24">
        <v>625.61156721344628</v>
      </c>
      <c r="F168" s="24">
        <v>0.55962783098220825</v>
      </c>
      <c r="G168" s="24">
        <v>27.330496493107436</v>
      </c>
      <c r="H168" s="24">
        <v>22.098451087787083</v>
      </c>
      <c r="I168" s="24">
        <v>29.275909423828125</v>
      </c>
      <c r="J168" s="24">
        <v>0.85148471593856812</v>
      </c>
      <c r="K168" s="29">
        <f t="shared" si="42"/>
        <v>4.9122904515951733</v>
      </c>
      <c r="L168" s="24">
        <f t="shared" si="43"/>
        <v>296.96569324275561</v>
      </c>
      <c r="M168" s="24">
        <f t="shared" si="44"/>
        <v>7.441415486913712E-2</v>
      </c>
      <c r="N168" s="24">
        <f t="shared" si="45"/>
        <v>0.62561156721344624</v>
      </c>
      <c r="O168">
        <v>0.62843544780017901</v>
      </c>
      <c r="P168" t="s">
        <v>313</v>
      </c>
      <c r="Q168">
        <v>0.20678106869029841</v>
      </c>
      <c r="T168">
        <v>0.34474038381264416</v>
      </c>
      <c r="U168">
        <v>0.34483669463462907</v>
      </c>
    </row>
    <row r="169" spans="1:21" ht="15">
      <c r="A169" s="24">
        <v>35</v>
      </c>
      <c r="C169" s="24">
        <v>0.78050523759319224</v>
      </c>
      <c r="D169" s="24">
        <v>3.5848532938271545</v>
      </c>
      <c r="E169" s="24">
        <v>601.6247632397484</v>
      </c>
      <c r="F169" s="24">
        <v>0.60360819101333618</v>
      </c>
      <c r="G169" s="24">
        <v>27.301700752883278</v>
      </c>
      <c r="H169" s="24">
        <v>21.98780437624054</v>
      </c>
      <c r="I169" s="24">
        <v>29.076902389526367</v>
      </c>
      <c r="J169" s="24">
        <v>0.87017011642456055</v>
      </c>
      <c r="K169" s="29">
        <f t="shared" si="42"/>
        <v>4.9051667037561426</v>
      </c>
      <c r="L169" s="24">
        <f t="shared" si="43"/>
        <v>297.03600463392684</v>
      </c>
      <c r="M169" s="24">
        <f t="shared" si="44"/>
        <v>7.4024037602238663E-2</v>
      </c>
      <c r="N169" s="24">
        <f t="shared" si="45"/>
        <v>0.60162476323974845</v>
      </c>
      <c r="O169">
        <v>0.5952143688151591</v>
      </c>
      <c r="P169" t="s">
        <v>314</v>
      </c>
      <c r="Q169">
        <v>27.936760163817858</v>
      </c>
      <c r="T169">
        <v>0.29640867626837797</v>
      </c>
      <c r="U169">
        <v>0.29444383295431231</v>
      </c>
    </row>
    <row r="170" spans="1:21" ht="15">
      <c r="A170" s="24">
        <v>35</v>
      </c>
      <c r="C170" s="24">
        <v>0.78050523759319224</v>
      </c>
      <c r="D170" s="24">
        <v>3.5848532938271545</v>
      </c>
      <c r="E170" s="24">
        <v>555.60141424282563</v>
      </c>
      <c r="F170" s="24">
        <v>0.65360820293426514</v>
      </c>
      <c r="G170" s="24">
        <v>27.301700752883278</v>
      </c>
      <c r="H170" s="24">
        <v>21.734645324753302</v>
      </c>
      <c r="I170" s="24">
        <v>28.659902572631836</v>
      </c>
      <c r="J170" s="24">
        <v>0.83119428157806396</v>
      </c>
      <c r="K170" s="29">
        <f t="shared" si="42"/>
        <v>4.9051667037561426</v>
      </c>
      <c r="L170" s="24">
        <f t="shared" si="43"/>
        <v>297.03600463392684</v>
      </c>
      <c r="M170" s="24">
        <f t="shared" si="44"/>
        <v>7.3171753543950058E-2</v>
      </c>
      <c r="N170" s="24">
        <f t="shared" si="45"/>
        <v>0.55560141424282561</v>
      </c>
      <c r="O170">
        <v>0.55882713235174064</v>
      </c>
      <c r="P170" t="s">
        <v>312</v>
      </c>
      <c r="Q170">
        <v>6.7540110804054324E-2</v>
      </c>
      <c r="T170">
        <v>0.25716796774633399</v>
      </c>
      <c r="U170">
        <v>0.25649198740092388</v>
      </c>
    </row>
    <row r="171" spans="1:21" ht="15">
      <c r="A171" s="24">
        <v>35</v>
      </c>
      <c r="C171" s="24">
        <v>0.80159331584045357</v>
      </c>
      <c r="D171" s="24">
        <v>3.6767726090534922</v>
      </c>
      <c r="E171" s="24">
        <v>532.60356322543078</v>
      </c>
      <c r="F171" s="24">
        <v>0.69931387901306152</v>
      </c>
      <c r="G171" s="24">
        <v>27.281132367008876</v>
      </c>
      <c r="H171" s="24">
        <v>21.598411190436238</v>
      </c>
      <c r="I171" s="24">
        <v>28.427902221679688</v>
      </c>
      <c r="J171" s="24">
        <v>0.8243105411529541</v>
      </c>
      <c r="K171" s="29">
        <f t="shared" si="42"/>
        <v>4.9000838036765479</v>
      </c>
      <c r="L171" s="24">
        <f t="shared" si="43"/>
        <v>297.08617285771243</v>
      </c>
      <c r="M171" s="24">
        <f t="shared" si="44"/>
        <v>7.2700829468696493E-2</v>
      </c>
      <c r="N171" s="24">
        <f t="shared" si="45"/>
        <v>0.53260356322543079</v>
      </c>
      <c r="O171">
        <v>0.53104302816763549</v>
      </c>
      <c r="P171" t="s">
        <v>327</v>
      </c>
      <c r="R171">
        <v>0.33870279783951124</v>
      </c>
      <c r="T171">
        <v>0.23122825483511189</v>
      </c>
      <c r="U171">
        <v>0.22899014149855618</v>
      </c>
    </row>
    <row r="172" spans="1:21" ht="15">
      <c r="A172" s="24">
        <v>35</v>
      </c>
      <c r="C172" s="24">
        <v>0.83556021839417494</v>
      </c>
      <c r="D172" s="24">
        <v>3.823843513415631</v>
      </c>
      <c r="E172" s="24">
        <v>411.00788206645728</v>
      </c>
      <c r="F172" s="24">
        <v>0.94245237112045288</v>
      </c>
      <c r="G172" s="24">
        <v>27.24822294960984</v>
      </c>
      <c r="H172" s="24">
        <v>20.61726665837255</v>
      </c>
      <c r="I172" s="24">
        <v>26.869901657104492</v>
      </c>
      <c r="J172" s="24">
        <v>0.73455721139907837</v>
      </c>
      <c r="K172" s="29">
        <f t="shared" si="42"/>
        <v>4.8919606721429565</v>
      </c>
      <c r="L172" s="24">
        <f t="shared" si="43"/>
        <v>297.16634816594899</v>
      </c>
      <c r="M172" s="24">
        <f t="shared" si="44"/>
        <v>6.9379547131154587E-2</v>
      </c>
      <c r="N172" s="24">
        <f t="shared" si="45"/>
        <v>0.41100788206645728</v>
      </c>
      <c r="O172">
        <v>0.41628674209750632</v>
      </c>
      <c r="P172" t="s">
        <v>328</v>
      </c>
      <c r="R172">
        <v>12</v>
      </c>
      <c r="T172">
        <v>0.20737279367321038</v>
      </c>
      <c r="U172">
        <v>0.20653885515334214</v>
      </c>
    </row>
    <row r="173" spans="1:21" ht="15">
      <c r="A173" s="24">
        <v>35</v>
      </c>
      <c r="C173" s="24">
        <v>0.88277000942486328</v>
      </c>
      <c r="D173" s="24">
        <v>4.0260660069135747</v>
      </c>
      <c r="E173" s="24">
        <v>344.74038381264415</v>
      </c>
      <c r="F173" s="24">
        <v>1.1830365657806396</v>
      </c>
      <c r="G173" s="24">
        <v>27.202972500686162</v>
      </c>
      <c r="H173" s="24">
        <v>19.832431206387259</v>
      </c>
      <c r="I173" s="24">
        <v>25.675897598266602</v>
      </c>
      <c r="J173" s="24">
        <v>0.70317947864532471</v>
      </c>
      <c r="K173" s="29">
        <f t="shared" ref="K173:K236" si="48">0.1013*42.75*EXP((37830*((G173+273.15)-298))/(298*$H$26*(G173+273.15)))</f>
        <v>4.8808104519029589</v>
      </c>
      <c r="L173" s="24">
        <f t="shared" ref="L173:L236" si="49">(A173-K173)*9.87</f>
        <v>297.27640083971778</v>
      </c>
      <c r="M173" s="24">
        <f t="shared" ref="M173:M236" si="50">H173/L173</f>
        <v>6.6713775968649094E-2</v>
      </c>
      <c r="N173" s="24">
        <f t="shared" ref="N173:N236" si="51">E173*0.001</f>
        <v>0.34474038381264416</v>
      </c>
      <c r="O173">
        <v>0.34483669463462907</v>
      </c>
      <c r="P173" t="s">
        <v>329</v>
      </c>
      <c r="R173">
        <v>3.0767613546105093E-3</v>
      </c>
      <c r="T173">
        <v>0.19177155863590681</v>
      </c>
      <c r="U173">
        <v>0.18978235456030762</v>
      </c>
    </row>
    <row r="174" spans="1:21" ht="15">
      <c r="A174" s="24">
        <v>35</v>
      </c>
      <c r="C174" s="24">
        <v>0.91751400475159217</v>
      </c>
      <c r="D174" s="24">
        <v>4.1731369112757148</v>
      </c>
      <c r="E174" s="24">
        <v>296.40867626837797</v>
      </c>
      <c r="F174" s="24">
        <v>1.4262024164199829</v>
      </c>
      <c r="G174" s="24">
        <v>27.170063083287122</v>
      </c>
      <c r="H174" s="24">
        <v>19.072768849646387</v>
      </c>
      <c r="I174" s="24">
        <v>24.571903228759766</v>
      </c>
      <c r="J174" s="24">
        <v>0.65879029035568237</v>
      </c>
      <c r="K174" s="29">
        <f t="shared" si="48"/>
        <v>4.8727150624708022</v>
      </c>
      <c r="L174" s="24">
        <f t="shared" si="49"/>
        <v>297.35630233341317</v>
      </c>
      <c r="M174" s="24">
        <f t="shared" si="50"/>
        <v>6.4141128672836709E-2</v>
      </c>
      <c r="N174" s="24">
        <f t="shared" si="51"/>
        <v>0.29640867626837797</v>
      </c>
      <c r="O174">
        <v>0.29444383295431231</v>
      </c>
      <c r="P174" t="s">
        <v>315</v>
      </c>
      <c r="R174">
        <v>0.99971160345400523</v>
      </c>
      <c r="T174">
        <v>0.17524962967610305</v>
      </c>
      <c r="U174">
        <v>0.17507211511138021</v>
      </c>
    </row>
    <row r="175" spans="1:21" ht="15">
      <c r="A175" s="24">
        <v>35</v>
      </c>
      <c r="C175" s="24">
        <v>0.9350271579258348</v>
      </c>
      <c r="D175" s="24">
        <v>4.2466723634567849</v>
      </c>
      <c r="E175" s="24">
        <v>257.167967746334</v>
      </c>
      <c r="F175" s="24">
        <v>1.6727895736694336</v>
      </c>
      <c r="G175" s="24">
        <v>27.153608374587602</v>
      </c>
      <c r="H175" s="24">
        <v>18.283463836037765</v>
      </c>
      <c r="I175" s="24">
        <v>23.476900100708008</v>
      </c>
      <c r="J175" s="24">
        <v>0.63411039113998413</v>
      </c>
      <c r="K175" s="29">
        <f t="shared" si="48"/>
        <v>4.868671740066052</v>
      </c>
      <c r="L175" s="24">
        <f t="shared" si="49"/>
        <v>297.39620992554802</v>
      </c>
      <c r="M175" s="24">
        <f t="shared" si="50"/>
        <v>6.1478469549477305E-2</v>
      </c>
      <c r="N175" s="24">
        <f t="shared" si="51"/>
        <v>0.25716796774633399</v>
      </c>
      <c r="O175">
        <v>0.25649198740092388</v>
      </c>
      <c r="T175">
        <v>0.16017630167810526</v>
      </c>
      <c r="U175">
        <v>0.1625533705456256</v>
      </c>
    </row>
    <row r="176" spans="1:21" ht="15">
      <c r="A176" s="24">
        <v>35</v>
      </c>
      <c r="C176" s="24">
        <v>0.96592396989977802</v>
      </c>
      <c r="D176" s="24">
        <v>4.3753594047736568</v>
      </c>
      <c r="E176" s="24">
        <v>231.2282548351119</v>
      </c>
      <c r="F176" s="24">
        <v>1.9168242216110229</v>
      </c>
      <c r="G176" s="24">
        <v>27.124812634363444</v>
      </c>
      <c r="H176" s="24">
        <v>17.654784408874789</v>
      </c>
      <c r="I176" s="24">
        <v>22.624904632568359</v>
      </c>
      <c r="J176" s="24">
        <v>0.63277798891067505</v>
      </c>
      <c r="K176" s="29">
        <f t="shared" si="48"/>
        <v>4.8616029330845656</v>
      </c>
      <c r="L176" s="24">
        <f t="shared" si="49"/>
        <v>297.4659790504553</v>
      </c>
      <c r="M176" s="24">
        <f t="shared" si="50"/>
        <v>5.9350600244205527E-2</v>
      </c>
      <c r="N176" s="24">
        <f t="shared" si="51"/>
        <v>0.23122825483511189</v>
      </c>
      <c r="O176">
        <v>0.22899014149855618</v>
      </c>
      <c r="T176">
        <v>0.15127441343945472</v>
      </c>
      <c r="U176">
        <v>0.15331226447687951</v>
      </c>
    </row>
    <row r="177" spans="1:21" ht="15">
      <c r="A177" s="24">
        <v>35</v>
      </c>
      <c r="C177" s="24">
        <v>0.97481170702151654</v>
      </c>
      <c r="D177" s="24">
        <v>4.4305109939094596</v>
      </c>
      <c r="E177" s="24">
        <v>207.37279367321037</v>
      </c>
      <c r="F177" s="24">
        <v>2.1642701625823975</v>
      </c>
      <c r="G177" s="24">
        <v>27.112471602838802</v>
      </c>
      <c r="H177" s="24">
        <v>16.972503872187016</v>
      </c>
      <c r="I177" s="24">
        <v>21.735906600952148</v>
      </c>
      <c r="J177" s="24">
        <v>0.59897595643997192</v>
      </c>
      <c r="K177" s="29">
        <f t="shared" si="48"/>
        <v>4.858576172547469</v>
      </c>
      <c r="L177" s="24">
        <f t="shared" si="49"/>
        <v>297.49585317695647</v>
      </c>
      <c r="M177" s="24">
        <f t="shared" si="50"/>
        <v>5.7051228415245951E-2</v>
      </c>
      <c r="N177" s="24">
        <f t="shared" si="51"/>
        <v>0.20737279367321038</v>
      </c>
      <c r="O177">
        <v>0.20653885515334214</v>
      </c>
      <c r="T177">
        <v>0.6001048021605665</v>
      </c>
      <c r="U177">
        <v>0.59996322081307218</v>
      </c>
    </row>
    <row r="178" spans="1:21" ht="15">
      <c r="A178" s="24">
        <v>35</v>
      </c>
      <c r="C178" s="24">
        <v>1.0061482846650671</v>
      </c>
      <c r="D178" s="24">
        <v>4.5591980352263315</v>
      </c>
      <c r="E178" s="24">
        <v>191.77155863590681</v>
      </c>
      <c r="F178" s="24">
        <v>2.4083173274993896</v>
      </c>
      <c r="G178" s="24">
        <v>27.083675862614644</v>
      </c>
      <c r="H178" s="24">
        <v>16.466644314939447</v>
      </c>
      <c r="I178" s="24">
        <v>21.082904815673828</v>
      </c>
      <c r="J178" s="24">
        <v>0.61878794431686401</v>
      </c>
      <c r="K178" s="29">
        <f t="shared" si="48"/>
        <v>4.8515200915883199</v>
      </c>
      <c r="L178" s="24">
        <f t="shared" si="49"/>
        <v>297.56549669602327</v>
      </c>
      <c r="M178" s="24">
        <f t="shared" si="50"/>
        <v>5.5337881904234602E-2</v>
      </c>
      <c r="N178" s="24">
        <f t="shared" si="51"/>
        <v>0.19177155863590681</v>
      </c>
      <c r="O178">
        <v>0.18978235456030762</v>
      </c>
      <c r="T178">
        <v>0.5743006246703839</v>
      </c>
      <c r="U178">
        <v>0.56777630993186723</v>
      </c>
    </row>
    <row r="179" spans="1:21" ht="15">
      <c r="A179" s="24">
        <v>35</v>
      </c>
      <c r="C179" s="24">
        <v>1.0151685943196853</v>
      </c>
      <c r="D179" s="24">
        <v>4.595965761316867</v>
      </c>
      <c r="E179" s="24">
        <v>175.24962967610304</v>
      </c>
      <c r="F179" s="24">
        <v>2.6566181182861328</v>
      </c>
      <c r="G179" s="24">
        <v>27.075448508264884</v>
      </c>
      <c r="H179" s="24">
        <v>15.861505725373091</v>
      </c>
      <c r="I179" s="24">
        <v>20.331905364990234</v>
      </c>
      <c r="J179" s="24">
        <v>0.5886458158493042</v>
      </c>
      <c r="K179" s="29">
        <f t="shared" si="48"/>
        <v>4.8495057029755184</v>
      </c>
      <c r="L179" s="24">
        <f t="shared" si="49"/>
        <v>297.58537871163162</v>
      </c>
      <c r="M179" s="24">
        <f t="shared" si="50"/>
        <v>5.330068901249118E-2</v>
      </c>
      <c r="N179" s="24">
        <f t="shared" si="51"/>
        <v>0.17524962967610305</v>
      </c>
      <c r="O179">
        <v>0.17507211511138021</v>
      </c>
      <c r="T179">
        <v>0.53428867381778489</v>
      </c>
      <c r="U179">
        <v>0.53473183019426263</v>
      </c>
    </row>
    <row r="180" spans="1:21" ht="15">
      <c r="A180" s="24">
        <v>35</v>
      </c>
      <c r="C180" s="24">
        <v>1.0151685943196853</v>
      </c>
      <c r="D180" s="24">
        <v>4.595965761316867</v>
      </c>
      <c r="E180" s="24">
        <v>160.17630167810526</v>
      </c>
      <c r="F180" s="24">
        <v>2.9066181182861328</v>
      </c>
      <c r="G180" s="24">
        <v>27.075448508264884</v>
      </c>
      <c r="H180" s="24">
        <v>15.238555465915319</v>
      </c>
      <c r="I180" s="24">
        <v>19.580905914306641</v>
      </c>
      <c r="J180" s="24">
        <v>0.59086084365844727</v>
      </c>
      <c r="K180" s="29">
        <f t="shared" si="48"/>
        <v>4.8495057029755184</v>
      </c>
      <c r="L180" s="24">
        <f t="shared" si="49"/>
        <v>297.58537871163162</v>
      </c>
      <c r="M180" s="24">
        <f t="shared" si="50"/>
        <v>5.1207339325235787E-2</v>
      </c>
      <c r="N180" s="24">
        <f t="shared" si="51"/>
        <v>0.16017630167810526</v>
      </c>
      <c r="O180">
        <v>0.1625533705456256</v>
      </c>
      <c r="T180">
        <v>0.49659727311999513</v>
      </c>
      <c r="U180">
        <v>0.50450156956756942</v>
      </c>
    </row>
    <row r="181" spans="1:21" ht="15">
      <c r="A181" s="24">
        <v>35</v>
      </c>
      <c r="C181" s="24">
        <v>1.0424252444681483</v>
      </c>
      <c r="D181" s="24">
        <v>4.7062689395884725</v>
      </c>
      <c r="E181" s="24">
        <v>151.27441343945472</v>
      </c>
      <c r="F181" s="24">
        <v>3.151524543762207</v>
      </c>
      <c r="G181" s="24">
        <v>27.050766445215608</v>
      </c>
      <c r="H181" s="24">
        <v>14.841516531943803</v>
      </c>
      <c r="I181" s="24">
        <v>19.098897933959961</v>
      </c>
      <c r="J181" s="24">
        <v>0.59897845983505249</v>
      </c>
      <c r="K181" s="29">
        <f t="shared" si="48"/>
        <v>4.8434668925684807</v>
      </c>
      <c r="L181" s="24">
        <f t="shared" si="49"/>
        <v>297.64498177034909</v>
      </c>
      <c r="M181" s="24">
        <f t="shared" si="50"/>
        <v>4.9863150534803641E-2</v>
      </c>
      <c r="N181" s="24">
        <f t="shared" si="51"/>
        <v>0.15127441343945472</v>
      </c>
      <c r="O181">
        <v>0.15331226447687951</v>
      </c>
      <c r="T181">
        <v>0.39698465650146547</v>
      </c>
      <c r="U181">
        <v>0.40100863616160687</v>
      </c>
    </row>
    <row r="182" spans="1:21" ht="15">
      <c r="K182" s="29"/>
      <c r="L182" s="24"/>
      <c r="M182" s="24"/>
      <c r="N182" s="24"/>
      <c r="T182">
        <v>0.33565605439167728</v>
      </c>
      <c r="U182">
        <v>0.33419954702185711</v>
      </c>
    </row>
    <row r="183" spans="1:21" ht="15">
      <c r="A183">
        <v>40</v>
      </c>
      <c r="C183" s="24">
        <v>0.73029539713939484</v>
      </c>
      <c r="D183" s="24">
        <v>3.3458630742386766</v>
      </c>
      <c r="E183" s="24">
        <v>600.10480216056646</v>
      </c>
      <c r="F183" s="24">
        <v>0.56479454040527344</v>
      </c>
      <c r="G183" s="24">
        <v>27.355178556156716</v>
      </c>
      <c r="H183" s="24">
        <v>24.36458732251954</v>
      </c>
      <c r="I183" s="24">
        <v>33.419883728027344</v>
      </c>
      <c r="J183" s="24">
        <v>0.85879474878311157</v>
      </c>
      <c r="K183" s="29">
        <f t="shared" si="48"/>
        <v>4.9184036662236261</v>
      </c>
      <c r="L183" s="24">
        <f t="shared" si="49"/>
        <v>346.25535581437282</v>
      </c>
      <c r="M183" s="24">
        <f t="shared" si="50"/>
        <v>7.0365950774148811E-2</v>
      </c>
      <c r="N183" s="24">
        <f t="shared" si="51"/>
        <v>0.6001048021605665</v>
      </c>
      <c r="O183">
        <v>0.59996322081307218</v>
      </c>
      <c r="P183" t="s">
        <v>313</v>
      </c>
      <c r="Q183">
        <v>0.19795017571231302</v>
      </c>
      <c r="T183">
        <v>0.29048991390343448</v>
      </c>
      <c r="U183">
        <v>0.286928122499296</v>
      </c>
    </row>
    <row r="184" spans="1:21" ht="15">
      <c r="A184" s="24">
        <v>40</v>
      </c>
      <c r="C184" s="24">
        <v>0.7511511588180253</v>
      </c>
      <c r="D184" s="24">
        <v>3.4561662525102821</v>
      </c>
      <c r="E184" s="24">
        <v>574.30062467038385</v>
      </c>
      <c r="F184" s="24">
        <v>0.60962784290313721</v>
      </c>
      <c r="G184" s="24">
        <v>27.330496493107436</v>
      </c>
      <c r="H184" s="24">
        <v>24.23895331920475</v>
      </c>
      <c r="I184" s="24">
        <v>33.159893035888672</v>
      </c>
      <c r="J184" s="24">
        <v>0.87047702074050903</v>
      </c>
      <c r="K184" s="29">
        <f t="shared" si="48"/>
        <v>4.9122904515951733</v>
      </c>
      <c r="L184" s="24">
        <f t="shared" si="49"/>
        <v>346.31569324275557</v>
      </c>
      <c r="M184" s="24">
        <f t="shared" si="50"/>
        <v>6.9990918090489379E-2</v>
      </c>
      <c r="N184" s="24">
        <f t="shared" si="51"/>
        <v>0.5743006246703839</v>
      </c>
      <c r="O184">
        <v>0.56777630993186723</v>
      </c>
      <c r="P184" t="s">
        <v>314</v>
      </c>
      <c r="Q184">
        <v>29.10909234480167</v>
      </c>
      <c r="T184">
        <v>0.25468166262450248</v>
      </c>
      <c r="U184">
        <v>0.25159009874522842</v>
      </c>
    </row>
    <row r="185" spans="1:21" ht="15">
      <c r="A185" s="24">
        <v>40</v>
      </c>
      <c r="C185" s="24">
        <v>0.75533284536777079</v>
      </c>
      <c r="D185" s="24">
        <v>3.4745501155555494</v>
      </c>
      <c r="E185" s="24">
        <v>534.28867381778491</v>
      </c>
      <c r="F185" s="24">
        <v>0.65876734256744385</v>
      </c>
      <c r="G185" s="24">
        <v>27.326382815932554</v>
      </c>
      <c r="H185" s="24">
        <v>24.013072193841374</v>
      </c>
      <c r="I185" s="24">
        <v>32.715896606445312</v>
      </c>
      <c r="J185" s="24">
        <v>0.83268254995346069</v>
      </c>
      <c r="K185" s="29">
        <f t="shared" si="48"/>
        <v>4.9112722239060105</v>
      </c>
      <c r="L185" s="24">
        <f t="shared" si="49"/>
        <v>346.32574315004763</v>
      </c>
      <c r="M185" s="24">
        <f t="shared" si="50"/>
        <v>6.9336665462485042E-2</v>
      </c>
      <c r="N185" s="24">
        <f t="shared" si="51"/>
        <v>0.53428867381778489</v>
      </c>
      <c r="O185">
        <v>0.53473183019426263</v>
      </c>
      <c r="P185" t="s">
        <v>312</v>
      </c>
      <c r="Q185">
        <v>6.8384108196842819E-2</v>
      </c>
      <c r="T185">
        <v>0.22373113678523873</v>
      </c>
      <c r="U185">
        <v>0.22372473476529442</v>
      </c>
    </row>
    <row r="186" spans="1:21" ht="15">
      <c r="A186" s="24">
        <v>40</v>
      </c>
      <c r="C186" s="24">
        <v>0.75533284536777079</v>
      </c>
      <c r="D186" s="24">
        <v>3.4745501155555494</v>
      </c>
      <c r="E186" s="24">
        <v>496.59727311999512</v>
      </c>
      <c r="F186" s="24">
        <v>0.7087673544883728</v>
      </c>
      <c r="G186" s="24">
        <v>27.326382815932554</v>
      </c>
      <c r="H186" s="24">
        <v>23.767073382936029</v>
      </c>
      <c r="I186" s="24">
        <v>32.243888854980469</v>
      </c>
      <c r="J186" s="24">
        <v>0.77809017896652222</v>
      </c>
      <c r="K186" s="29">
        <f t="shared" si="48"/>
        <v>4.9112722239060105</v>
      </c>
      <c r="L186" s="24">
        <f t="shared" si="49"/>
        <v>346.32574315004763</v>
      </c>
      <c r="M186" s="24">
        <f t="shared" si="50"/>
        <v>6.8626354965009947E-2</v>
      </c>
      <c r="N186" s="24">
        <f t="shared" si="51"/>
        <v>0.49659727311999513</v>
      </c>
      <c r="O186">
        <v>0.50450156956756942</v>
      </c>
      <c r="P186" t="s">
        <v>327</v>
      </c>
      <c r="R186">
        <v>0.32729577125292725</v>
      </c>
      <c r="T186">
        <v>0.20549021584636604</v>
      </c>
      <c r="U186">
        <v>0.20374190573638232</v>
      </c>
    </row>
    <row r="187" spans="1:21" ht="15">
      <c r="A187" s="24">
        <v>40</v>
      </c>
      <c r="C187" s="24">
        <v>0.81005754905946747</v>
      </c>
      <c r="D187" s="24">
        <v>3.7135403351440273</v>
      </c>
      <c r="E187" s="24">
        <v>396.98465650146545</v>
      </c>
      <c r="F187" s="24">
        <v>0.9475974440574646</v>
      </c>
      <c r="G187" s="24">
        <v>27.272905012659116</v>
      </c>
      <c r="H187" s="24">
        <v>22.910324218698616</v>
      </c>
      <c r="I187" s="24">
        <v>30.646900177001953</v>
      </c>
      <c r="J187" s="24">
        <v>0.71053862571716309</v>
      </c>
      <c r="K187" s="29">
        <f t="shared" si="48"/>
        <v>4.89805192403304</v>
      </c>
      <c r="L187" s="24">
        <f t="shared" si="49"/>
        <v>346.45622750979385</v>
      </c>
      <c r="M187" s="24">
        <f t="shared" si="50"/>
        <v>6.6127615552966132E-2</v>
      </c>
      <c r="N187" s="24">
        <f t="shared" si="51"/>
        <v>0.39698465650146547</v>
      </c>
      <c r="O187">
        <v>0.40100863616160687</v>
      </c>
      <c r="P187" t="s">
        <v>328</v>
      </c>
      <c r="R187">
        <v>12</v>
      </c>
      <c r="T187">
        <v>0.18841242585105919</v>
      </c>
      <c r="U187">
        <v>0.18712152121392372</v>
      </c>
    </row>
    <row r="188" spans="1:21" ht="15">
      <c r="A188" s="24">
        <v>40</v>
      </c>
      <c r="C188" s="24">
        <v>0.86123438120389528</v>
      </c>
      <c r="D188" s="24">
        <v>3.9341466916872374</v>
      </c>
      <c r="E188" s="24">
        <v>335.65605439167729</v>
      </c>
      <c r="F188" s="24">
        <v>1.1873137950897217</v>
      </c>
      <c r="G188" s="24">
        <v>27.22354088656056</v>
      </c>
      <c r="H188" s="24">
        <v>22.147625747744129</v>
      </c>
      <c r="I188" s="24">
        <v>29.30589485168457</v>
      </c>
      <c r="J188" s="24">
        <v>0.67221969366073608</v>
      </c>
      <c r="K188" s="29">
        <f t="shared" si="48"/>
        <v>4.885875996192298</v>
      </c>
      <c r="L188" s="24">
        <f t="shared" si="49"/>
        <v>346.57640391758201</v>
      </c>
      <c r="M188" s="24">
        <f t="shared" si="50"/>
        <v>6.3904020866380071E-2</v>
      </c>
      <c r="N188" s="24">
        <f t="shared" si="51"/>
        <v>0.33565605439167728</v>
      </c>
      <c r="O188">
        <v>0.33419954702185711</v>
      </c>
      <c r="P188" t="s">
        <v>329</v>
      </c>
      <c r="R188">
        <v>3.7687669145872616E-3</v>
      </c>
      <c r="T188">
        <v>0.17373650699432094</v>
      </c>
      <c r="U188">
        <v>0.17343683930401604</v>
      </c>
    </row>
    <row r="189" spans="1:21" ht="15">
      <c r="A189" s="24">
        <v>40</v>
      </c>
      <c r="C189" s="24">
        <v>0.90009528567253816</v>
      </c>
      <c r="D189" s="24">
        <v>4.0996014590946448</v>
      </c>
      <c r="E189" s="24">
        <v>290.48991390343446</v>
      </c>
      <c r="F189" s="24">
        <v>1.4296181201934814</v>
      </c>
      <c r="G189" s="24">
        <v>27.186517791986642</v>
      </c>
      <c r="H189" s="24">
        <v>21.399581984681983</v>
      </c>
      <c r="I189" s="24">
        <v>28.060892105102539</v>
      </c>
      <c r="J189" s="24">
        <v>0.62564468383789063</v>
      </c>
      <c r="K189" s="29">
        <f t="shared" si="48"/>
        <v>4.8767612991642624</v>
      </c>
      <c r="L189" s="24">
        <f t="shared" si="49"/>
        <v>346.66636597724869</v>
      </c>
      <c r="M189" s="24">
        <f t="shared" si="50"/>
        <v>6.1729616959974747E-2</v>
      </c>
      <c r="N189" s="24">
        <f t="shared" si="51"/>
        <v>0.29048991390343448</v>
      </c>
      <c r="O189">
        <v>0.286928122499296</v>
      </c>
      <c r="P189" t="s">
        <v>315</v>
      </c>
      <c r="R189">
        <v>0.99950907680208922</v>
      </c>
      <c r="T189">
        <v>0.16017630167810526</v>
      </c>
      <c r="U189">
        <v>0.16176558223395254</v>
      </c>
    </row>
    <row r="190" spans="1:21" ht="15">
      <c r="A190" s="24">
        <v>40</v>
      </c>
      <c r="C190" s="24">
        <v>0.92625849907946878</v>
      </c>
      <c r="D190" s="24">
        <v>4.2099046373662494</v>
      </c>
      <c r="E190" s="24">
        <v>254.68166262450248</v>
      </c>
      <c r="F190" s="24">
        <v>1.6744956970214844</v>
      </c>
      <c r="G190" s="24">
        <v>27.161835728937362</v>
      </c>
      <c r="H190" s="24">
        <v>20.641969018061936</v>
      </c>
      <c r="I190" s="24">
        <v>26.863897323608398</v>
      </c>
      <c r="J190" s="24">
        <v>0.59683364629745483</v>
      </c>
      <c r="K190" s="29">
        <f t="shared" si="48"/>
        <v>4.8706930370920967</v>
      </c>
      <c r="L190" s="24">
        <f t="shared" si="49"/>
        <v>346.72625972390097</v>
      </c>
      <c r="M190" s="24">
        <f t="shared" si="50"/>
        <v>5.9533907338022767E-2</v>
      </c>
      <c r="N190" s="24">
        <f t="shared" si="51"/>
        <v>0.25468166262450248</v>
      </c>
      <c r="O190">
        <v>0.25159009874522842</v>
      </c>
      <c r="T190">
        <v>0.14749054919608157</v>
      </c>
      <c r="U190">
        <v>0.15164814489783085</v>
      </c>
    </row>
    <row r="191" spans="1:21" ht="15">
      <c r="A191" s="24">
        <v>40</v>
      </c>
      <c r="C191" s="24">
        <v>0.9350271579258348</v>
      </c>
      <c r="D191" s="24">
        <v>4.2466723634567849</v>
      </c>
      <c r="E191" s="24">
        <v>223.73113678523873</v>
      </c>
      <c r="F191" s="24">
        <v>1.9227895736694336</v>
      </c>
      <c r="G191" s="24">
        <v>27.153608374587602</v>
      </c>
      <c r="H191" s="24">
        <v>19.824379204838952</v>
      </c>
      <c r="I191" s="24">
        <v>25.638898849487305</v>
      </c>
      <c r="J191" s="24">
        <v>0.56936883926391602</v>
      </c>
      <c r="K191" s="29">
        <f t="shared" si="48"/>
        <v>4.868671740066052</v>
      </c>
      <c r="L191" s="24">
        <f t="shared" si="49"/>
        <v>346.7462099255481</v>
      </c>
      <c r="M191" s="24">
        <f t="shared" si="50"/>
        <v>5.7172590896078027E-2</v>
      </c>
      <c r="N191" s="24">
        <f t="shared" si="51"/>
        <v>0.22373113678523873</v>
      </c>
      <c r="O191">
        <v>0.22372473476529442</v>
      </c>
      <c r="T191">
        <v>0.57092225850823752</v>
      </c>
      <c r="U191">
        <v>0.56812002849129417</v>
      </c>
    </row>
    <row r="192" spans="1:21" ht="15">
      <c r="A192" s="24">
        <v>40</v>
      </c>
      <c r="C192" s="24">
        <v>0.97036423983484033</v>
      </c>
      <c r="D192" s="24">
        <v>4.3937432678189241</v>
      </c>
      <c r="E192" s="24">
        <v>205.49021584636603</v>
      </c>
      <c r="F192" s="24">
        <v>2.1659727096557617</v>
      </c>
      <c r="G192" s="24">
        <v>27.120698957188566</v>
      </c>
      <c r="H192" s="24">
        <v>19.259437531263917</v>
      </c>
      <c r="I192" s="24">
        <v>24.809900283813477</v>
      </c>
      <c r="J192" s="24">
        <v>0.5648643970489502</v>
      </c>
      <c r="K192" s="29">
        <f t="shared" si="48"/>
        <v>4.860593831100668</v>
      </c>
      <c r="L192" s="24">
        <f t="shared" si="49"/>
        <v>346.82593888703639</v>
      </c>
      <c r="M192" s="24">
        <f t="shared" si="50"/>
        <v>5.5530556892795867E-2</v>
      </c>
      <c r="N192" s="24">
        <f t="shared" si="51"/>
        <v>0.20549021584636604</v>
      </c>
      <c r="O192">
        <v>0.20374190573638232</v>
      </c>
      <c r="T192">
        <v>0.53242086384183795</v>
      </c>
      <c r="U192">
        <v>0.53522616932668021</v>
      </c>
    </row>
    <row r="193" spans="1:21" ht="15">
      <c r="A193" s="24">
        <v>40</v>
      </c>
      <c r="C193" s="24">
        <v>0.9881981274902838</v>
      </c>
      <c r="D193" s="24">
        <v>4.4856625830452614</v>
      </c>
      <c r="E193" s="24">
        <v>188.4124258510592</v>
      </c>
      <c r="F193" s="24">
        <v>2.4117178916931152</v>
      </c>
      <c r="G193" s="24">
        <v>27.100130571314164</v>
      </c>
      <c r="H193" s="24">
        <v>18.653579799869604</v>
      </c>
      <c r="I193" s="24">
        <v>23.95390510559082</v>
      </c>
      <c r="J193" s="24">
        <v>0.56029069423675537</v>
      </c>
      <c r="K193" s="29">
        <f t="shared" si="48"/>
        <v>4.8555510478432149</v>
      </c>
      <c r="L193" s="24">
        <f t="shared" si="49"/>
        <v>346.87571115778746</v>
      </c>
      <c r="M193" s="24">
        <f t="shared" si="50"/>
        <v>5.3775975658856175E-2</v>
      </c>
      <c r="N193" s="24">
        <f t="shared" si="51"/>
        <v>0.18841242585105919</v>
      </c>
      <c r="O193">
        <v>0.18712152121392372</v>
      </c>
      <c r="T193">
        <v>0.51330212712225654</v>
      </c>
      <c r="U193">
        <v>0.50921833853895282</v>
      </c>
    </row>
    <row r="194" spans="1:21" ht="15">
      <c r="A194" s="24">
        <v>40</v>
      </c>
      <c r="C194" s="24">
        <v>1.0061482846650671</v>
      </c>
      <c r="D194" s="24">
        <v>4.5591980352263315</v>
      </c>
      <c r="E194" s="24">
        <v>173.73650699432093</v>
      </c>
      <c r="F194" s="24">
        <v>2.6583173274993896</v>
      </c>
      <c r="G194" s="24">
        <v>27.083675862614644</v>
      </c>
      <c r="H194" s="24">
        <v>18.065308025668511</v>
      </c>
      <c r="I194" s="24">
        <v>23.147895812988281</v>
      </c>
      <c r="J194" s="24">
        <v>0.54500883817672729</v>
      </c>
      <c r="K194" s="29">
        <f t="shared" si="48"/>
        <v>4.8515200915883199</v>
      </c>
      <c r="L194" s="24">
        <f t="shared" si="49"/>
        <v>346.91549669602324</v>
      </c>
      <c r="M194" s="24">
        <f t="shared" si="50"/>
        <v>5.2074087775611316E-2</v>
      </c>
      <c r="N194" s="24">
        <f t="shared" si="51"/>
        <v>0.17373650699432094</v>
      </c>
      <c r="O194">
        <v>0.17343683930401604</v>
      </c>
      <c r="T194">
        <v>0.47735322602688668</v>
      </c>
      <c r="U194">
        <v>0.48146023054776627</v>
      </c>
    </row>
    <row r="195" spans="1:21" ht="15">
      <c r="A195" s="24">
        <v>40</v>
      </c>
      <c r="C195" s="24">
        <v>1.0151685943196853</v>
      </c>
      <c r="D195" s="24">
        <v>4.595965761316867</v>
      </c>
      <c r="E195" s="24">
        <v>160.17630167810526</v>
      </c>
      <c r="F195" s="24">
        <v>2.9066181182861328</v>
      </c>
      <c r="G195" s="24">
        <v>27.075448508264884</v>
      </c>
      <c r="H195" s="24">
        <v>17.455246117282144</v>
      </c>
      <c r="I195" s="24">
        <v>22.338905334472656</v>
      </c>
      <c r="J195" s="24">
        <v>0.54240787029266357</v>
      </c>
      <c r="K195" s="29">
        <f t="shared" si="48"/>
        <v>4.8495057029755184</v>
      </c>
      <c r="L195" s="24">
        <f t="shared" si="49"/>
        <v>346.93537871163159</v>
      </c>
      <c r="M195" s="24">
        <f t="shared" si="50"/>
        <v>5.0312672585031255E-2</v>
      </c>
      <c r="N195" s="24">
        <f t="shared" si="51"/>
        <v>0.16017630167810526</v>
      </c>
      <c r="O195">
        <v>0.16176558223395254</v>
      </c>
      <c r="T195">
        <v>0.38081220334757759</v>
      </c>
      <c r="U195">
        <v>0.38511094125847184</v>
      </c>
    </row>
    <row r="196" spans="1:21" ht="15">
      <c r="A196" s="24">
        <v>40</v>
      </c>
      <c r="C196" s="24">
        <v>1.0151685943196853</v>
      </c>
      <c r="D196" s="24">
        <v>4.595965761316867</v>
      </c>
      <c r="E196" s="24">
        <v>147.49054919608156</v>
      </c>
      <c r="F196" s="24">
        <v>3.1566181182861328</v>
      </c>
      <c r="G196" s="24">
        <v>27.075448508264884</v>
      </c>
      <c r="H196" s="24">
        <v>16.817372108351513</v>
      </c>
      <c r="I196" s="24">
        <v>21.519901275634766</v>
      </c>
      <c r="J196" s="24">
        <v>0.54022538661956787</v>
      </c>
      <c r="K196" s="29">
        <f t="shared" si="48"/>
        <v>4.8495057029755184</v>
      </c>
      <c r="L196" s="24">
        <f t="shared" si="49"/>
        <v>346.93537871163159</v>
      </c>
      <c r="M196" s="24">
        <f t="shared" si="50"/>
        <v>4.8474076558014875E-2</v>
      </c>
      <c r="N196" s="24">
        <f t="shared" si="51"/>
        <v>0.14749054919608157</v>
      </c>
      <c r="O196">
        <v>0.15164814489783085</v>
      </c>
      <c r="T196">
        <v>0.32483926512792421</v>
      </c>
      <c r="U196">
        <v>0.32329374269085714</v>
      </c>
    </row>
    <row r="197" spans="1:21" ht="15">
      <c r="K197" s="29"/>
      <c r="L197" s="24"/>
      <c r="M197" s="24"/>
      <c r="N197" s="24"/>
      <c r="T197">
        <v>0.27873515941183935</v>
      </c>
      <c r="U197">
        <v>0.27813346328389654</v>
      </c>
    </row>
    <row r="198" spans="1:21" ht="15">
      <c r="A198">
        <v>45</v>
      </c>
      <c r="C198" s="24">
        <v>0.7012424039779217</v>
      </c>
      <c r="D198" s="24">
        <v>3.2171760329218047</v>
      </c>
      <c r="E198" s="24">
        <v>570.92225850823752</v>
      </c>
      <c r="F198" s="24">
        <v>0.57083064317703247</v>
      </c>
      <c r="G198" s="24">
        <v>27.383974296380874</v>
      </c>
      <c r="H198" s="24">
        <v>26.24603909413819</v>
      </c>
      <c r="I198" s="24">
        <v>37.549903869628906</v>
      </c>
      <c r="J198" s="24">
        <v>0.88245666027069092</v>
      </c>
      <c r="K198" s="29">
        <f t="shared" si="48"/>
        <v>4.9255440942155593</v>
      </c>
      <c r="L198" s="24">
        <f t="shared" si="49"/>
        <v>395.53487979009242</v>
      </c>
      <c r="M198" s="24">
        <f t="shared" si="50"/>
        <v>6.6355814455773862E-2</v>
      </c>
      <c r="N198" s="24">
        <f t="shared" si="51"/>
        <v>0.57092225850823752</v>
      </c>
      <c r="O198">
        <v>0.56812002849129417</v>
      </c>
      <c r="P198" t="s">
        <v>313</v>
      </c>
      <c r="Q198">
        <v>0.20517140298163614</v>
      </c>
      <c r="T198">
        <v>0.24725241836216391</v>
      </c>
      <c r="U198">
        <v>0.24549749114365002</v>
      </c>
    </row>
    <row r="199" spans="1:21" ht="15">
      <c r="A199" s="24">
        <v>45</v>
      </c>
      <c r="C199" s="24">
        <v>0.70538278672706478</v>
      </c>
      <c r="D199" s="24">
        <v>3.2539437590123392</v>
      </c>
      <c r="E199" s="24">
        <v>532.4208638418379</v>
      </c>
      <c r="F199" s="24">
        <v>0.61910516023635864</v>
      </c>
      <c r="G199" s="24">
        <v>27.375746942031114</v>
      </c>
      <c r="H199" s="24">
        <v>26.046435039810632</v>
      </c>
      <c r="I199" s="24">
        <v>37.0718994140625</v>
      </c>
      <c r="J199" s="24">
        <v>0.84554451704025269</v>
      </c>
      <c r="K199" s="29">
        <f t="shared" si="48"/>
        <v>4.9235030544748239</v>
      </c>
      <c r="L199" s="24">
        <f t="shared" si="49"/>
        <v>395.55502485233347</v>
      </c>
      <c r="M199" s="24">
        <f t="shared" si="50"/>
        <v>6.5847817378970594E-2</v>
      </c>
      <c r="N199" s="24">
        <f t="shared" si="51"/>
        <v>0.53242086384183795</v>
      </c>
      <c r="O199">
        <v>0.53522616932668021</v>
      </c>
      <c r="P199" t="s">
        <v>314</v>
      </c>
      <c r="Q199">
        <v>28.505772484016116</v>
      </c>
      <c r="T199">
        <v>0.22373113678523873</v>
      </c>
      <c r="U199">
        <v>0.22077091983356439</v>
      </c>
    </row>
    <row r="200" spans="1:21" ht="15">
      <c r="A200" s="24">
        <v>45</v>
      </c>
      <c r="C200" s="24">
        <v>0.73029539713939484</v>
      </c>
      <c r="D200" s="24">
        <v>3.3642469372839439</v>
      </c>
      <c r="E200" s="24">
        <v>513.30212712225648</v>
      </c>
      <c r="F200" s="24">
        <v>0.66393297910690308</v>
      </c>
      <c r="G200" s="24">
        <v>27.351064878981834</v>
      </c>
      <c r="H200" s="24">
        <v>25.938176380416369</v>
      </c>
      <c r="I200" s="24">
        <v>36.810901641845703</v>
      </c>
      <c r="J200" s="24">
        <v>0.85339117050170898</v>
      </c>
      <c r="K200" s="29">
        <f t="shared" si="48"/>
        <v>4.9173843388270324</v>
      </c>
      <c r="L200" s="24">
        <f t="shared" si="49"/>
        <v>395.61541657577715</v>
      </c>
      <c r="M200" s="24">
        <f t="shared" si="50"/>
        <v>6.5564119328115483E-2</v>
      </c>
      <c r="N200" s="24">
        <f t="shared" si="51"/>
        <v>0.51330212712225654</v>
      </c>
      <c r="O200">
        <v>0.50921833853895282</v>
      </c>
      <c r="P200" t="s">
        <v>312</v>
      </c>
      <c r="Q200">
        <v>6.8009773042140398E-2</v>
      </c>
      <c r="T200">
        <v>0.20267176598953821</v>
      </c>
      <c r="U200">
        <v>0.20072548278910943</v>
      </c>
    </row>
    <row r="201" spans="1:21" ht="15">
      <c r="A201" s="24">
        <v>45</v>
      </c>
      <c r="C201" s="24">
        <v>0.73029539713939484</v>
      </c>
      <c r="D201" s="24">
        <v>3.3642469372839439</v>
      </c>
      <c r="E201" s="24">
        <v>477.35322602688666</v>
      </c>
      <c r="F201" s="24">
        <v>0.71393299102783203</v>
      </c>
      <c r="G201" s="24">
        <v>27.351064878981834</v>
      </c>
      <c r="H201" s="24">
        <v>25.704661171762108</v>
      </c>
      <c r="I201" s="24">
        <v>36.27288818359375</v>
      </c>
      <c r="J201" s="24">
        <v>0.79908108711242676</v>
      </c>
      <c r="K201" s="29">
        <f t="shared" si="48"/>
        <v>4.9173843388270324</v>
      </c>
      <c r="L201" s="24">
        <f t="shared" si="49"/>
        <v>395.61541657577715</v>
      </c>
      <c r="M201" s="24">
        <f t="shared" si="50"/>
        <v>6.4973861216650983E-2</v>
      </c>
      <c r="N201" s="24">
        <f t="shared" si="51"/>
        <v>0.47735322602688668</v>
      </c>
      <c r="O201">
        <v>0.48146023054776627</v>
      </c>
      <c r="P201" t="s">
        <v>327</v>
      </c>
      <c r="R201">
        <v>0.31534274352466574</v>
      </c>
      <c r="T201">
        <v>0.18506253351860344</v>
      </c>
      <c r="U201">
        <v>0.18449044040620333</v>
      </c>
    </row>
    <row r="202" spans="1:21" ht="15">
      <c r="A202" s="24">
        <v>45</v>
      </c>
      <c r="C202" s="24">
        <v>0.78050523759319224</v>
      </c>
      <c r="D202" s="24">
        <v>3.5848532938271545</v>
      </c>
      <c r="E202" s="24">
        <v>380.81220334757757</v>
      </c>
      <c r="F202" s="24">
        <v>0.95360821485519409</v>
      </c>
      <c r="G202" s="24">
        <v>27.301700752883278</v>
      </c>
      <c r="H202" s="24">
        <v>24.863061927888879</v>
      </c>
      <c r="I202" s="24">
        <v>34.418899536132813</v>
      </c>
      <c r="J202" s="24">
        <v>0.70615494251251221</v>
      </c>
      <c r="K202" s="29">
        <f t="shared" si="48"/>
        <v>4.9051667037561426</v>
      </c>
      <c r="L202" s="24">
        <f t="shared" si="49"/>
        <v>395.73600463392683</v>
      </c>
      <c r="M202" s="24">
        <f t="shared" si="50"/>
        <v>6.2827394113124227E-2</v>
      </c>
      <c r="N202" s="24">
        <f t="shared" si="51"/>
        <v>0.38081220334757759</v>
      </c>
      <c r="O202">
        <v>0.38511094125847184</v>
      </c>
      <c r="P202" t="s">
        <v>328</v>
      </c>
      <c r="R202">
        <v>12</v>
      </c>
      <c r="T202">
        <v>0.17071591996094862</v>
      </c>
      <c r="U202">
        <v>0.17128678571554046</v>
      </c>
    </row>
    <row r="203" spans="1:21" ht="15">
      <c r="A203" s="24">
        <v>45</v>
      </c>
      <c r="C203" s="24">
        <v>0.83556021839417494</v>
      </c>
      <c r="D203" s="24">
        <v>3.823843513415631</v>
      </c>
      <c r="E203" s="24">
        <v>324.83926512792419</v>
      </c>
      <c r="F203" s="24">
        <v>1.1924523115158081</v>
      </c>
      <c r="G203" s="24">
        <v>27.24822294960984</v>
      </c>
      <c r="H203" s="24">
        <v>24.149756021715664</v>
      </c>
      <c r="I203" s="24">
        <v>32.950897216796875</v>
      </c>
      <c r="J203" s="24">
        <v>0.6612926721572876</v>
      </c>
      <c r="K203" s="29">
        <f t="shared" si="48"/>
        <v>4.8919606721429565</v>
      </c>
      <c r="L203" s="24">
        <f t="shared" si="49"/>
        <v>395.86634816594898</v>
      </c>
      <c r="M203" s="24">
        <f t="shared" si="50"/>
        <v>6.1004821787963591E-2</v>
      </c>
      <c r="N203" s="24">
        <f t="shared" si="51"/>
        <v>0.32483926512792421</v>
      </c>
      <c r="O203">
        <v>0.32329374269085714</v>
      </c>
      <c r="P203" t="s">
        <v>329</v>
      </c>
      <c r="R203">
        <v>2.8798413271195994E-3</v>
      </c>
      <c r="T203">
        <v>0.15948898214618634</v>
      </c>
      <c r="U203">
        <v>0.16057120727044166</v>
      </c>
    </row>
    <row r="204" spans="1:21" ht="15">
      <c r="A204" s="24">
        <v>45</v>
      </c>
      <c r="C204" s="24">
        <v>0.86553062788129864</v>
      </c>
      <c r="D204" s="24">
        <v>3.9525305547325047</v>
      </c>
      <c r="E204" s="24">
        <v>278.73515941183933</v>
      </c>
      <c r="F204" s="24">
        <v>1.4364579916000366</v>
      </c>
      <c r="G204" s="24">
        <v>27.219427209385678</v>
      </c>
      <c r="H204" s="24">
        <v>23.352099586773136</v>
      </c>
      <c r="I204" s="24">
        <v>31.421895980834961</v>
      </c>
      <c r="J204" s="24">
        <v>0.60626018047332764</v>
      </c>
      <c r="K204" s="29">
        <f t="shared" si="48"/>
        <v>4.8848625224442888</v>
      </c>
      <c r="L204" s="24">
        <f t="shared" si="49"/>
        <v>395.93640690347485</v>
      </c>
      <c r="M204" s="24">
        <f t="shared" si="50"/>
        <v>5.897941987554111E-2</v>
      </c>
      <c r="N204" s="24">
        <f t="shared" si="51"/>
        <v>0.27873515941183935</v>
      </c>
      <c r="O204">
        <v>0.27813346328389654</v>
      </c>
      <c r="P204" t="s">
        <v>315</v>
      </c>
      <c r="R204">
        <v>0.99966789966981806</v>
      </c>
      <c r="T204">
        <v>0.14749054919608157</v>
      </c>
      <c r="U204">
        <v>0.15089200453391838</v>
      </c>
    </row>
    <row r="205" spans="1:21" ht="15">
      <c r="A205" s="24">
        <v>45</v>
      </c>
      <c r="C205" s="24">
        <v>0.90009528567253816</v>
      </c>
      <c r="D205" s="24">
        <v>4.0996014590946448</v>
      </c>
      <c r="E205" s="24">
        <v>247.25241836216389</v>
      </c>
      <c r="F205" s="24">
        <v>1.6796181201934814</v>
      </c>
      <c r="G205" s="24">
        <v>27.186517791986642</v>
      </c>
      <c r="H205" s="24">
        <v>22.65137950255405</v>
      </c>
      <c r="I205" s="24">
        <v>30.151895523071289</v>
      </c>
      <c r="J205" s="24">
        <v>0.58447259664535522</v>
      </c>
      <c r="K205" s="29">
        <f t="shared" si="48"/>
        <v>4.8767612991642624</v>
      </c>
      <c r="L205" s="24">
        <f t="shared" si="49"/>
        <v>396.01636597724865</v>
      </c>
      <c r="M205" s="24">
        <f t="shared" si="50"/>
        <v>5.7198089393748396E-2</v>
      </c>
      <c r="N205" s="24">
        <f t="shared" si="51"/>
        <v>0.24725241836216391</v>
      </c>
      <c r="O205">
        <v>0.24549749114365002</v>
      </c>
      <c r="T205">
        <v>0.53027346062022185</v>
      </c>
      <c r="U205">
        <v>0.53428947748153965</v>
      </c>
    </row>
    <row r="206" spans="1:21" ht="15">
      <c r="A206" s="24">
        <v>45</v>
      </c>
      <c r="C206" s="24">
        <v>0.9350271579258348</v>
      </c>
      <c r="D206" s="24">
        <v>4.2466723634567849</v>
      </c>
      <c r="E206" s="24">
        <v>223.73113678523873</v>
      </c>
      <c r="F206" s="24">
        <v>1.9227895736694336</v>
      </c>
      <c r="G206" s="24">
        <v>27.153608374587602</v>
      </c>
      <c r="H206" s="24">
        <v>22.015452361812219</v>
      </c>
      <c r="I206" s="24">
        <v>29.051900863647461</v>
      </c>
      <c r="J206" s="24">
        <v>0.55836778879165649</v>
      </c>
      <c r="K206" s="29">
        <f t="shared" si="48"/>
        <v>4.868671740066052</v>
      </c>
      <c r="L206" s="24">
        <f t="shared" si="49"/>
        <v>396.09620992554807</v>
      </c>
      <c r="M206" s="24">
        <f t="shared" si="50"/>
        <v>5.5581073007364389E-2</v>
      </c>
      <c r="N206" s="24">
        <f t="shared" si="51"/>
        <v>0.22373113678523873</v>
      </c>
      <c r="O206">
        <v>0.22077091983356439</v>
      </c>
      <c r="T206">
        <v>0.51010576072806535</v>
      </c>
      <c r="U206">
        <v>0.50806331481067846</v>
      </c>
    </row>
    <row r="207" spans="1:21" ht="15">
      <c r="A207" s="24">
        <v>45</v>
      </c>
      <c r="C207" s="24">
        <v>0.95706367068518905</v>
      </c>
      <c r="D207" s="24">
        <v>4.3385916786831222</v>
      </c>
      <c r="E207" s="24">
        <v>202.67176598953819</v>
      </c>
      <c r="F207" s="24">
        <v>2.1685276031494141</v>
      </c>
      <c r="G207" s="24">
        <v>27.133039988713204</v>
      </c>
      <c r="H207" s="24">
        <v>21.337998165100633</v>
      </c>
      <c r="I207" s="24">
        <v>27.936893463134766</v>
      </c>
      <c r="J207" s="24">
        <v>0.54334259033203125</v>
      </c>
      <c r="K207" s="29">
        <f t="shared" si="48"/>
        <v>4.8636216826039886</v>
      </c>
      <c r="L207" s="24">
        <f t="shared" si="49"/>
        <v>396.14605399269857</v>
      </c>
      <c r="M207" s="24">
        <f t="shared" si="50"/>
        <v>5.3863967468659721E-2</v>
      </c>
      <c r="N207" s="24">
        <f t="shared" si="51"/>
        <v>0.20267176598953821</v>
      </c>
      <c r="O207">
        <v>0.20072548278910943</v>
      </c>
      <c r="T207">
        <v>0.48922083649150144</v>
      </c>
      <c r="U207">
        <v>0.48383997205043155</v>
      </c>
    </row>
    <row r="208" spans="1:21" ht="15">
      <c r="A208" s="24">
        <v>45</v>
      </c>
      <c r="C208" s="24">
        <v>0.97036423983484033</v>
      </c>
      <c r="D208" s="24">
        <v>4.4121271308641923</v>
      </c>
      <c r="E208" s="24">
        <v>185.06253351860343</v>
      </c>
      <c r="F208" s="24">
        <v>2.41512131690979</v>
      </c>
      <c r="G208" s="24">
        <v>27.116585280013684</v>
      </c>
      <c r="H208" s="24">
        <v>20.675357586858194</v>
      </c>
      <c r="I208" s="24">
        <v>26.892892837524414</v>
      </c>
      <c r="J208" s="24">
        <v>0.53111845254898071</v>
      </c>
      <c r="K208" s="29">
        <f t="shared" si="48"/>
        <v>4.8595849109307681</v>
      </c>
      <c r="L208" s="24">
        <f t="shared" si="49"/>
        <v>396.18589692911326</v>
      </c>
      <c r="M208" s="24">
        <f t="shared" si="50"/>
        <v>5.2186000933186899E-2</v>
      </c>
      <c r="N208" s="24">
        <f t="shared" si="51"/>
        <v>0.18506253351860344</v>
      </c>
      <c r="O208">
        <v>0.18449044040620333</v>
      </c>
      <c r="T208">
        <v>0.45838150280303958</v>
      </c>
      <c r="U208">
        <v>0.4593979396136087</v>
      </c>
    </row>
    <row r="209" spans="1:21" ht="15">
      <c r="A209" s="24">
        <v>45</v>
      </c>
      <c r="C209" s="24">
        <v>0.9881981274902838</v>
      </c>
      <c r="D209" s="24">
        <v>4.4856625830452614</v>
      </c>
      <c r="E209" s="24">
        <v>170.71591996094861</v>
      </c>
      <c r="F209" s="24">
        <v>2.6617178916931152</v>
      </c>
      <c r="G209" s="24">
        <v>27.100130571314164</v>
      </c>
      <c r="H209" s="24">
        <v>20.058922528966967</v>
      </c>
      <c r="I209" s="24">
        <v>25.956901550292969</v>
      </c>
      <c r="J209" s="24">
        <v>0.51242232322692871</v>
      </c>
      <c r="K209" s="29">
        <f t="shared" si="48"/>
        <v>4.8555510478432149</v>
      </c>
      <c r="L209" s="24">
        <f t="shared" si="49"/>
        <v>396.22571115778743</v>
      </c>
      <c r="M209" s="24">
        <f t="shared" si="50"/>
        <v>5.0624989656410713E-2</v>
      </c>
      <c r="N209" s="24">
        <f t="shared" si="51"/>
        <v>0.17071591996094862</v>
      </c>
      <c r="O209">
        <v>0.17128678571554046</v>
      </c>
      <c r="T209">
        <v>0.36710880024289089</v>
      </c>
      <c r="U209">
        <v>0.37092581775107791</v>
      </c>
    </row>
    <row r="210" spans="1:21" ht="15">
      <c r="A210" s="24">
        <v>45</v>
      </c>
      <c r="C210" s="24">
        <v>1.010654589715664</v>
      </c>
      <c r="D210" s="24">
        <v>4.5775818982715997</v>
      </c>
      <c r="E210" s="24">
        <v>159.48898214618634</v>
      </c>
      <c r="F210" s="24">
        <v>2.9074676036834717</v>
      </c>
      <c r="G210" s="24">
        <v>27.079562185439766</v>
      </c>
      <c r="H210" s="24">
        <v>19.521192474151967</v>
      </c>
      <c r="I210" s="24">
        <v>25.162891387939453</v>
      </c>
      <c r="J210" s="24">
        <v>0.50724625587463379</v>
      </c>
      <c r="K210" s="29">
        <f t="shared" si="48"/>
        <v>4.8505128065118424</v>
      </c>
      <c r="L210" s="24">
        <f t="shared" si="49"/>
        <v>396.27543859972809</v>
      </c>
      <c r="M210" s="24">
        <f t="shared" si="50"/>
        <v>4.9261676532695815E-2</v>
      </c>
      <c r="N210" s="24">
        <f t="shared" si="51"/>
        <v>0.15948898214618634</v>
      </c>
      <c r="O210">
        <v>0.16057120727044166</v>
      </c>
      <c r="T210">
        <v>0.31411359938586669</v>
      </c>
      <c r="U210">
        <v>0.31319574083478058</v>
      </c>
    </row>
    <row r="211" spans="1:21" ht="15">
      <c r="A211" s="24">
        <v>45</v>
      </c>
      <c r="C211" s="24">
        <v>1.0151685943196853</v>
      </c>
      <c r="D211" s="24">
        <v>4.595965761316867</v>
      </c>
      <c r="E211" s="24">
        <v>147.49054919608156</v>
      </c>
      <c r="F211" s="24">
        <v>3.1566181182861328</v>
      </c>
      <c r="G211" s="24">
        <v>27.075448508264884</v>
      </c>
      <c r="H211" s="24">
        <v>18.879494450827842</v>
      </c>
      <c r="I211" s="24">
        <v>24.253898620605469</v>
      </c>
      <c r="J211" s="24">
        <v>0.50026470422744751</v>
      </c>
      <c r="K211" s="29">
        <f t="shared" si="48"/>
        <v>4.8495057029755184</v>
      </c>
      <c r="L211" s="24">
        <f t="shared" si="49"/>
        <v>396.28537871163161</v>
      </c>
      <c r="M211" s="24">
        <f t="shared" si="50"/>
        <v>4.7641158278933241E-2</v>
      </c>
      <c r="N211" s="24">
        <f t="shared" si="51"/>
        <v>0.14749054919608157</v>
      </c>
      <c r="O211">
        <v>0.15089200453391838</v>
      </c>
      <c r="T211">
        <v>0.26999088080142752</v>
      </c>
      <c r="U211">
        <v>0.27054033205776129</v>
      </c>
    </row>
    <row r="212" spans="1:21" ht="15">
      <c r="K212" s="29"/>
      <c r="L212" s="24"/>
      <c r="M212" s="24"/>
      <c r="N212" s="24"/>
      <c r="T212">
        <v>0.23864087933294584</v>
      </c>
      <c r="U212">
        <v>0.23908503202871356</v>
      </c>
    </row>
    <row r="213" spans="1:21" ht="15">
      <c r="A213">
        <v>50</v>
      </c>
      <c r="C213" s="24">
        <v>0.66000246705982624</v>
      </c>
      <c r="D213" s="24">
        <v>3.0333374024691291</v>
      </c>
      <c r="E213" s="24">
        <v>530.27346062022184</v>
      </c>
      <c r="F213" s="24">
        <v>0.57946908473968506</v>
      </c>
      <c r="G213" s="24">
        <v>27.425111068129674</v>
      </c>
      <c r="H213" s="24">
        <v>27.750788185113688</v>
      </c>
      <c r="I213" s="24">
        <v>41.518886566162109</v>
      </c>
      <c r="J213" s="24">
        <v>0.89146798849105835</v>
      </c>
      <c r="K213" s="29">
        <f t="shared" si="48"/>
        <v>4.9357603117942146</v>
      </c>
      <c r="L213" s="24">
        <f t="shared" si="49"/>
        <v>444.78404572259109</v>
      </c>
      <c r="M213" s="24">
        <f t="shared" si="50"/>
        <v>6.2391599815659018E-2</v>
      </c>
      <c r="N213" s="24">
        <f t="shared" si="51"/>
        <v>0.53027346062022185</v>
      </c>
      <c r="O213">
        <v>0.53428947748153965</v>
      </c>
      <c r="P213" t="s">
        <v>313</v>
      </c>
      <c r="Q213">
        <v>0.23803218082229841</v>
      </c>
      <c r="T213">
        <v>0.21521856368330894</v>
      </c>
      <c r="U213">
        <v>0.21504604061721427</v>
      </c>
    </row>
    <row r="214" spans="1:21" ht="15">
      <c r="A214" s="24">
        <v>50</v>
      </c>
      <c r="C214" s="24">
        <v>0.68058551086134389</v>
      </c>
      <c r="D214" s="24">
        <v>3.1436405807407346</v>
      </c>
      <c r="E214" s="24">
        <v>510.10576072806532</v>
      </c>
      <c r="F214" s="24">
        <v>0.62428385019302368</v>
      </c>
      <c r="G214" s="24">
        <v>27.400429005080394</v>
      </c>
      <c r="H214" s="24">
        <v>27.645775218476466</v>
      </c>
      <c r="I214" s="24">
        <v>41.215896606445313</v>
      </c>
      <c r="J214" s="24">
        <v>0.91134577989578247</v>
      </c>
      <c r="K214" s="29">
        <f t="shared" si="48"/>
        <v>4.929628376809208</v>
      </c>
      <c r="L214" s="24">
        <f t="shared" si="49"/>
        <v>444.8445679208931</v>
      </c>
      <c r="M214" s="24">
        <f t="shared" si="50"/>
        <v>6.2147044635583203E-2</v>
      </c>
      <c r="N214" s="24">
        <f t="shared" si="51"/>
        <v>0.51010576072806535</v>
      </c>
      <c r="O214">
        <v>0.50806331481067846</v>
      </c>
      <c r="P214" t="s">
        <v>314</v>
      </c>
      <c r="Q214">
        <v>25.924700179769381</v>
      </c>
      <c r="T214">
        <v>0.19798875319523759</v>
      </c>
      <c r="U214">
        <v>0.19640640183809038</v>
      </c>
    </row>
    <row r="215" spans="1:21" ht="15">
      <c r="A215" s="24">
        <v>50</v>
      </c>
      <c r="C215" s="24">
        <v>0.7012424039779217</v>
      </c>
      <c r="D215" s="24">
        <v>3.2355598959670715</v>
      </c>
      <c r="E215" s="24">
        <v>489.22083649150142</v>
      </c>
      <c r="F215" s="24">
        <v>0.66996783018112183</v>
      </c>
      <c r="G215" s="24">
        <v>27.379860619205992</v>
      </c>
      <c r="H215" s="24">
        <v>27.527971315417116</v>
      </c>
      <c r="I215" s="24">
        <v>40.880901336669922</v>
      </c>
      <c r="J215" s="24">
        <v>0.89833331108093262</v>
      </c>
      <c r="K215" s="29">
        <f t="shared" si="48"/>
        <v>4.9245234825718587</v>
      </c>
      <c r="L215" s="24">
        <f t="shared" si="49"/>
        <v>444.89495322701572</v>
      </c>
      <c r="M215" s="24">
        <f t="shared" si="50"/>
        <v>6.1875215971196842E-2</v>
      </c>
      <c r="N215" s="24">
        <f t="shared" si="51"/>
        <v>0.48922083649150144</v>
      </c>
      <c r="O215">
        <v>0.48383997205043155</v>
      </c>
      <c r="P215" t="s">
        <v>312</v>
      </c>
      <c r="Q215">
        <v>6.33261338385009E-2</v>
      </c>
      <c r="T215">
        <v>0.18255616188655682</v>
      </c>
      <c r="U215">
        <v>0.18099970656423531</v>
      </c>
    </row>
    <row r="216" spans="1:21" ht="15">
      <c r="A216" s="24">
        <v>50</v>
      </c>
      <c r="C216" s="24">
        <v>0.70538278672706478</v>
      </c>
      <c r="D216" s="24">
        <v>3.2539437590123392</v>
      </c>
      <c r="E216" s="24">
        <v>458.38150280303955</v>
      </c>
      <c r="F216" s="24">
        <v>0.71910518407821655</v>
      </c>
      <c r="G216" s="24">
        <v>27.375746942031114</v>
      </c>
      <c r="H216" s="24">
        <v>27.331665175557401</v>
      </c>
      <c r="I216" s="24">
        <v>40.335895538330078</v>
      </c>
      <c r="J216" s="24">
        <v>0.85964721441268921</v>
      </c>
      <c r="K216" s="29">
        <f t="shared" si="48"/>
        <v>4.9235030544748239</v>
      </c>
      <c r="L216" s="24">
        <f t="shared" si="49"/>
        <v>444.9050248523335</v>
      </c>
      <c r="M216" s="24">
        <f t="shared" si="50"/>
        <v>6.1432583694978352E-2</v>
      </c>
      <c r="N216" s="24">
        <f t="shared" si="51"/>
        <v>0.45838150280303958</v>
      </c>
      <c r="O216">
        <v>0.4593979396136087</v>
      </c>
      <c r="P216" t="s">
        <v>327</v>
      </c>
      <c r="R216">
        <v>0.30320762450472671</v>
      </c>
      <c r="T216">
        <v>0.16770286127009193</v>
      </c>
      <c r="U216">
        <v>0.16779291866718066</v>
      </c>
    </row>
    <row r="217" spans="1:21" ht="15">
      <c r="A217" s="24">
        <v>50</v>
      </c>
      <c r="C217" s="24">
        <v>0.75533284536777079</v>
      </c>
      <c r="D217" s="24">
        <v>3.4745501155555494</v>
      </c>
      <c r="E217" s="24">
        <v>367.10880024289088</v>
      </c>
      <c r="F217" s="24">
        <v>0.9587673544883728</v>
      </c>
      <c r="G217" s="24">
        <v>27.326382815932554</v>
      </c>
      <c r="H217" s="24">
        <v>26.548684888129689</v>
      </c>
      <c r="I217" s="24">
        <v>38.278907775878906</v>
      </c>
      <c r="J217" s="24">
        <v>0.74202239513397217</v>
      </c>
      <c r="K217" s="29">
        <f t="shared" si="48"/>
        <v>4.9112722239060105</v>
      </c>
      <c r="L217" s="24">
        <f t="shared" si="49"/>
        <v>445.02574315004762</v>
      </c>
      <c r="M217" s="24">
        <f t="shared" si="50"/>
        <v>5.9656514924752053E-2</v>
      </c>
      <c r="N217" s="24">
        <f t="shared" si="51"/>
        <v>0.36710880024289089</v>
      </c>
      <c r="O217">
        <v>0.37092581775107791</v>
      </c>
      <c r="P217" t="s">
        <v>328</v>
      </c>
      <c r="R217">
        <v>12</v>
      </c>
      <c r="T217">
        <v>0.15674361966419245</v>
      </c>
      <c r="U217">
        <v>0.15719978680503105</v>
      </c>
    </row>
    <row r="218" spans="1:21" ht="15">
      <c r="A218" s="24">
        <v>50</v>
      </c>
      <c r="C218" s="24">
        <v>0.81005754905946747</v>
      </c>
      <c r="D218" s="24">
        <v>3.7135403351440273</v>
      </c>
      <c r="E218" s="24">
        <v>314.11359938586668</v>
      </c>
      <c r="F218" s="24">
        <v>1.1975973844528198</v>
      </c>
      <c r="G218" s="24">
        <v>27.272905012659116</v>
      </c>
      <c r="H218" s="24">
        <v>25.87729415442243</v>
      </c>
      <c r="I218" s="24">
        <v>36.647907257080078</v>
      </c>
      <c r="J218" s="24">
        <v>0.67701292037963867</v>
      </c>
      <c r="K218" s="29">
        <f t="shared" si="48"/>
        <v>4.89805192403304</v>
      </c>
      <c r="L218" s="24">
        <f t="shared" si="49"/>
        <v>445.15622750979384</v>
      </c>
      <c r="M218" s="24">
        <f t="shared" si="50"/>
        <v>5.8130814656194171E-2</v>
      </c>
      <c r="N218" s="24">
        <f t="shared" si="51"/>
        <v>0.31411359938586669</v>
      </c>
      <c r="O218">
        <v>0.31319574083478058</v>
      </c>
      <c r="P218" t="s">
        <v>329</v>
      </c>
      <c r="R218">
        <v>2.4657734429958497E-3</v>
      </c>
      <c r="T218">
        <v>0.14686106296082679</v>
      </c>
      <c r="U218">
        <v>0.14812202851076323</v>
      </c>
    </row>
    <row r="219" spans="1:21" ht="15">
      <c r="A219" s="24">
        <v>50</v>
      </c>
      <c r="C219" s="24">
        <v>0.83982672200577047</v>
      </c>
      <c r="D219" s="24">
        <v>3.8422273764608992</v>
      </c>
      <c r="E219" s="24">
        <v>269.99088080142752</v>
      </c>
      <c r="F219" s="24">
        <v>1.4415954351425171</v>
      </c>
      <c r="G219" s="24">
        <v>27.244109272434958</v>
      </c>
      <c r="H219" s="24">
        <v>25.110997764820219</v>
      </c>
      <c r="I219" s="24">
        <v>34.925907135009766</v>
      </c>
      <c r="J219" s="24">
        <v>0.61419028043746948</v>
      </c>
      <c r="K219" s="29">
        <f t="shared" si="48"/>
        <v>4.8909461029824737</v>
      </c>
      <c r="L219" s="24">
        <f t="shared" si="49"/>
        <v>445.22636196356291</v>
      </c>
      <c r="M219" s="24">
        <f t="shared" si="50"/>
        <v>5.640051872506887E-2</v>
      </c>
      <c r="N219" s="24">
        <f t="shared" si="51"/>
        <v>0.26999088080142752</v>
      </c>
      <c r="O219">
        <v>0.27054033205776129</v>
      </c>
      <c r="P219" t="s">
        <v>315</v>
      </c>
      <c r="R219">
        <v>0.9997195418841931</v>
      </c>
      <c r="T219">
        <v>0.50645320083117851</v>
      </c>
      <c r="U219">
        <v>0.50918102389561393</v>
      </c>
    </row>
    <row r="220" spans="1:21" ht="15">
      <c r="A220" s="24">
        <v>50</v>
      </c>
      <c r="C220" s="24">
        <v>0.86983216116124351</v>
      </c>
      <c r="D220" s="24">
        <v>3.9709144177777724</v>
      </c>
      <c r="E220" s="24">
        <v>238.64087933294584</v>
      </c>
      <c r="F220" s="24">
        <v>1.6856023073196411</v>
      </c>
      <c r="G220" s="24">
        <v>27.2153135322108</v>
      </c>
      <c r="H220" s="24">
        <v>24.397181107732585</v>
      </c>
      <c r="I220" s="24">
        <v>33.430900573730469</v>
      </c>
      <c r="J220" s="24">
        <v>0.56428235769271851</v>
      </c>
      <c r="K220" s="29">
        <f t="shared" si="48"/>
        <v>4.8838492311688269</v>
      </c>
      <c r="L220" s="24">
        <f t="shared" si="49"/>
        <v>445.29640808836365</v>
      </c>
      <c r="M220" s="24">
        <f t="shared" si="50"/>
        <v>5.4788632166310358E-2</v>
      </c>
      <c r="N220" s="24">
        <f t="shared" si="51"/>
        <v>0.23864087933294584</v>
      </c>
      <c r="O220">
        <v>0.23908503202871356</v>
      </c>
      <c r="T220">
        <v>0.49178680595263741</v>
      </c>
      <c r="U220">
        <v>0.48523624886979771</v>
      </c>
    </row>
    <row r="221" spans="1:21" ht="15">
      <c r="A221" s="24">
        <v>50</v>
      </c>
      <c r="C221" s="24">
        <v>0.90009528567253816</v>
      </c>
      <c r="D221" s="24">
        <v>4.0996014590946448</v>
      </c>
      <c r="E221" s="24">
        <v>215.21856368330893</v>
      </c>
      <c r="F221" s="24">
        <v>1.9296181201934814</v>
      </c>
      <c r="G221" s="24">
        <v>27.186517791986642</v>
      </c>
      <c r="H221" s="24">
        <v>23.735576559827294</v>
      </c>
      <c r="I221" s="24">
        <v>32.125892639160156</v>
      </c>
      <c r="J221" s="24">
        <v>0.54023492336273193</v>
      </c>
      <c r="K221" s="29">
        <f t="shared" si="48"/>
        <v>4.8767612991642624</v>
      </c>
      <c r="L221" s="24">
        <f t="shared" si="49"/>
        <v>445.36636597724868</v>
      </c>
      <c r="M221" s="24">
        <f t="shared" si="50"/>
        <v>5.3294497234305779E-2</v>
      </c>
      <c r="N221" s="24">
        <f t="shared" si="51"/>
        <v>0.21521856368330894</v>
      </c>
      <c r="O221">
        <v>0.21504604061721427</v>
      </c>
      <c r="T221">
        <v>0.45555164558852929</v>
      </c>
      <c r="U221">
        <v>0.45924027804617285</v>
      </c>
    </row>
    <row r="222" spans="1:21" ht="15">
      <c r="A222" s="24">
        <v>50</v>
      </c>
      <c r="C222" s="24">
        <v>0.9350271579258348</v>
      </c>
      <c r="D222" s="24">
        <v>4.2466723634567849</v>
      </c>
      <c r="E222" s="24">
        <v>197.98875319523759</v>
      </c>
      <c r="F222" s="24">
        <v>2.1727895736694336</v>
      </c>
      <c r="G222" s="24">
        <v>27.153608374587602</v>
      </c>
      <c r="H222" s="24">
        <v>23.15925681029055</v>
      </c>
      <c r="I222" s="24">
        <v>31.041893005371094</v>
      </c>
      <c r="J222" s="24">
        <v>0.53176486492156982</v>
      </c>
      <c r="K222" s="29">
        <f t="shared" si="48"/>
        <v>4.868671740066052</v>
      </c>
      <c r="L222" s="24">
        <f t="shared" si="49"/>
        <v>445.44620992554809</v>
      </c>
      <c r="M222" s="24">
        <f t="shared" si="50"/>
        <v>5.1991141229288697E-2</v>
      </c>
      <c r="N222" s="24">
        <f t="shared" si="51"/>
        <v>0.19798875319523759</v>
      </c>
      <c r="O222">
        <v>0.19640640183809038</v>
      </c>
      <c r="T222">
        <v>0.43967677668841898</v>
      </c>
      <c r="U222">
        <v>0.43894087344036781</v>
      </c>
    </row>
    <row r="223" spans="1:21" ht="15">
      <c r="A223" s="24">
        <v>50</v>
      </c>
      <c r="C223" s="24">
        <v>0.95706367068518905</v>
      </c>
      <c r="D223" s="24">
        <v>4.3569755417283895</v>
      </c>
      <c r="E223" s="24">
        <v>182.55616188655682</v>
      </c>
      <c r="F223" s="24">
        <v>2.4176757335662842</v>
      </c>
      <c r="G223" s="24">
        <v>27.128926311538322</v>
      </c>
      <c r="H223" s="24">
        <v>22.561262762077035</v>
      </c>
      <c r="I223" s="24">
        <v>29.969894409179687</v>
      </c>
      <c r="J223" s="24">
        <v>0.51600450277328491</v>
      </c>
      <c r="K223" s="29">
        <f t="shared" si="48"/>
        <v>4.8626122169098664</v>
      </c>
      <c r="L223" s="24">
        <f t="shared" si="49"/>
        <v>445.50601741909958</v>
      </c>
      <c r="M223" s="24">
        <f t="shared" si="50"/>
        <v>5.0641881096867528E-2</v>
      </c>
      <c r="N223" s="24">
        <f t="shared" si="51"/>
        <v>0.18255616188655682</v>
      </c>
      <c r="O223">
        <v>0.18099970656423531</v>
      </c>
      <c r="T223">
        <v>0.3535496960563233</v>
      </c>
      <c r="U223">
        <v>0.35598112953869115</v>
      </c>
    </row>
    <row r="224" spans="1:21" ht="15">
      <c r="A224" s="24">
        <v>50</v>
      </c>
      <c r="C224" s="24">
        <v>0.97036423983484033</v>
      </c>
      <c r="D224" s="24">
        <v>4.4121271308641923</v>
      </c>
      <c r="E224" s="24">
        <v>167.70286127009192</v>
      </c>
      <c r="F224" s="24">
        <v>2.66512131690979</v>
      </c>
      <c r="G224" s="24">
        <v>27.116585280013684</v>
      </c>
      <c r="H224" s="24">
        <v>21.896843296563173</v>
      </c>
      <c r="I224" s="24">
        <v>28.837894439697266</v>
      </c>
      <c r="J224" s="24">
        <v>0.49980804324150085</v>
      </c>
      <c r="K224" s="29">
        <f t="shared" si="48"/>
        <v>4.8595849109307681</v>
      </c>
      <c r="L224" s="24">
        <f t="shared" si="49"/>
        <v>445.53589692911328</v>
      </c>
      <c r="M224" s="24">
        <f t="shared" si="50"/>
        <v>4.9147203283705455E-2</v>
      </c>
      <c r="N224" s="24">
        <f t="shared" si="51"/>
        <v>0.16770286127009193</v>
      </c>
      <c r="O224">
        <v>0.16779291866718066</v>
      </c>
      <c r="T224">
        <v>0.30171416208551388</v>
      </c>
      <c r="U224">
        <v>0.30134844382739862</v>
      </c>
    </row>
    <row r="225" spans="1:21" ht="15">
      <c r="A225" s="24">
        <v>50</v>
      </c>
      <c r="C225" s="24">
        <v>0.99267459709134576</v>
      </c>
      <c r="D225" s="24">
        <v>4.5040464460905296</v>
      </c>
      <c r="E225" s="24">
        <v>156.74361966419244</v>
      </c>
      <c r="F225" s="24">
        <v>2.91086745262146</v>
      </c>
      <c r="G225" s="24">
        <v>27.096016894139286</v>
      </c>
      <c r="H225" s="24">
        <v>21.344418350602727</v>
      </c>
      <c r="I225" s="24">
        <v>27.929893493652344</v>
      </c>
      <c r="J225" s="24">
        <v>0.48974353075027466</v>
      </c>
      <c r="K225" s="29">
        <f t="shared" si="48"/>
        <v>4.8545430363323909</v>
      </c>
      <c r="L225" s="24">
        <f t="shared" si="49"/>
        <v>445.58566023139929</v>
      </c>
      <c r="M225" s="24">
        <f t="shared" si="50"/>
        <v>4.7901941771461523E-2</v>
      </c>
      <c r="N225" s="24">
        <f t="shared" si="51"/>
        <v>0.15674361966419245</v>
      </c>
      <c r="O225">
        <v>0.15719978680503105</v>
      </c>
      <c r="T225">
        <v>0.25986619689215429</v>
      </c>
      <c r="U225">
        <v>0.26128656226275027</v>
      </c>
    </row>
    <row r="226" spans="1:21" ht="15">
      <c r="A226" s="24">
        <v>50</v>
      </c>
      <c r="C226" s="24">
        <v>1.010654589715664</v>
      </c>
      <c r="D226" s="24">
        <v>4.5775818982715997</v>
      </c>
      <c r="E226" s="24">
        <v>146.86106296082679</v>
      </c>
      <c r="F226" s="24">
        <v>3.1574676036834717</v>
      </c>
      <c r="G226" s="24">
        <v>27.079562185439766</v>
      </c>
      <c r="H226" s="24">
        <v>20.792135204622241</v>
      </c>
      <c r="I226" s="24">
        <v>27.054887771606445</v>
      </c>
      <c r="J226" s="24">
        <v>0.48105162382125854</v>
      </c>
      <c r="K226" s="29">
        <f t="shared" si="48"/>
        <v>4.8505128065118424</v>
      </c>
      <c r="L226" s="24">
        <f t="shared" si="49"/>
        <v>445.62543859972806</v>
      </c>
      <c r="M226" s="24">
        <f t="shared" si="50"/>
        <v>4.6658321997856723E-2</v>
      </c>
      <c r="N226" s="24">
        <f t="shared" si="51"/>
        <v>0.14686106296082679</v>
      </c>
      <c r="O226">
        <v>0.14812202851076323</v>
      </c>
      <c r="T226">
        <v>0.23496853416191896</v>
      </c>
      <c r="U226">
        <v>0.23276301880971462</v>
      </c>
    </row>
    <row r="227" spans="1:21" ht="15">
      <c r="K227" s="29"/>
      <c r="L227" s="24"/>
      <c r="M227" s="24"/>
      <c r="N227" s="24"/>
      <c r="T227">
        <v>0.21204153573733295</v>
      </c>
      <c r="U227">
        <v>0.20994103255828073</v>
      </c>
    </row>
    <row r="228" spans="1:21" ht="15">
      <c r="A228">
        <v>55</v>
      </c>
      <c r="C228" s="24">
        <v>0.6353938710763688</v>
      </c>
      <c r="D228" s="24">
        <v>2.9230342241975245</v>
      </c>
      <c r="E228" s="24">
        <v>506.45320083117855</v>
      </c>
      <c r="F228" s="24">
        <v>0.58466088771820068</v>
      </c>
      <c r="G228" s="24">
        <v>27.44979313117895</v>
      </c>
      <c r="H228" s="24">
        <v>29.074223439500035</v>
      </c>
      <c r="I228" s="24">
        <v>45.695907592773438</v>
      </c>
      <c r="J228" s="24">
        <v>0.9583163857460022</v>
      </c>
      <c r="K228" s="29">
        <f t="shared" si="48"/>
        <v>4.9418988653980707</v>
      </c>
      <c r="L228" s="24">
        <f t="shared" si="49"/>
        <v>494.073458198521</v>
      </c>
      <c r="M228" s="24">
        <f t="shared" si="50"/>
        <v>5.8845952878160634E-2</v>
      </c>
      <c r="N228" s="24">
        <f t="shared" si="51"/>
        <v>0.50645320083117851</v>
      </c>
      <c r="O228">
        <v>0.50918102389561393</v>
      </c>
      <c r="P228" t="s">
        <v>313</v>
      </c>
      <c r="Q228">
        <v>0.23161099689280909</v>
      </c>
      <c r="T228">
        <v>0.19053321084389302</v>
      </c>
      <c r="U228">
        <v>0.19106069248759289</v>
      </c>
    </row>
    <row r="229" spans="1:21" ht="15">
      <c r="A229" s="24">
        <v>55</v>
      </c>
      <c r="C229" s="24">
        <v>0.66000246705982624</v>
      </c>
      <c r="D229" s="24">
        <v>3.0517212655143973</v>
      </c>
      <c r="E229" s="24">
        <v>491.78680595263739</v>
      </c>
      <c r="F229" s="24">
        <v>0.62860441207885742</v>
      </c>
      <c r="G229" s="24">
        <v>27.420997390954792</v>
      </c>
      <c r="H229" s="24">
        <v>28.999288083018051</v>
      </c>
      <c r="I229" s="24">
        <v>45.442882537841797</v>
      </c>
      <c r="J229" s="24">
        <v>0.97973966598510742</v>
      </c>
      <c r="K229" s="29">
        <f t="shared" si="48"/>
        <v>4.9347378631649557</v>
      </c>
      <c r="L229" s="24">
        <f t="shared" si="49"/>
        <v>494.14413729056184</v>
      </c>
      <c r="M229" s="24">
        <f t="shared" si="50"/>
        <v>5.868588918614686E-2</v>
      </c>
      <c r="N229" s="24">
        <f t="shared" si="51"/>
        <v>0.49178680595263741</v>
      </c>
      <c r="O229">
        <v>0.48523624886979771</v>
      </c>
      <c r="P229" t="s">
        <v>314</v>
      </c>
      <c r="Q229">
        <v>26.722389487242527</v>
      </c>
      <c r="T229">
        <v>0.17755891990635073</v>
      </c>
      <c r="U229">
        <v>0.17686484304951541</v>
      </c>
    </row>
    <row r="230" spans="1:21" ht="15">
      <c r="A230" s="24">
        <v>55</v>
      </c>
      <c r="C230" s="24">
        <v>0.66000246705982624</v>
      </c>
      <c r="D230" s="24">
        <v>3.0517212655143973</v>
      </c>
      <c r="E230" s="24">
        <v>455.55164558852925</v>
      </c>
      <c r="F230" s="24">
        <v>0.67860442399978638</v>
      </c>
      <c r="G230" s="24">
        <v>27.420997390954792</v>
      </c>
      <c r="H230" s="24">
        <v>28.795708494237491</v>
      </c>
      <c r="I230" s="24">
        <v>44.754901885986328</v>
      </c>
      <c r="J230" s="24">
        <v>0.90568506717681885</v>
      </c>
      <c r="K230" s="29">
        <f t="shared" si="48"/>
        <v>4.9347378631649557</v>
      </c>
      <c r="L230" s="24">
        <f t="shared" si="49"/>
        <v>494.14413729056184</v>
      </c>
      <c r="M230" s="24">
        <f t="shared" si="50"/>
        <v>5.8273904962481256E-2</v>
      </c>
      <c r="N230" s="24">
        <f t="shared" si="51"/>
        <v>0.45555164558852929</v>
      </c>
      <c r="O230">
        <v>0.45924027804617285</v>
      </c>
      <c r="P230" t="s">
        <v>312</v>
      </c>
      <c r="Q230">
        <v>6.2994728160154126E-2</v>
      </c>
      <c r="T230">
        <v>0.16544799613591654</v>
      </c>
      <c r="U230">
        <v>0.16485338418465956</v>
      </c>
    </row>
    <row r="231" spans="1:21" ht="15">
      <c r="A231" s="24">
        <v>55</v>
      </c>
      <c r="C231" s="24">
        <v>0.68058551086134389</v>
      </c>
      <c r="D231" s="24">
        <v>3.1436405807407346</v>
      </c>
      <c r="E231" s="24">
        <v>439.67677668841895</v>
      </c>
      <c r="F231" s="24">
        <v>0.72428387403488159</v>
      </c>
      <c r="G231" s="24">
        <v>27.400429005080394</v>
      </c>
      <c r="H231" s="24">
        <v>28.694540158103415</v>
      </c>
      <c r="I231" s="24">
        <v>44.422908782958984</v>
      </c>
      <c r="J231" s="24">
        <v>0.90693104267120361</v>
      </c>
      <c r="K231" s="29">
        <f t="shared" si="48"/>
        <v>4.929628376809208</v>
      </c>
      <c r="L231" s="24">
        <f t="shared" si="49"/>
        <v>494.19456792089312</v>
      </c>
      <c r="M231" s="24">
        <f t="shared" si="50"/>
        <v>5.8063244763743777E-2</v>
      </c>
      <c r="N231" s="24">
        <f t="shared" si="51"/>
        <v>0.43967677668841898</v>
      </c>
      <c r="O231">
        <v>0.43894087344036781</v>
      </c>
      <c r="P231" t="s">
        <v>327</v>
      </c>
      <c r="R231">
        <v>0.29191541509750479</v>
      </c>
      <c r="T231">
        <v>0.15332071038030379</v>
      </c>
      <c r="U231">
        <v>0.15433163526555016</v>
      </c>
    </row>
    <row r="232" spans="1:21" ht="15">
      <c r="A232" s="24">
        <v>55</v>
      </c>
      <c r="C232" s="24">
        <v>0.73029539713939484</v>
      </c>
      <c r="D232" s="24">
        <v>3.3642469372839439</v>
      </c>
      <c r="E232" s="24">
        <v>353.54969605632328</v>
      </c>
      <c r="F232" s="24">
        <v>0.96393299102783203</v>
      </c>
      <c r="G232" s="24">
        <v>27.351064878981834</v>
      </c>
      <c r="H232" s="24">
        <v>27.975812797124025</v>
      </c>
      <c r="I232" s="24">
        <v>42.175910949707031</v>
      </c>
      <c r="J232" s="24">
        <v>0.77142608165740967</v>
      </c>
      <c r="K232" s="29">
        <f t="shared" si="48"/>
        <v>4.9173843388270324</v>
      </c>
      <c r="L232" s="24">
        <f t="shared" si="49"/>
        <v>494.31541657577714</v>
      </c>
      <c r="M232" s="24">
        <f t="shared" si="50"/>
        <v>5.6595064323338606E-2</v>
      </c>
      <c r="N232" s="24">
        <f t="shared" si="51"/>
        <v>0.3535496960563233</v>
      </c>
      <c r="O232">
        <v>0.35598112953869115</v>
      </c>
      <c r="P232" t="s">
        <v>328</v>
      </c>
      <c r="R232">
        <v>12</v>
      </c>
      <c r="T232">
        <v>0.14434642010459631</v>
      </c>
      <c r="U232">
        <v>0.14578534303615989</v>
      </c>
    </row>
    <row r="233" spans="1:21" ht="15">
      <c r="A233" s="24">
        <v>55</v>
      </c>
      <c r="C233" s="24">
        <v>0.78050523759319224</v>
      </c>
      <c r="D233" s="24">
        <v>3.5848532938271545</v>
      </c>
      <c r="E233" s="24">
        <v>301.71416208551386</v>
      </c>
      <c r="F233" s="24">
        <v>1.2036081552505493</v>
      </c>
      <c r="G233" s="24">
        <v>27.301700752883278</v>
      </c>
      <c r="H233" s="24">
        <v>27.32849846271046</v>
      </c>
      <c r="I233" s="24">
        <v>40.319908142089844</v>
      </c>
      <c r="J233" s="24">
        <v>0.69801163673400879</v>
      </c>
      <c r="K233" s="29">
        <f t="shared" si="48"/>
        <v>4.9051667037561426</v>
      </c>
      <c r="L233" s="24">
        <f t="shared" si="49"/>
        <v>494.43600463392681</v>
      </c>
      <c r="M233" s="24">
        <f t="shared" si="50"/>
        <v>5.5272063940699626E-2</v>
      </c>
      <c r="N233" s="24">
        <f t="shared" si="51"/>
        <v>0.30171416208551388</v>
      </c>
      <c r="O233">
        <v>0.30134844382739862</v>
      </c>
      <c r="P233" t="s">
        <v>329</v>
      </c>
      <c r="R233">
        <v>2.6777456161042644E-3</v>
      </c>
      <c r="T233">
        <v>0.4869196338026584</v>
      </c>
      <c r="U233">
        <v>0.48329813630496243</v>
      </c>
    </row>
    <row r="234" spans="1:21" ht="15">
      <c r="A234" s="24">
        <v>55</v>
      </c>
      <c r="C234" s="24">
        <v>0.81005754905946747</v>
      </c>
      <c r="D234" s="24">
        <v>3.7135403351440273</v>
      </c>
      <c r="E234" s="24">
        <v>259.86619689215428</v>
      </c>
      <c r="F234" s="24">
        <v>1.4475973844528198</v>
      </c>
      <c r="G234" s="24">
        <v>27.272905012659116</v>
      </c>
      <c r="H234" s="24">
        <v>26.60398674148113</v>
      </c>
      <c r="I234" s="24">
        <v>38.407905578613281</v>
      </c>
      <c r="J234" s="24">
        <v>0.61988592147827148</v>
      </c>
      <c r="K234" s="29">
        <f t="shared" si="48"/>
        <v>4.89805192403304</v>
      </c>
      <c r="L234" s="24">
        <f t="shared" si="49"/>
        <v>494.50622750979386</v>
      </c>
      <c r="M234" s="24">
        <f t="shared" si="50"/>
        <v>5.3799093442062323E-2</v>
      </c>
      <c r="N234" s="24">
        <f t="shared" si="51"/>
        <v>0.25986619689215429</v>
      </c>
      <c r="O234">
        <v>0.26128656226275027</v>
      </c>
      <c r="P234" t="s">
        <v>315</v>
      </c>
      <c r="R234">
        <v>0.99962502383324481</v>
      </c>
      <c r="T234">
        <v>0.45234697480901609</v>
      </c>
      <c r="U234">
        <v>0.45754883695291237</v>
      </c>
    </row>
    <row r="235" spans="1:21" ht="15">
      <c r="A235" s="24">
        <v>55</v>
      </c>
      <c r="C235" s="24">
        <v>0.85694312052728805</v>
      </c>
      <c r="D235" s="24">
        <v>3.9157628286419697</v>
      </c>
      <c r="E235" s="24">
        <v>234.96853416191894</v>
      </c>
      <c r="F235" s="24">
        <v>1.6881697177886963</v>
      </c>
      <c r="G235" s="24">
        <v>27.227654563735438</v>
      </c>
      <c r="H235" s="24">
        <v>26.046072576676259</v>
      </c>
      <c r="I235" s="24">
        <v>37.033916473388672</v>
      </c>
      <c r="J235" s="24">
        <v>0.59772634506225586</v>
      </c>
      <c r="K235" s="29">
        <f t="shared" si="48"/>
        <v>4.8868896524403338</v>
      </c>
      <c r="L235" s="24">
        <f t="shared" si="49"/>
        <v>494.61639913041387</v>
      </c>
      <c r="M235" s="24">
        <f t="shared" si="50"/>
        <v>5.2659136701629618E-2</v>
      </c>
      <c r="N235" s="24">
        <f t="shared" si="51"/>
        <v>0.23496853416191896</v>
      </c>
      <c r="O235">
        <v>0.23276301880971462</v>
      </c>
      <c r="T235">
        <v>0.4357528238751337</v>
      </c>
      <c r="U235">
        <v>0.43685116855718947</v>
      </c>
    </row>
    <row r="236" spans="1:21" ht="15">
      <c r="A236" s="24">
        <v>55</v>
      </c>
      <c r="C236" s="24">
        <v>0.88709317999510595</v>
      </c>
      <c r="D236" s="24">
        <v>4.044449869958842</v>
      </c>
      <c r="E236" s="24">
        <v>212.04153573733294</v>
      </c>
      <c r="F236" s="24">
        <v>1.932181715965271</v>
      </c>
      <c r="G236" s="24">
        <v>27.19885882351128</v>
      </c>
      <c r="H236" s="24">
        <v>25.413812588551803</v>
      </c>
      <c r="I236" s="24">
        <v>35.574901580810547</v>
      </c>
      <c r="J236" s="24">
        <v>0.55792969465255737</v>
      </c>
      <c r="K236" s="29">
        <f t="shared" si="48"/>
        <v>4.8797978902429504</v>
      </c>
      <c r="L236" s="24">
        <f t="shared" si="49"/>
        <v>494.68639482330207</v>
      </c>
      <c r="M236" s="24">
        <f t="shared" si="50"/>
        <v>5.1373583050792024E-2</v>
      </c>
      <c r="N236" s="24">
        <f t="shared" si="51"/>
        <v>0.21204153573733295</v>
      </c>
      <c r="O236">
        <v>0.20994103255828073</v>
      </c>
      <c r="T236">
        <v>0.42123385860103363</v>
      </c>
      <c r="U236">
        <v>0.41814553918471703</v>
      </c>
    </row>
    <row r="237" spans="1:21" ht="15">
      <c r="A237" s="24">
        <v>55</v>
      </c>
      <c r="C237" s="24">
        <v>0.90009528567253816</v>
      </c>
      <c r="D237" s="24">
        <v>4.0996014590946448</v>
      </c>
      <c r="E237" s="24">
        <v>190.53321084389302</v>
      </c>
      <c r="F237" s="24">
        <v>2.1796181201934814</v>
      </c>
      <c r="G237" s="24">
        <v>27.186517791986642</v>
      </c>
      <c r="H237" s="24">
        <v>24.682776777610858</v>
      </c>
      <c r="I237" s="24">
        <v>34.00390625</v>
      </c>
      <c r="J237" s="24">
        <v>0.51771485805511475</v>
      </c>
      <c r="K237" s="29">
        <f t="shared" ref="K237:K271" si="52">0.1013*42.75*EXP((37830*((G237+273.15)-298))/(298*$H$26*(G237+273.15)))</f>
        <v>4.8767612991642624</v>
      </c>
      <c r="L237" s="24">
        <f t="shared" ref="L237:L271" si="53">(A237-K237)*9.87</f>
        <v>494.71636597724864</v>
      </c>
      <c r="M237" s="24">
        <f t="shared" ref="M237:M271" si="54">H237/L237</f>
        <v>4.9892783977043498E-2</v>
      </c>
      <c r="N237" s="24">
        <f t="shared" ref="N237:N271" si="55">E237*0.001</f>
        <v>0.19053321084389302</v>
      </c>
      <c r="O237">
        <v>0.19106069248759289</v>
      </c>
      <c r="T237">
        <v>0.34013285371803853</v>
      </c>
      <c r="U237">
        <v>0.34137142151175476</v>
      </c>
    </row>
    <row r="238" spans="1:21" ht="15">
      <c r="A238" s="24">
        <v>55</v>
      </c>
      <c r="C238" s="24">
        <v>0.9350271579258348</v>
      </c>
      <c r="D238" s="24">
        <v>4.2466723634567849</v>
      </c>
      <c r="E238" s="24">
        <v>177.55891990635072</v>
      </c>
      <c r="F238" s="24">
        <v>2.4227895736694336</v>
      </c>
      <c r="G238" s="24">
        <v>27.153608374587602</v>
      </c>
      <c r="H238" s="24">
        <v>24.163960640590251</v>
      </c>
      <c r="I238" s="24">
        <v>32.943897247314453</v>
      </c>
      <c r="J238" s="24">
        <v>0.50043946504592896</v>
      </c>
      <c r="K238" s="29">
        <f t="shared" si="52"/>
        <v>4.868671740066052</v>
      </c>
      <c r="L238" s="24">
        <f t="shared" si="53"/>
        <v>494.79620992554806</v>
      </c>
      <c r="M238" s="24">
        <f t="shared" si="54"/>
        <v>4.8836187820084961E-2</v>
      </c>
      <c r="N238" s="24">
        <f t="shared" si="55"/>
        <v>0.17755891990635073</v>
      </c>
      <c r="O238">
        <v>0.17686484304951541</v>
      </c>
      <c r="T238">
        <v>0.29118252620275625</v>
      </c>
      <c r="U238">
        <v>0.29036493795463547</v>
      </c>
    </row>
    <row r="239" spans="1:21" ht="15">
      <c r="A239" s="24">
        <v>55</v>
      </c>
      <c r="C239" s="24">
        <v>0.95706367068518905</v>
      </c>
      <c r="D239" s="24">
        <v>4.3569755417283895</v>
      </c>
      <c r="E239" s="24">
        <v>165.44799613591653</v>
      </c>
      <c r="F239" s="24">
        <v>2.6676757335662842</v>
      </c>
      <c r="G239" s="24">
        <v>27.128926311538322</v>
      </c>
      <c r="H239" s="24">
        <v>23.612039415723448</v>
      </c>
      <c r="I239" s="24">
        <v>31.86988639831543</v>
      </c>
      <c r="J239" s="24">
        <v>0.49043771624565125</v>
      </c>
      <c r="K239" s="29">
        <f t="shared" si="52"/>
        <v>4.8626122169098664</v>
      </c>
      <c r="L239" s="24">
        <f t="shared" si="53"/>
        <v>494.8560174190996</v>
      </c>
      <c r="M239" s="24">
        <f t="shared" si="54"/>
        <v>4.7714968767826708E-2</v>
      </c>
      <c r="N239" s="24">
        <f t="shared" si="55"/>
        <v>0.16544799613591654</v>
      </c>
      <c r="O239">
        <v>0.16485338418465956</v>
      </c>
      <c r="T239">
        <v>0.24982360404359669</v>
      </c>
      <c r="U239">
        <v>0.25246563374475889</v>
      </c>
    </row>
    <row r="240" spans="1:21" ht="15">
      <c r="A240" s="24">
        <v>55</v>
      </c>
      <c r="C240" s="24">
        <v>0.97036423983484033</v>
      </c>
      <c r="D240" s="24">
        <v>4.4121271308641923</v>
      </c>
      <c r="E240" s="24">
        <v>153.32071038030378</v>
      </c>
      <c r="F240" s="24">
        <v>2.91512131690979</v>
      </c>
      <c r="G240" s="24">
        <v>27.116585280013684</v>
      </c>
      <c r="H240" s="24">
        <v>22.981412243699204</v>
      </c>
      <c r="I240" s="24">
        <v>30.705898284912109</v>
      </c>
      <c r="J240" s="24">
        <v>0.47914308309555054</v>
      </c>
      <c r="K240" s="29">
        <f t="shared" si="52"/>
        <v>4.8595849109307681</v>
      </c>
      <c r="L240" s="24">
        <f t="shared" si="53"/>
        <v>494.88589692911324</v>
      </c>
      <c r="M240" s="24">
        <f t="shared" si="54"/>
        <v>4.6437799877314001E-2</v>
      </c>
      <c r="N240" s="24">
        <f t="shared" si="55"/>
        <v>0.15332071038030379</v>
      </c>
      <c r="O240">
        <v>0.15433163526555016</v>
      </c>
      <c r="T240">
        <v>0.22765659863099239</v>
      </c>
      <c r="U240">
        <v>0.22578996592853473</v>
      </c>
    </row>
    <row r="241" spans="1:21" ht="15">
      <c r="A241" s="24">
        <v>55</v>
      </c>
      <c r="C241" s="24">
        <v>0.99267459709134576</v>
      </c>
      <c r="D241" s="24">
        <v>4.5040464460905296</v>
      </c>
      <c r="E241" s="24">
        <v>144.34642010459629</v>
      </c>
      <c r="F241" s="24">
        <v>3.16086745262146</v>
      </c>
      <c r="G241" s="24">
        <v>27.096016894139286</v>
      </c>
      <c r="H241" s="24">
        <v>22.460141395783335</v>
      </c>
      <c r="I241" s="24">
        <v>29.780902862548828</v>
      </c>
      <c r="J241" s="24">
        <v>0.46732622385025024</v>
      </c>
      <c r="K241" s="29">
        <f t="shared" si="52"/>
        <v>4.8545430363323909</v>
      </c>
      <c r="L241" s="24">
        <f t="shared" si="53"/>
        <v>494.93566023139931</v>
      </c>
      <c r="M241" s="24">
        <f t="shared" si="54"/>
        <v>4.537992147359609E-2</v>
      </c>
      <c r="N241" s="24">
        <f t="shared" si="55"/>
        <v>0.14434642010459631</v>
      </c>
      <c r="O241">
        <v>0.14578534303615989</v>
      </c>
      <c r="T241">
        <v>0.20571218936159852</v>
      </c>
      <c r="U241">
        <v>0.20413666053969615</v>
      </c>
    </row>
    <row r="242" spans="1:21" ht="15">
      <c r="K242" s="29"/>
      <c r="L242" s="24"/>
      <c r="M242" s="24"/>
      <c r="N242" s="24"/>
      <c r="T242">
        <v>0.18867646338893354</v>
      </c>
      <c r="U242">
        <v>0.18699554564356655</v>
      </c>
    </row>
    <row r="243" spans="1:21" ht="15">
      <c r="A243">
        <v>60</v>
      </c>
      <c r="C243" s="24">
        <v>0.61495659472827569</v>
      </c>
      <c r="D243" s="24">
        <v>2.8311149089711867</v>
      </c>
      <c r="E243" s="24">
        <v>486.91963380265838</v>
      </c>
      <c r="F243" s="24">
        <v>0.58899235725402832</v>
      </c>
      <c r="G243" s="24">
        <v>27.470361517053352</v>
      </c>
      <c r="H243" s="24">
        <v>30.201745919240782</v>
      </c>
      <c r="I243" s="24">
        <v>49.946907043457031</v>
      </c>
      <c r="J243" s="24">
        <v>1.0512125492095947</v>
      </c>
      <c r="K243" s="29">
        <f t="shared" si="52"/>
        <v>4.9470193869327446</v>
      </c>
      <c r="L243" s="24">
        <f t="shared" si="53"/>
        <v>543.37291865097382</v>
      </c>
      <c r="M243" s="24">
        <f t="shared" si="54"/>
        <v>5.5581985930072367E-2</v>
      </c>
      <c r="N243" s="24">
        <f t="shared" si="55"/>
        <v>0.4869196338026584</v>
      </c>
      <c r="O243">
        <v>0.48329813630496243</v>
      </c>
      <c r="P243" t="s">
        <v>313</v>
      </c>
      <c r="Q243">
        <v>0.24755333342400676</v>
      </c>
      <c r="T243">
        <v>0.17092794718050133</v>
      </c>
      <c r="U243">
        <v>0.17217637464060032</v>
      </c>
    </row>
    <row r="244" spans="1:21" ht="15">
      <c r="A244" s="24">
        <v>60</v>
      </c>
      <c r="C244" s="24">
        <v>0.61495659472827569</v>
      </c>
      <c r="D244" s="24">
        <v>2.8494987720164544</v>
      </c>
      <c r="E244" s="24">
        <v>452.3469748090161</v>
      </c>
      <c r="F244" s="24">
        <v>0.6381257176399231</v>
      </c>
      <c r="G244" s="24">
        <v>27.46624783987847</v>
      </c>
      <c r="H244" s="24">
        <v>30.027559777048818</v>
      </c>
      <c r="I244" s="24">
        <v>49.240901947021484</v>
      </c>
      <c r="J244" s="24">
        <v>0.97812294960021973</v>
      </c>
      <c r="K244" s="29">
        <f t="shared" si="52"/>
        <v>4.9459949144269881</v>
      </c>
      <c r="L244" s="24">
        <f t="shared" si="53"/>
        <v>543.38303019460557</v>
      </c>
      <c r="M244" s="24">
        <f t="shared" si="54"/>
        <v>5.5260392961287062E-2</v>
      </c>
      <c r="N244" s="24">
        <f t="shared" si="55"/>
        <v>0.45234697480901609</v>
      </c>
      <c r="O244">
        <v>0.45754883695291237</v>
      </c>
      <c r="P244" t="s">
        <v>314</v>
      </c>
      <c r="Q244">
        <v>25.689026849487007</v>
      </c>
      <c r="T244">
        <v>0.16095090503438736</v>
      </c>
      <c r="U244">
        <v>0.16102214436770235</v>
      </c>
    </row>
    <row r="245" spans="1:21" ht="15">
      <c r="A245" s="24">
        <v>60</v>
      </c>
      <c r="C245" s="24">
        <v>0.6353938710763688</v>
      </c>
      <c r="D245" s="24">
        <v>2.9414180872427917</v>
      </c>
      <c r="E245" s="24">
        <v>435.75282387513369</v>
      </c>
      <c r="F245" s="24">
        <v>0.68379509449005127</v>
      </c>
      <c r="G245" s="24">
        <v>27.445679454004072</v>
      </c>
      <c r="H245" s="24">
        <v>29.931579101567689</v>
      </c>
      <c r="I245" s="24">
        <v>48.867885589599609</v>
      </c>
      <c r="J245" s="24">
        <v>0.95149636268615723</v>
      </c>
      <c r="K245" s="29">
        <f t="shared" si="52"/>
        <v>4.940875313251043</v>
      </c>
      <c r="L245" s="24">
        <f t="shared" si="53"/>
        <v>543.43356065821217</v>
      </c>
      <c r="M245" s="24">
        <f t="shared" si="54"/>
        <v>5.5078635675931131E-2</v>
      </c>
      <c r="N245" s="24">
        <f t="shared" si="55"/>
        <v>0.4357528238751337</v>
      </c>
      <c r="O245">
        <v>0.43685116855718947</v>
      </c>
      <c r="P245" t="s">
        <v>312</v>
      </c>
      <c r="Q245">
        <v>6.0764949750685415E-2</v>
      </c>
      <c r="T245">
        <v>0.15195427692563362</v>
      </c>
      <c r="U245">
        <v>0.15154580330941714</v>
      </c>
    </row>
    <row r="246" spans="1:21" ht="15">
      <c r="A246" s="24">
        <v>60</v>
      </c>
      <c r="C246" s="24">
        <v>0.65589462963902867</v>
      </c>
      <c r="D246" s="24">
        <v>3.0333374024691291</v>
      </c>
      <c r="E246" s="24">
        <v>421.2338586010336</v>
      </c>
      <c r="F246" s="24">
        <v>0.72946906089782715</v>
      </c>
      <c r="G246" s="24">
        <v>27.425111068129674</v>
      </c>
      <c r="H246" s="24">
        <v>29.840482932087095</v>
      </c>
      <c r="I246" s="24">
        <v>48.518894195556641</v>
      </c>
      <c r="J246" s="24">
        <v>0.96418863534927368</v>
      </c>
      <c r="K246" s="29">
        <f t="shared" si="52"/>
        <v>4.9357603117942146</v>
      </c>
      <c r="L246" s="24">
        <f t="shared" si="53"/>
        <v>543.48404572259108</v>
      </c>
      <c r="M246" s="24">
        <f t="shared" si="54"/>
        <v>5.4905904169482253E-2</v>
      </c>
      <c r="N246" s="24">
        <f t="shared" si="55"/>
        <v>0.42123385860103363</v>
      </c>
      <c r="O246">
        <v>0.41814553918471703</v>
      </c>
      <c r="P246" t="s">
        <v>327</v>
      </c>
      <c r="R246">
        <v>0.2803200849783184</v>
      </c>
      <c r="T246">
        <v>0.14121053412217849</v>
      </c>
      <c r="U246">
        <v>0.14276984150361138</v>
      </c>
    </row>
    <row r="247" spans="1:21" ht="15">
      <c r="A247" s="24">
        <v>60</v>
      </c>
      <c r="C247" s="24">
        <v>0.70538278672706478</v>
      </c>
      <c r="D247" s="24">
        <v>3.2539437590123392</v>
      </c>
      <c r="E247" s="24">
        <v>340.13285371803852</v>
      </c>
      <c r="F247" s="24">
        <v>0.96910518407821655</v>
      </c>
      <c r="G247" s="24">
        <v>27.375746942031114</v>
      </c>
      <c r="H247" s="24">
        <v>29.183233845717876</v>
      </c>
      <c r="I247" s="24">
        <v>46.093902587890625</v>
      </c>
      <c r="J247" s="24">
        <v>0.82275068759918213</v>
      </c>
      <c r="K247" s="29">
        <f t="shared" si="52"/>
        <v>4.9235030544748239</v>
      </c>
      <c r="L247" s="24">
        <f t="shared" si="53"/>
        <v>543.60502485233349</v>
      </c>
      <c r="M247" s="24">
        <f t="shared" si="54"/>
        <v>5.3684628565832879E-2</v>
      </c>
      <c r="N247" s="24">
        <f t="shared" si="55"/>
        <v>0.34013285371803853</v>
      </c>
      <c r="O247">
        <v>0.34137142151175476</v>
      </c>
      <c r="P247" t="s">
        <v>328</v>
      </c>
      <c r="R247">
        <v>12</v>
      </c>
      <c r="T247">
        <v>0.46385058069058477</v>
      </c>
      <c r="U247">
        <v>0.46359532345667837</v>
      </c>
    </row>
    <row r="248" spans="1:21" ht="15">
      <c r="A248" s="24">
        <v>60</v>
      </c>
      <c r="C248" s="24">
        <v>0.75533284536777079</v>
      </c>
      <c r="D248" s="24">
        <v>3.4745501155555494</v>
      </c>
      <c r="E248" s="24">
        <v>291.18252620275626</v>
      </c>
      <c r="F248" s="24">
        <v>1.208767294883728</v>
      </c>
      <c r="G248" s="24">
        <v>27.326382815932554</v>
      </c>
      <c r="H248" s="24">
        <v>28.588563041605479</v>
      </c>
      <c r="I248" s="24">
        <v>44.086887359619141</v>
      </c>
      <c r="J248" s="24">
        <v>0.73377734422683716</v>
      </c>
      <c r="K248" s="29">
        <f t="shared" si="52"/>
        <v>4.9112722239060105</v>
      </c>
      <c r="L248" s="24">
        <f t="shared" si="53"/>
        <v>543.72574315004761</v>
      </c>
      <c r="M248" s="24">
        <f t="shared" si="54"/>
        <v>5.2579013228211492E-2</v>
      </c>
      <c r="N248" s="24">
        <f t="shared" si="55"/>
        <v>0.29118252620275625</v>
      </c>
      <c r="O248">
        <v>0.29036493795463547</v>
      </c>
      <c r="P248" t="s">
        <v>329</v>
      </c>
      <c r="R248">
        <v>2.4673795641755379E-3</v>
      </c>
      <c r="T248">
        <v>0.44530055511453376</v>
      </c>
      <c r="U248">
        <v>0.44092563448807559</v>
      </c>
    </row>
    <row r="249" spans="1:21" ht="15">
      <c r="A249" s="24">
        <v>60</v>
      </c>
      <c r="C249" s="24">
        <v>0.78050523759319224</v>
      </c>
      <c r="D249" s="24">
        <v>3.5848532938271545</v>
      </c>
      <c r="E249" s="24">
        <v>249.82360404359667</v>
      </c>
      <c r="F249" s="24">
        <v>1.4536081552505493</v>
      </c>
      <c r="G249" s="24">
        <v>27.301700752883278</v>
      </c>
      <c r="H249" s="24">
        <v>27.885651764136448</v>
      </c>
      <c r="I249" s="24">
        <v>41.908905029296875</v>
      </c>
      <c r="J249" s="24">
        <v>0.63898366689682007</v>
      </c>
      <c r="K249" s="29">
        <f t="shared" si="52"/>
        <v>4.9051667037561426</v>
      </c>
      <c r="L249" s="24">
        <f t="shared" si="53"/>
        <v>543.78600463392684</v>
      </c>
      <c r="M249" s="24">
        <f t="shared" si="54"/>
        <v>5.1280561703512181E-2</v>
      </c>
      <c r="N249" s="24">
        <f t="shared" si="55"/>
        <v>0.24982360404359669</v>
      </c>
      <c r="O249">
        <v>0.25246563374475889</v>
      </c>
      <c r="P249" t="s">
        <v>315</v>
      </c>
      <c r="R249">
        <v>0.99963417623945583</v>
      </c>
      <c r="T249">
        <v>0.41947892605625609</v>
      </c>
      <c r="U249">
        <v>0.41901413866187759</v>
      </c>
    </row>
    <row r="250" spans="1:21" ht="15">
      <c r="A250" s="24">
        <v>60</v>
      </c>
      <c r="C250" s="24">
        <v>0.83129855685865128</v>
      </c>
      <c r="D250" s="24">
        <v>3.8054596503703642</v>
      </c>
      <c r="E250" s="24">
        <v>227.65659863099239</v>
      </c>
      <c r="F250" s="24">
        <v>1.6933094263076782</v>
      </c>
      <c r="G250" s="24">
        <v>27.252336626784718</v>
      </c>
      <c r="H250" s="24">
        <v>27.393800901304974</v>
      </c>
      <c r="I250" s="24">
        <v>40.497905731201172</v>
      </c>
      <c r="J250" s="24">
        <v>0.61389875411987305</v>
      </c>
      <c r="K250" s="29">
        <f t="shared" si="52"/>
        <v>4.892975423968414</v>
      </c>
      <c r="L250" s="24">
        <f t="shared" si="53"/>
        <v>543.90633256543174</v>
      </c>
      <c r="M250" s="24">
        <f t="shared" si="54"/>
        <v>5.0364923629583794E-2</v>
      </c>
      <c r="N250" s="24">
        <f t="shared" si="55"/>
        <v>0.22765659863099239</v>
      </c>
      <c r="O250">
        <v>0.22578996592853473</v>
      </c>
      <c r="T250">
        <v>0.39106378406175618</v>
      </c>
      <c r="U250">
        <v>0.39834372242272242</v>
      </c>
    </row>
    <row r="251" spans="1:21" ht="15">
      <c r="A251" s="24">
        <v>60</v>
      </c>
      <c r="C251" s="24">
        <v>0.86123438120389528</v>
      </c>
      <c r="D251" s="24">
        <v>3.9341466916872374</v>
      </c>
      <c r="E251" s="24">
        <v>205.71218936159852</v>
      </c>
      <c r="F251" s="24">
        <v>1.9373137950897217</v>
      </c>
      <c r="G251" s="24">
        <v>27.22354088656056</v>
      </c>
      <c r="H251" s="24">
        <v>26.794899261061712</v>
      </c>
      <c r="I251" s="24">
        <v>38.888904571533203</v>
      </c>
      <c r="J251" s="24">
        <v>0.5688401460647583</v>
      </c>
      <c r="K251" s="29">
        <f t="shared" si="52"/>
        <v>4.885875996192298</v>
      </c>
      <c r="L251" s="24">
        <f t="shared" si="53"/>
        <v>543.97640391758193</v>
      </c>
      <c r="M251" s="24">
        <f t="shared" si="54"/>
        <v>4.9257466074064157E-2</v>
      </c>
      <c r="N251" s="24">
        <f t="shared" si="55"/>
        <v>0.20571218936159852</v>
      </c>
      <c r="O251">
        <v>0.20413666053969615</v>
      </c>
      <c r="T251">
        <v>0.32685627412764617</v>
      </c>
      <c r="U251">
        <v>0.32679978901635137</v>
      </c>
    </row>
    <row r="252" spans="1:21" ht="15">
      <c r="A252" s="24">
        <v>60</v>
      </c>
      <c r="C252" s="24">
        <v>0.8914217378213154</v>
      </c>
      <c r="D252" s="24">
        <v>4.0628337330041093</v>
      </c>
      <c r="E252" s="24">
        <v>188.67646338893354</v>
      </c>
      <c r="F252" s="24">
        <v>2.1813268661499023</v>
      </c>
      <c r="G252" s="24">
        <v>27.194745146336402</v>
      </c>
      <c r="H252" s="24">
        <v>26.229512931223738</v>
      </c>
      <c r="I252" s="24">
        <v>37.467910766601562</v>
      </c>
      <c r="J252" s="24">
        <v>0.54490840435028076</v>
      </c>
      <c r="K252" s="29">
        <f t="shared" si="52"/>
        <v>4.8787855109181377</v>
      </c>
      <c r="L252" s="24">
        <f t="shared" si="53"/>
        <v>544.04638700723797</v>
      </c>
      <c r="M252" s="24">
        <f t="shared" si="54"/>
        <v>4.8211905377242736E-2</v>
      </c>
      <c r="N252" s="24">
        <f t="shared" si="55"/>
        <v>0.18867646338893354</v>
      </c>
      <c r="O252">
        <v>0.18699554564356655</v>
      </c>
      <c r="T252">
        <v>0.27900678828850656</v>
      </c>
      <c r="U252">
        <v>0.27811101234492686</v>
      </c>
    </row>
    <row r="253" spans="1:21" ht="15">
      <c r="A253" s="24">
        <v>60</v>
      </c>
      <c r="C253" s="24">
        <v>0.90009528567253816</v>
      </c>
      <c r="D253" s="24">
        <v>4.0996014590946448</v>
      </c>
      <c r="E253" s="24">
        <v>170.92794718050132</v>
      </c>
      <c r="F253" s="24">
        <v>2.4296181201934814</v>
      </c>
      <c r="G253" s="24">
        <v>27.186517791986642</v>
      </c>
      <c r="H253" s="24">
        <v>25.517690262902089</v>
      </c>
      <c r="I253" s="24">
        <v>35.803901672363281</v>
      </c>
      <c r="J253" s="24">
        <v>0.49663683772087097</v>
      </c>
      <c r="K253" s="29">
        <f t="shared" si="52"/>
        <v>4.8767612991642624</v>
      </c>
      <c r="L253" s="24">
        <f t="shared" si="53"/>
        <v>544.06636597724867</v>
      </c>
      <c r="M253" s="24">
        <f t="shared" si="54"/>
        <v>4.6901797020786923E-2</v>
      </c>
      <c r="N253" s="24">
        <f t="shared" si="55"/>
        <v>0.17092794718050133</v>
      </c>
      <c r="O253">
        <v>0.17217637464060032</v>
      </c>
      <c r="T253">
        <v>0.24128037270859398</v>
      </c>
      <c r="U253">
        <v>0.24276169252133523</v>
      </c>
    </row>
    <row r="254" spans="1:21" ht="15">
      <c r="A254" s="24">
        <v>60</v>
      </c>
      <c r="C254" s="24">
        <v>0.9350271579258348</v>
      </c>
      <c r="D254" s="24">
        <v>4.2466723634567849</v>
      </c>
      <c r="E254" s="24">
        <v>160.95090503438735</v>
      </c>
      <c r="F254" s="24">
        <v>2.6727895736694336</v>
      </c>
      <c r="G254" s="24">
        <v>27.153608374587602</v>
      </c>
      <c r="H254" s="24">
        <v>25.05235601025193</v>
      </c>
      <c r="I254" s="24">
        <v>34.772911071777344</v>
      </c>
      <c r="J254" s="24">
        <v>0.48542320728302002</v>
      </c>
      <c r="K254" s="29">
        <f t="shared" si="52"/>
        <v>4.868671740066052</v>
      </c>
      <c r="L254" s="24">
        <f t="shared" si="53"/>
        <v>544.14620992554808</v>
      </c>
      <c r="M254" s="24">
        <f t="shared" si="54"/>
        <v>4.6039750995747405E-2</v>
      </c>
      <c r="N254" s="24">
        <f t="shared" si="55"/>
        <v>0.16095090503438736</v>
      </c>
      <c r="O254">
        <v>0.16102214436770235</v>
      </c>
      <c r="T254">
        <v>0.22038807453645434</v>
      </c>
      <c r="U254">
        <v>0.21770609831855731</v>
      </c>
    </row>
    <row r="255" spans="1:21" ht="15">
      <c r="A255" s="24">
        <v>60</v>
      </c>
      <c r="C255" s="24">
        <v>0.96149047515584185</v>
      </c>
      <c r="D255" s="24">
        <v>4.3753594047736568</v>
      </c>
      <c r="E255" s="24">
        <v>151.95427692563362</v>
      </c>
      <c r="F255" s="24">
        <v>2.9168241024017334</v>
      </c>
      <c r="G255" s="24">
        <v>27.124812634363444</v>
      </c>
      <c r="H255" s="24">
        <v>24.583142507228434</v>
      </c>
      <c r="I255" s="24">
        <v>33.778900146484375</v>
      </c>
      <c r="J255" s="24">
        <v>0.48171305656433105</v>
      </c>
      <c r="K255" s="29">
        <f t="shared" si="52"/>
        <v>4.8616029330845656</v>
      </c>
      <c r="L255" s="24">
        <f t="shared" si="53"/>
        <v>544.2159790504553</v>
      </c>
      <c r="M255" s="24">
        <f t="shared" si="54"/>
        <v>4.517166612807097E-2</v>
      </c>
      <c r="N255" s="24">
        <f t="shared" si="55"/>
        <v>0.15195427692563362</v>
      </c>
      <c r="O255">
        <v>0.15154580330941714</v>
      </c>
      <c r="T255">
        <v>0.19941562333236304</v>
      </c>
      <c r="U255">
        <v>0.19747129266559355</v>
      </c>
    </row>
    <row r="256" spans="1:21" ht="15">
      <c r="A256" s="24">
        <v>60</v>
      </c>
      <c r="C256" s="24">
        <v>0.97036423983484033</v>
      </c>
      <c r="D256" s="24">
        <v>4.4121271308641923</v>
      </c>
      <c r="E256" s="24">
        <v>141.21053412217847</v>
      </c>
      <c r="F256" s="24">
        <v>3.16512131690979</v>
      </c>
      <c r="G256" s="24">
        <v>27.116585280013684</v>
      </c>
      <c r="H256" s="24">
        <v>23.949993428128632</v>
      </c>
      <c r="I256" s="24">
        <v>32.511890411376953</v>
      </c>
      <c r="J256" s="24">
        <v>0.45406264066696167</v>
      </c>
      <c r="K256" s="29">
        <f t="shared" si="52"/>
        <v>4.8595849109307681</v>
      </c>
      <c r="L256" s="24">
        <f t="shared" si="53"/>
        <v>544.23589692911321</v>
      </c>
      <c r="M256" s="24">
        <f t="shared" si="54"/>
        <v>4.4006640435274559E-2</v>
      </c>
      <c r="N256" s="24">
        <f t="shared" si="55"/>
        <v>0.14121053412217849</v>
      </c>
      <c r="O256">
        <v>0.14276984150361138</v>
      </c>
      <c r="T256">
        <v>0.18312327430981334</v>
      </c>
      <c r="U256">
        <v>0.18147757838439216</v>
      </c>
    </row>
    <row r="257" spans="1:21" ht="15">
      <c r="K257" s="29"/>
      <c r="L257" s="24"/>
      <c r="M257" s="24"/>
      <c r="N257" s="24"/>
      <c r="T257">
        <v>0.16927589878519683</v>
      </c>
      <c r="U257">
        <v>0.16838208690945711</v>
      </c>
    </row>
    <row r="258" spans="1:21" ht="15">
      <c r="A258">
        <v>65</v>
      </c>
      <c r="C258" s="24">
        <v>0.59050975535453654</v>
      </c>
      <c r="D258" s="24">
        <v>2.7208117306995816</v>
      </c>
      <c r="E258" s="24">
        <v>463.85058069058476</v>
      </c>
      <c r="F258" s="24">
        <v>0.5941961407661438</v>
      </c>
      <c r="G258" s="24">
        <v>27.495043580102628</v>
      </c>
      <c r="H258" s="24">
        <v>31.140517063590217</v>
      </c>
      <c r="I258" s="24">
        <v>54.118907928466797</v>
      </c>
      <c r="J258" s="24">
        <v>1.1012493371963501</v>
      </c>
      <c r="K258" s="29">
        <f t="shared" si="52"/>
        <v>4.9531700901860249</v>
      </c>
      <c r="L258" s="24">
        <f t="shared" si="53"/>
        <v>592.66221120986381</v>
      </c>
      <c r="M258" s="24">
        <f t="shared" si="54"/>
        <v>5.2543449665906315E-2</v>
      </c>
      <c r="N258" s="24">
        <f t="shared" si="55"/>
        <v>0.46385058069058477</v>
      </c>
      <c r="O258">
        <v>0.46359532345667837</v>
      </c>
      <c r="P258" t="s">
        <v>313</v>
      </c>
      <c r="Q258">
        <v>0.20958617550084899</v>
      </c>
      <c r="T258">
        <v>0.15498090330967582</v>
      </c>
      <c r="U258">
        <v>0.15696084874841124</v>
      </c>
    </row>
    <row r="259" spans="1:21" ht="15">
      <c r="A259" s="24">
        <v>65</v>
      </c>
      <c r="C259" s="24">
        <v>0.60679889480518456</v>
      </c>
      <c r="D259" s="24">
        <v>2.8127310459259189</v>
      </c>
      <c r="E259" s="24">
        <v>445.30055511453372</v>
      </c>
      <c r="F259" s="24">
        <v>0.63985919952392578</v>
      </c>
      <c r="G259" s="24">
        <v>27.47447519422823</v>
      </c>
      <c r="H259" s="24">
        <v>31.04928681697498</v>
      </c>
      <c r="I259" s="24">
        <v>53.698890686035156</v>
      </c>
      <c r="J259" s="24">
        <v>1.0984921455383301</v>
      </c>
      <c r="K259" s="29">
        <f t="shared" si="52"/>
        <v>4.9480440435932582</v>
      </c>
      <c r="L259" s="24">
        <f t="shared" si="53"/>
        <v>592.71280528973455</v>
      </c>
      <c r="M259" s="24">
        <f t="shared" si="54"/>
        <v>5.2385044729710575E-2</v>
      </c>
      <c r="N259" s="24">
        <f t="shared" si="55"/>
        <v>0.44530055511453376</v>
      </c>
      <c r="O259">
        <v>0.44092563448807559</v>
      </c>
      <c r="P259" t="s">
        <v>314</v>
      </c>
      <c r="Q259">
        <v>29.229224645284649</v>
      </c>
      <c r="T259">
        <v>0.14718401404690282</v>
      </c>
      <c r="U259">
        <v>0.14829478609177807</v>
      </c>
    </row>
    <row r="260" spans="1:21" ht="15">
      <c r="A260" s="24">
        <v>65</v>
      </c>
      <c r="C260" s="24">
        <v>0.61495659472827569</v>
      </c>
      <c r="D260" s="24">
        <v>2.8494987720164544</v>
      </c>
      <c r="E260" s="24">
        <v>419.47892605625606</v>
      </c>
      <c r="F260" s="24">
        <v>0.68812566995620728</v>
      </c>
      <c r="G260" s="24">
        <v>27.46624783987847</v>
      </c>
      <c r="H260" s="24">
        <v>30.911446500348791</v>
      </c>
      <c r="I260" s="24">
        <v>53.056892395019531</v>
      </c>
      <c r="J260" s="24">
        <v>1.0311822891235352</v>
      </c>
      <c r="K260" s="29">
        <f t="shared" si="52"/>
        <v>4.9459949144269881</v>
      </c>
      <c r="L260" s="24">
        <f t="shared" si="53"/>
        <v>592.73303019460559</v>
      </c>
      <c r="M260" s="24">
        <f t="shared" si="54"/>
        <v>5.2150706853977706E-2</v>
      </c>
      <c r="N260" s="24">
        <f t="shared" si="55"/>
        <v>0.41947892605625609</v>
      </c>
      <c r="O260">
        <v>0.41901413866187759</v>
      </c>
      <c r="P260" t="s">
        <v>312</v>
      </c>
      <c r="Q260">
        <v>6.3134475081681921E-2</v>
      </c>
      <c r="T260">
        <v>0.13933295084794856</v>
      </c>
      <c r="U260">
        <v>0.14069132110248805</v>
      </c>
    </row>
    <row r="261" spans="1:21" ht="15">
      <c r="A261" s="24">
        <v>65</v>
      </c>
      <c r="C261" s="24">
        <v>0.61495659472827569</v>
      </c>
      <c r="D261" s="24">
        <v>2.8494987720164544</v>
      </c>
      <c r="E261" s="24">
        <v>391.06378406175617</v>
      </c>
      <c r="F261" s="24">
        <v>0.73812568187713623</v>
      </c>
      <c r="G261" s="24">
        <v>27.46624783987847</v>
      </c>
      <c r="H261" s="24">
        <v>30.737709830179909</v>
      </c>
      <c r="I261" s="24">
        <v>52.260902404785156</v>
      </c>
      <c r="J261" s="24">
        <v>0.95087313652038574</v>
      </c>
      <c r="K261" s="29">
        <f t="shared" si="52"/>
        <v>4.9459949144269881</v>
      </c>
      <c r="L261" s="24">
        <f t="shared" si="53"/>
        <v>592.73303019460559</v>
      </c>
      <c r="M261" s="24">
        <f t="shared" si="54"/>
        <v>5.1857595687029842E-2</v>
      </c>
      <c r="N261" s="24">
        <f t="shared" si="55"/>
        <v>0.39106378406175618</v>
      </c>
      <c r="O261">
        <v>0.39834372242272242</v>
      </c>
      <c r="P261" t="s">
        <v>327</v>
      </c>
      <c r="R261">
        <v>0.27003843001544514</v>
      </c>
      <c r="T261">
        <v>0.67565815149500408</v>
      </c>
      <c r="U261">
        <v>0.70362189212565174</v>
      </c>
    </row>
    <row r="262" spans="1:21" ht="15">
      <c r="A262" s="24">
        <v>65</v>
      </c>
      <c r="C262" s="24">
        <v>0.68058551086134389</v>
      </c>
      <c r="D262" s="24">
        <v>3.1436405807407346</v>
      </c>
      <c r="E262" s="24">
        <v>326.85627412764615</v>
      </c>
      <c r="F262" s="24">
        <v>0.97428387403488159</v>
      </c>
      <c r="G262" s="24">
        <v>27.400429005080394</v>
      </c>
      <c r="H262" s="24">
        <v>30.210267979661886</v>
      </c>
      <c r="I262" s="24">
        <v>50.019893646240234</v>
      </c>
      <c r="J262" s="24">
        <v>0.85967707633972168</v>
      </c>
      <c r="K262" s="29">
        <f t="shared" si="52"/>
        <v>4.929628376809208</v>
      </c>
      <c r="L262" s="24">
        <f t="shared" si="53"/>
        <v>592.89456792089311</v>
      </c>
      <c r="M262" s="24">
        <f t="shared" si="54"/>
        <v>5.095386197515759E-2</v>
      </c>
      <c r="N262" s="24">
        <f t="shared" si="55"/>
        <v>0.32685627412764617</v>
      </c>
      <c r="O262">
        <v>0.32679978901635137</v>
      </c>
      <c r="P262" t="s">
        <v>328</v>
      </c>
      <c r="R262">
        <v>12</v>
      </c>
      <c r="T262">
        <v>0.67996584736469234</v>
      </c>
      <c r="U262">
        <v>0.6847835456499497</v>
      </c>
    </row>
    <row r="263" spans="1:21" ht="15">
      <c r="A263" s="24">
        <v>65</v>
      </c>
      <c r="C263" s="24">
        <v>0.72613518415210365</v>
      </c>
      <c r="D263" s="24">
        <v>3.3458630742386766</v>
      </c>
      <c r="E263" s="24">
        <v>279.00678828850653</v>
      </c>
      <c r="F263" s="24">
        <v>1.2147945165634155</v>
      </c>
      <c r="G263" s="24">
        <v>27.355178556156716</v>
      </c>
      <c r="H263" s="24">
        <v>29.641203234804721</v>
      </c>
      <c r="I263" s="24">
        <v>47.780902862548828</v>
      </c>
      <c r="J263" s="24">
        <v>0.76453220844268799</v>
      </c>
      <c r="K263" s="29">
        <f t="shared" si="52"/>
        <v>4.9184036662236261</v>
      </c>
      <c r="L263" s="24">
        <f t="shared" si="53"/>
        <v>593.00535581437282</v>
      </c>
      <c r="M263" s="24">
        <f t="shared" si="54"/>
        <v>4.9984714209028565E-2</v>
      </c>
      <c r="N263" s="24">
        <f t="shared" si="55"/>
        <v>0.27900678828850656</v>
      </c>
      <c r="O263">
        <v>0.27811101234492686</v>
      </c>
      <c r="P263" t="s">
        <v>329</v>
      </c>
      <c r="R263">
        <v>2.841629978975618E-3</v>
      </c>
      <c r="T263">
        <v>0.67912758342853352</v>
      </c>
      <c r="U263">
        <v>0.66550042707657331</v>
      </c>
    </row>
    <row r="264" spans="1:21" ht="15">
      <c r="A264" s="24">
        <v>65</v>
      </c>
      <c r="C264" s="24">
        <v>0.75533284536777079</v>
      </c>
      <c r="D264" s="24">
        <v>3.4745501155555494</v>
      </c>
      <c r="E264" s="24">
        <v>241.28037270859397</v>
      </c>
      <c r="F264" s="24">
        <v>1.458767294883728</v>
      </c>
      <c r="G264" s="24">
        <v>27.326382815932554</v>
      </c>
      <c r="H264" s="24">
        <v>29.012853515346318</v>
      </c>
      <c r="I264" s="24">
        <v>45.510894775390625</v>
      </c>
      <c r="J264" s="24">
        <v>0.66902285814285278</v>
      </c>
      <c r="K264" s="29">
        <f t="shared" si="52"/>
        <v>4.9112722239060105</v>
      </c>
      <c r="L264" s="24">
        <f t="shared" si="53"/>
        <v>593.07574315004763</v>
      </c>
      <c r="M264" s="24">
        <f t="shared" si="54"/>
        <v>4.8919305586919093E-2</v>
      </c>
      <c r="N264" s="24">
        <f t="shared" si="55"/>
        <v>0.24128037270859398</v>
      </c>
      <c r="O264">
        <v>0.24276169252133523</v>
      </c>
      <c r="P264" t="s">
        <v>315</v>
      </c>
      <c r="R264">
        <v>0.9994615883559248</v>
      </c>
      <c r="T264">
        <v>0.67834034805399457</v>
      </c>
      <c r="U264">
        <v>0.64740458640564258</v>
      </c>
    </row>
    <row r="265" spans="1:21" ht="15">
      <c r="A265" s="24">
        <v>65</v>
      </c>
      <c r="C265" s="24">
        <v>0.80582332616236396</v>
      </c>
      <c r="D265" s="24">
        <v>3.6951564720987591</v>
      </c>
      <c r="E265" s="24">
        <v>220.38807453645433</v>
      </c>
      <c r="F265" s="24">
        <v>1.6984555721282959</v>
      </c>
      <c r="G265" s="24">
        <v>27.277018689833998</v>
      </c>
      <c r="H265" s="24">
        <v>28.558544763160391</v>
      </c>
      <c r="I265" s="24">
        <v>43.997886657714844</v>
      </c>
      <c r="J265" s="24">
        <v>0.63977855443954468</v>
      </c>
      <c r="K265" s="29">
        <f t="shared" si="52"/>
        <v>4.8990677724260143</v>
      </c>
      <c r="L265" s="24">
        <f t="shared" si="53"/>
        <v>593.19620108615516</v>
      </c>
      <c r="M265" s="24">
        <f t="shared" si="54"/>
        <v>4.8143505826350665E-2</v>
      </c>
      <c r="N265" s="24">
        <f t="shared" si="55"/>
        <v>0.22038807453645434</v>
      </c>
      <c r="O265">
        <v>0.21770609831855731</v>
      </c>
      <c r="T265">
        <v>0.52244139577776738</v>
      </c>
      <c r="U265">
        <v>0.52247365402065782</v>
      </c>
    </row>
    <row r="266" spans="1:21" ht="15">
      <c r="A266" s="24">
        <v>65</v>
      </c>
      <c r="C266" s="24">
        <v>0.83556021839417494</v>
      </c>
      <c r="D266" s="24">
        <v>3.823843513415631</v>
      </c>
      <c r="E266" s="24">
        <v>199.41562333236303</v>
      </c>
      <c r="F266" s="24">
        <v>1.9424523115158081</v>
      </c>
      <c r="G266" s="24">
        <v>27.24822294960984</v>
      </c>
      <c r="H266" s="24">
        <v>27.997217833681415</v>
      </c>
      <c r="I266" s="24">
        <v>42.244899749755859</v>
      </c>
      <c r="J266" s="24">
        <v>0.59005242586135864</v>
      </c>
      <c r="K266" s="29">
        <f t="shared" si="52"/>
        <v>4.8919606721429565</v>
      </c>
      <c r="L266" s="24">
        <f t="shared" si="53"/>
        <v>593.26634816594901</v>
      </c>
      <c r="M266" s="24">
        <f t="shared" si="54"/>
        <v>4.7191649956606012E-2</v>
      </c>
      <c r="N266" s="24">
        <f t="shared" si="55"/>
        <v>0.19941562333236304</v>
      </c>
      <c r="O266">
        <v>0.19747129266559355</v>
      </c>
      <c r="T266">
        <v>0.43037340178786165</v>
      </c>
      <c r="U266">
        <v>0.43650458422127209</v>
      </c>
    </row>
    <row r="267" spans="1:21" ht="15">
      <c r="A267" s="24">
        <v>65</v>
      </c>
      <c r="C267" s="24">
        <v>0.86553062788129864</v>
      </c>
      <c r="D267" s="24">
        <v>3.9525305547325047</v>
      </c>
      <c r="E267" s="24">
        <v>183.12327430981335</v>
      </c>
      <c r="F267" s="24">
        <v>2.1864578723907471</v>
      </c>
      <c r="G267" s="24">
        <v>27.219427209385678</v>
      </c>
      <c r="H267" s="24">
        <v>27.463685722578635</v>
      </c>
      <c r="I267" s="24">
        <v>40.692901611328125</v>
      </c>
      <c r="J267" s="24">
        <v>0.55476701259613037</v>
      </c>
      <c r="K267" s="29">
        <f t="shared" si="52"/>
        <v>4.8848625224442888</v>
      </c>
      <c r="L267" s="24">
        <f t="shared" si="53"/>
        <v>593.33640690347488</v>
      </c>
      <c r="M267" s="24">
        <f t="shared" si="54"/>
        <v>4.6286870994326969E-2</v>
      </c>
      <c r="N267" s="24">
        <f t="shared" si="55"/>
        <v>0.18312327430981334</v>
      </c>
      <c r="O267">
        <v>0.18147757838439216</v>
      </c>
      <c r="T267">
        <v>0.36959530094899279</v>
      </c>
      <c r="U267">
        <v>0.37429309986392123</v>
      </c>
    </row>
    <row r="268" spans="1:21" ht="15">
      <c r="A268" s="24">
        <v>65</v>
      </c>
      <c r="C268" s="24">
        <v>0.8914217378213154</v>
      </c>
      <c r="D268" s="24">
        <v>4.0628337330041093</v>
      </c>
      <c r="E268" s="24">
        <v>169.27589878519683</v>
      </c>
      <c r="F268" s="24">
        <v>2.4313268661499023</v>
      </c>
      <c r="G268" s="24">
        <v>27.194745146336402</v>
      </c>
      <c r="H268" s="24">
        <v>26.92348788069388</v>
      </c>
      <c r="I268" s="24">
        <v>39.221900939941406</v>
      </c>
      <c r="J268" s="24">
        <v>0.5231403112411499</v>
      </c>
      <c r="K268" s="29">
        <f t="shared" si="52"/>
        <v>4.8787855109181377</v>
      </c>
      <c r="L268" s="24">
        <f t="shared" si="53"/>
        <v>593.39638700723799</v>
      </c>
      <c r="M268" s="24">
        <f t="shared" si="54"/>
        <v>4.5371843290925667E-2</v>
      </c>
      <c r="N268" s="24">
        <f t="shared" si="55"/>
        <v>0.16927589878519683</v>
      </c>
      <c r="O268">
        <v>0.16838208690945711</v>
      </c>
      <c r="T268">
        <v>0.31710633323043985</v>
      </c>
      <c r="U268">
        <v>0.32372361156414531</v>
      </c>
    </row>
    <row r="269" spans="1:21" ht="15">
      <c r="A269" s="24">
        <v>65</v>
      </c>
      <c r="C269" s="24">
        <v>0.90009528567253816</v>
      </c>
      <c r="D269" s="24">
        <v>4.0996014590946448</v>
      </c>
      <c r="E269" s="24">
        <v>154.98090330967582</v>
      </c>
      <c r="F269" s="24">
        <v>2.6796181201934814</v>
      </c>
      <c r="G269" s="24">
        <v>27.186517791986642</v>
      </c>
      <c r="H269" s="24">
        <v>26.259277644323781</v>
      </c>
      <c r="I269" s="24">
        <v>37.538902282714844</v>
      </c>
      <c r="J269" s="24">
        <v>0.47698628902435303</v>
      </c>
      <c r="K269" s="29">
        <f t="shared" si="52"/>
        <v>4.8767612991642624</v>
      </c>
      <c r="L269" s="24">
        <f t="shared" si="53"/>
        <v>593.41636597724869</v>
      </c>
      <c r="M269" s="24">
        <f t="shared" si="54"/>
        <v>4.4251016907967365E-2</v>
      </c>
      <c r="N269" s="24">
        <f t="shared" si="55"/>
        <v>0.15498090330967582</v>
      </c>
      <c r="O269">
        <v>0.15696084874841124</v>
      </c>
      <c r="T269">
        <v>0.28623366130841443</v>
      </c>
      <c r="U269">
        <v>0.28808341458662523</v>
      </c>
    </row>
    <row r="270" spans="1:21" ht="15">
      <c r="A270" s="24">
        <v>65</v>
      </c>
      <c r="C270" s="24">
        <v>0.9350271579258348</v>
      </c>
      <c r="D270" s="24">
        <v>4.2466723634567849</v>
      </c>
      <c r="E270" s="24">
        <v>147.1840140469028</v>
      </c>
      <c r="F270" s="24">
        <v>2.9227895736694336</v>
      </c>
      <c r="G270" s="24">
        <v>27.153608374587602</v>
      </c>
      <c r="H270" s="24">
        <v>25.843368119538631</v>
      </c>
      <c r="I270" s="24">
        <v>36.541889190673828</v>
      </c>
      <c r="J270" s="24">
        <v>0.47592681646347046</v>
      </c>
      <c r="K270" s="29">
        <f t="shared" si="52"/>
        <v>4.868671740066052</v>
      </c>
      <c r="L270" s="24">
        <f t="shared" si="53"/>
        <v>593.4962099255481</v>
      </c>
      <c r="M270" s="24">
        <f t="shared" si="54"/>
        <v>4.3544285013682876E-2</v>
      </c>
      <c r="N270" s="24">
        <f t="shared" si="55"/>
        <v>0.14718401404690282</v>
      </c>
      <c r="O270">
        <v>0.14829478609177807</v>
      </c>
      <c r="T270">
        <v>0.25410749660699306</v>
      </c>
      <c r="U270">
        <v>0.25640616567728469</v>
      </c>
    </row>
    <row r="271" spans="1:21" ht="15">
      <c r="A271" s="24">
        <v>65</v>
      </c>
      <c r="C271" s="24">
        <v>0.95706367068518905</v>
      </c>
      <c r="D271" s="24">
        <v>4.3569755417283895</v>
      </c>
      <c r="E271" s="24">
        <v>139.33295084794855</v>
      </c>
      <c r="F271" s="24">
        <v>3.1676757335662842</v>
      </c>
      <c r="G271" s="24">
        <v>27.128926311538322</v>
      </c>
      <c r="H271" s="24">
        <v>25.378541842944504</v>
      </c>
      <c r="I271" s="24">
        <v>35.478908538818359</v>
      </c>
      <c r="J271" s="24">
        <v>0.46317192912101746</v>
      </c>
      <c r="K271" s="29">
        <f t="shared" si="52"/>
        <v>4.8626122169098664</v>
      </c>
      <c r="L271" s="24">
        <f t="shared" si="53"/>
        <v>593.55601741909959</v>
      </c>
      <c r="M271" s="24">
        <f t="shared" si="54"/>
        <v>4.2756776274117288E-2</v>
      </c>
      <c r="N271" s="24">
        <f t="shared" si="55"/>
        <v>0.13933295084794856</v>
      </c>
      <c r="O271">
        <v>0.14069132110248805</v>
      </c>
      <c r="T271">
        <v>0.23381024803331019</v>
      </c>
      <c r="U271">
        <v>0.23311920112087547</v>
      </c>
    </row>
    <row r="272" spans="1:21">
      <c r="T272">
        <v>0.21260352069201693</v>
      </c>
      <c r="U272">
        <v>0.21205177525087004</v>
      </c>
    </row>
    <row r="273" spans="1:21">
      <c r="A273" s="19" t="s">
        <v>348</v>
      </c>
      <c r="T273">
        <v>0.19673073152321202</v>
      </c>
      <c r="U273">
        <v>0.19529410667443209</v>
      </c>
    </row>
    <row r="274" spans="1:21">
      <c r="T274">
        <v>0.18258432299336405</v>
      </c>
      <c r="U274">
        <v>0.18089199436399067</v>
      </c>
    </row>
    <row r="275" spans="1:21">
      <c r="C275" s="19" t="s">
        <v>317</v>
      </c>
      <c r="D275" s="24"/>
      <c r="E275" s="24"/>
      <c r="F275" s="24"/>
      <c r="G275" s="24"/>
      <c r="H275" s="24"/>
      <c r="T275">
        <v>0.16909329815552668</v>
      </c>
      <c r="U275">
        <v>0.16808346587145331</v>
      </c>
    </row>
    <row r="276" spans="1:21">
      <c r="C276" s="19" t="s">
        <v>310</v>
      </c>
      <c r="D276" s="24"/>
      <c r="E276" s="24"/>
      <c r="F276" s="24"/>
      <c r="G276" s="24"/>
      <c r="H276" s="24"/>
      <c r="T276">
        <v>0.15745878157523763</v>
      </c>
      <c r="U276">
        <v>0.1571207953798556</v>
      </c>
    </row>
    <row r="277" spans="1:21">
      <c r="C277" s="24"/>
      <c r="D277" s="24"/>
      <c r="E277" s="24"/>
      <c r="F277" s="24"/>
      <c r="G277" s="24"/>
      <c r="H277" s="24"/>
      <c r="K277" s="19" t="s">
        <v>148</v>
      </c>
      <c r="L277" s="19" t="s">
        <v>292</v>
      </c>
      <c r="M277" s="24"/>
      <c r="N277" s="24"/>
      <c r="O277" s="24"/>
      <c r="T277">
        <v>0.15037386524970739</v>
      </c>
      <c r="U277">
        <v>0.14894656251380894</v>
      </c>
    </row>
    <row r="278" spans="1:21">
      <c r="A278" s="19" t="s">
        <v>148</v>
      </c>
      <c r="C278" s="24" t="s">
        <v>154</v>
      </c>
      <c r="D278" s="24" t="s">
        <v>155</v>
      </c>
      <c r="E278" s="24" t="s">
        <v>156</v>
      </c>
      <c r="F278" s="24" t="s">
        <v>159</v>
      </c>
      <c r="G278" s="24" t="s">
        <v>238</v>
      </c>
      <c r="H278" s="24" t="s">
        <v>157</v>
      </c>
      <c r="K278" s="27" t="s">
        <v>341</v>
      </c>
      <c r="L278" s="27" t="s">
        <v>342</v>
      </c>
      <c r="M278" s="19" t="s">
        <v>343</v>
      </c>
      <c r="N278" s="19" t="s">
        <v>288</v>
      </c>
      <c r="O278" s="19" t="s">
        <v>344</v>
      </c>
      <c r="P278" t="s">
        <v>313</v>
      </c>
      <c r="Q278">
        <v>0.46481798349875786</v>
      </c>
      <c r="T278">
        <v>0.14240893014078818</v>
      </c>
      <c r="U278">
        <v>0.14111562869353511</v>
      </c>
    </row>
    <row r="279" spans="1:21" ht="15">
      <c r="A279">
        <v>40</v>
      </c>
      <c r="C279" s="24">
        <v>0.72613444865691157</v>
      </c>
      <c r="D279" s="24">
        <v>3.901690225514332</v>
      </c>
      <c r="E279" s="24">
        <v>675.65815149500406</v>
      </c>
      <c r="F279" s="24">
        <v>0.58497220277786255</v>
      </c>
      <c r="G279" s="24">
        <v>31.924776235771681</v>
      </c>
      <c r="H279" s="24">
        <v>30.722916434255403</v>
      </c>
      <c r="K279" s="29">
        <f>0.1013*42.75*EXP((37830*((G279+273.15)-298))/(298*$H$26*(G279+273.15)))</f>
        <v>6.1704577856834879</v>
      </c>
      <c r="L279" s="24">
        <f>(A279-K279)*9.87</f>
        <v>333.89758165530395</v>
      </c>
      <c r="M279" s="24">
        <f>H279/L279</f>
        <v>9.201299476907239E-2</v>
      </c>
      <c r="N279" s="24">
        <f>E279*0.001</f>
        <v>0.67565815149500408</v>
      </c>
      <c r="O279" s="24">
        <v>0.70362189212565174</v>
      </c>
      <c r="P279" t="s">
        <v>314</v>
      </c>
      <c r="Q279">
        <v>15.946173195119268</v>
      </c>
      <c r="T279">
        <v>0.13534577138462864</v>
      </c>
      <c r="U279">
        <v>0.13426484800721855</v>
      </c>
    </row>
    <row r="280" spans="1:21" ht="15">
      <c r="A280" s="24">
        <v>40</v>
      </c>
      <c r="C280" s="24">
        <v>0.77209846856494957</v>
      </c>
      <c r="D280" s="24">
        <v>4.1603658205760556</v>
      </c>
      <c r="E280" s="24">
        <v>679.96584736469231</v>
      </c>
      <c r="F280" s="24">
        <v>0.61980324983596802</v>
      </c>
      <c r="G280" s="24">
        <v>31.867355080117523</v>
      </c>
      <c r="H280" s="24">
        <v>30.837597412986305</v>
      </c>
      <c r="K280" s="29">
        <f t="shared" ref="K280:K298" si="56">0.1013*42.75*EXP((37830*((G280+273.15)-298))/(298*$H$26*(G280+273.15)))</f>
        <v>6.1531575812896291</v>
      </c>
      <c r="L280" s="24">
        <f t="shared" ref="L280:L298" si="57">(A280-K280)*9.87</f>
        <v>334.06833467267137</v>
      </c>
      <c r="M280" s="24">
        <f t="shared" ref="M280:M298" si="58">H280/L280</f>
        <v>9.2309249971871066E-2</v>
      </c>
      <c r="N280" s="24">
        <f t="shared" ref="N280:N298" si="59">E280*0.001</f>
        <v>0.67996584736469234</v>
      </c>
      <c r="O280">
        <v>0.6847835456499497</v>
      </c>
      <c r="P280" t="s">
        <v>312</v>
      </c>
      <c r="Q280">
        <v>5.3961998764534606E-2</v>
      </c>
      <c r="T280">
        <v>0.12853233343933165</v>
      </c>
      <c r="U280">
        <v>0.12802619611382546</v>
      </c>
    </row>
    <row r="281" spans="1:21" ht="15">
      <c r="A281" s="24">
        <v>40</v>
      </c>
      <c r="C281" s="24">
        <v>0.81853984265635948</v>
      </c>
      <c r="D281" s="24">
        <v>4.397485116049304</v>
      </c>
      <c r="E281" s="24">
        <v>679.12758342853351</v>
      </c>
      <c r="F281" s="24">
        <v>0.65593749284744263</v>
      </c>
      <c r="G281" s="24">
        <v>31.814719020767882</v>
      </c>
      <c r="H281" s="24">
        <v>30.905338005196828</v>
      </c>
      <c r="K281" s="29">
        <f t="shared" si="56"/>
        <v>6.1373359736911048</v>
      </c>
      <c r="L281" s="24">
        <f t="shared" si="57"/>
        <v>334.22449393966872</v>
      </c>
      <c r="M281" s="24">
        <f t="shared" si="58"/>
        <v>9.2468800359005371E-2</v>
      </c>
      <c r="N281" s="24">
        <f t="shared" si="59"/>
        <v>0.67912758342853352</v>
      </c>
      <c r="O281">
        <v>0.66550042707657331</v>
      </c>
      <c r="P281" t="s">
        <v>327</v>
      </c>
      <c r="R281">
        <v>0.33009456615949084</v>
      </c>
      <c r="T281">
        <v>9.5867147641001405E-2</v>
      </c>
      <c r="U281">
        <v>9.9837359360939112E-2</v>
      </c>
    </row>
    <row r="282" spans="1:21" ht="15">
      <c r="A282" s="24">
        <v>40</v>
      </c>
      <c r="C282" s="24">
        <v>0.86552972868697564</v>
      </c>
      <c r="D282" s="24">
        <v>4.6346044115225498</v>
      </c>
      <c r="E282" s="24">
        <v>678.3403480539946</v>
      </c>
      <c r="F282" s="24">
        <v>0.69210892915725708</v>
      </c>
      <c r="G282" s="24">
        <v>31.762082961418241</v>
      </c>
      <c r="H282" s="24">
        <v>30.973189137703276</v>
      </c>
      <c r="K282" s="29">
        <f t="shared" si="56"/>
        <v>6.121549606760925</v>
      </c>
      <c r="L282" s="24">
        <f t="shared" si="57"/>
        <v>334.38030538126969</v>
      </c>
      <c r="M282" s="24">
        <f t="shared" si="58"/>
        <v>9.2628628657979079E-2</v>
      </c>
      <c r="N282" s="24">
        <f t="shared" si="59"/>
        <v>0.67834034805399457</v>
      </c>
      <c r="O282">
        <v>0.64740458640564258</v>
      </c>
      <c r="P282" t="s">
        <v>328</v>
      </c>
      <c r="R282">
        <v>18</v>
      </c>
      <c r="T282">
        <v>9.6779418239863815E-2</v>
      </c>
      <c r="U282">
        <v>9.7246612233507085E-2</v>
      </c>
    </row>
    <row r="283" spans="1:21" ht="15">
      <c r="A283" s="24">
        <v>40</v>
      </c>
      <c r="C283" s="24">
        <v>0.90009434322361959</v>
      </c>
      <c r="D283" s="24">
        <v>4.807054808230367</v>
      </c>
      <c r="E283" s="24">
        <v>522.44139577776741</v>
      </c>
      <c r="F283" s="24">
        <v>0.9320751428604126</v>
      </c>
      <c r="G283" s="24">
        <v>31.723802190982138</v>
      </c>
      <c r="H283" s="24">
        <v>29.534643957506923</v>
      </c>
      <c r="K283" s="29">
        <f t="shared" si="56"/>
        <v>6.1100907099015158</v>
      </c>
      <c r="L283" s="24">
        <f t="shared" si="57"/>
        <v>334.49340469327205</v>
      </c>
      <c r="M283" s="24">
        <f t="shared" si="58"/>
        <v>8.8296640660493655E-2</v>
      </c>
      <c r="N283" s="24">
        <f t="shared" si="59"/>
        <v>0.52244139577776738</v>
      </c>
      <c r="O283">
        <v>0.52247365402065782</v>
      </c>
      <c r="P283" t="s">
        <v>329</v>
      </c>
      <c r="R283">
        <v>1.0729076698208556E-2</v>
      </c>
      <c r="T283">
        <v>9.6528605052793107E-2</v>
      </c>
      <c r="U283">
        <v>9.4569032539635459E-2</v>
      </c>
    </row>
    <row r="284" spans="1:21" ht="15">
      <c r="A284" s="24">
        <v>40</v>
      </c>
      <c r="C284" s="24">
        <v>0.93502617060602988</v>
      </c>
      <c r="D284" s="24">
        <v>4.9795052049381834</v>
      </c>
      <c r="E284" s="24">
        <v>430.37340178786167</v>
      </c>
      <c r="F284" s="24">
        <v>1.1720609664916992</v>
      </c>
      <c r="G284" s="24">
        <v>31.685521420546035</v>
      </c>
      <c r="H284" s="24">
        <v>28.267740377562152</v>
      </c>
      <c r="K284" s="29">
        <f t="shared" si="56"/>
        <v>6.0986503929888567</v>
      </c>
      <c r="L284" s="24">
        <f t="shared" si="57"/>
        <v>334.60632062119993</v>
      </c>
      <c r="M284" s="24">
        <f t="shared" si="58"/>
        <v>8.448059296992004E-2</v>
      </c>
      <c r="N284" s="24">
        <f t="shared" si="59"/>
        <v>0.43037340178786165</v>
      </c>
      <c r="O284">
        <v>0.43650458422127209</v>
      </c>
      <c r="P284" t="s">
        <v>315</v>
      </c>
      <c r="R284">
        <v>0.99742868633843074</v>
      </c>
      <c r="T284">
        <v>9.6303600788663263E-2</v>
      </c>
      <c r="U284">
        <v>9.2051751471317986E-2</v>
      </c>
    </row>
    <row r="285" spans="1:21" ht="15">
      <c r="A285" s="24">
        <v>40</v>
      </c>
      <c r="C285" s="24">
        <v>0.97036320586896574</v>
      </c>
      <c r="D285" s="24">
        <v>5.1519556016459989</v>
      </c>
      <c r="E285" s="24">
        <v>369.59530094899276</v>
      </c>
      <c r="F285" s="24">
        <v>1.4120663404464722</v>
      </c>
      <c r="G285" s="24">
        <v>31.647240650109932</v>
      </c>
      <c r="H285" s="24">
        <v>27.150488579853594</v>
      </c>
      <c r="K285" s="29">
        <f t="shared" si="56"/>
        <v>6.0872286309123256</v>
      </c>
      <c r="L285" s="24">
        <f t="shared" si="57"/>
        <v>334.71905341289528</v>
      </c>
      <c r="M285" s="24">
        <f t="shared" si="58"/>
        <v>8.1114260759939161E-2</v>
      </c>
      <c r="N285" s="24">
        <f t="shared" si="59"/>
        <v>0.36959530094899279</v>
      </c>
      <c r="O285">
        <v>0.37429309986392123</v>
      </c>
      <c r="T285">
        <v>7.8401389014827572E-2</v>
      </c>
      <c r="U285">
        <v>7.7790912326249795E-2</v>
      </c>
    </row>
    <row r="286" spans="1:21" ht="15">
      <c r="A286" s="24">
        <v>40</v>
      </c>
      <c r="C286" s="24">
        <v>0.97481066871124766</v>
      </c>
      <c r="D286" s="24">
        <v>5.1950682008229538</v>
      </c>
      <c r="E286" s="24">
        <v>317.10633323043987</v>
      </c>
      <c r="F286" s="24">
        <v>1.6595708131790161</v>
      </c>
      <c r="G286" s="24">
        <v>31.637670457500903</v>
      </c>
      <c r="H286" s="24">
        <v>25.881635480924093</v>
      </c>
      <c r="K286" s="29">
        <f t="shared" si="56"/>
        <v>6.0843760866461896</v>
      </c>
      <c r="L286" s="24">
        <f t="shared" si="57"/>
        <v>334.74720802480209</v>
      </c>
      <c r="M286" s="24">
        <f t="shared" si="58"/>
        <v>7.7316956976700074E-2</v>
      </c>
      <c r="N286" s="24">
        <f t="shared" si="59"/>
        <v>0.31710633323043985</v>
      </c>
      <c r="O286">
        <v>0.32372361156414531</v>
      </c>
      <c r="T286">
        <v>6.6790219695181424E-2</v>
      </c>
      <c r="U286">
        <v>6.7242114603286107E-2</v>
      </c>
    </row>
    <row r="287" spans="1:21" ht="15">
      <c r="A287" s="24">
        <v>40</v>
      </c>
      <c r="C287" s="24">
        <v>1.0106535006748827</v>
      </c>
      <c r="D287" s="24">
        <v>5.3675185975307658</v>
      </c>
      <c r="E287" s="24">
        <v>286.23366130841441</v>
      </c>
      <c r="F287" s="24">
        <v>1.899600625038147</v>
      </c>
      <c r="G287" s="24">
        <v>31.599389687064804</v>
      </c>
      <c r="H287" s="24">
        <v>25.00857874396273</v>
      </c>
      <c r="K287" s="29">
        <f t="shared" si="56"/>
        <v>6.0729774828431058</v>
      </c>
      <c r="L287" s="24">
        <f t="shared" si="57"/>
        <v>334.85971224433848</v>
      </c>
      <c r="M287" s="24">
        <f t="shared" si="58"/>
        <v>7.4683749132874538E-2</v>
      </c>
      <c r="N287" s="24">
        <f t="shared" si="59"/>
        <v>0.28623366130841443</v>
      </c>
      <c r="O287">
        <v>0.28808341458662523</v>
      </c>
      <c r="T287">
        <v>5.8649557880924567E-2</v>
      </c>
      <c r="U287">
        <v>5.91831281214329E-2</v>
      </c>
    </row>
    <row r="288" spans="1:21" ht="15">
      <c r="A288" s="24">
        <v>40</v>
      </c>
      <c r="C288" s="24">
        <v>1.0151674987555988</v>
      </c>
      <c r="D288" s="24">
        <v>5.3890748971192419</v>
      </c>
      <c r="E288" s="24">
        <v>254.10749660699304</v>
      </c>
      <c r="F288" s="24">
        <v>2.1483557224273682</v>
      </c>
      <c r="G288" s="24">
        <v>31.594604590760291</v>
      </c>
      <c r="H288" s="24">
        <v>23.900955870879081</v>
      </c>
      <c r="K288" s="29">
        <f t="shared" si="56"/>
        <v>6.0715539585522986</v>
      </c>
      <c r="L288" s="24">
        <f t="shared" si="57"/>
        <v>334.87376242908874</v>
      </c>
      <c r="M288" s="24">
        <f t="shared" si="58"/>
        <v>7.1373032325696861E-2</v>
      </c>
      <c r="N288" s="24">
        <f t="shared" si="59"/>
        <v>0.25410749660699306</v>
      </c>
      <c r="O288">
        <v>0.25640616567728469</v>
      </c>
      <c r="T288">
        <v>5.2861788053273927E-2</v>
      </c>
      <c r="U288">
        <v>5.2936639114261649E-2</v>
      </c>
    </row>
    <row r="289" spans="1:21" ht="15">
      <c r="A289" s="24">
        <v>40</v>
      </c>
      <c r="C289" s="24">
        <v>1.0424241111822012</v>
      </c>
      <c r="D289" s="24">
        <v>5.5184126946501006</v>
      </c>
      <c r="E289" s="24">
        <v>233.81024803331019</v>
      </c>
      <c r="F289" s="24">
        <v>2.3908927440643311</v>
      </c>
      <c r="G289" s="24">
        <v>31.565894012933214</v>
      </c>
      <c r="H289" s="24">
        <v>23.120618382890157</v>
      </c>
      <c r="K289" s="29">
        <f t="shared" si="56"/>
        <v>6.0630188798672862</v>
      </c>
      <c r="L289" s="24">
        <f t="shared" si="57"/>
        <v>334.95800365570983</v>
      </c>
      <c r="M289" s="24">
        <f t="shared" si="58"/>
        <v>6.9025424472779373E-2</v>
      </c>
      <c r="N289" s="24">
        <f t="shared" si="59"/>
        <v>0.23381024803331019</v>
      </c>
      <c r="O289">
        <v>0.23311920112087547</v>
      </c>
      <c r="T289">
        <v>4.6739169324293284E-2</v>
      </c>
      <c r="U289">
        <v>4.7399994601757103E-2</v>
      </c>
    </row>
    <row r="290" spans="1:21" ht="15">
      <c r="A290" s="24">
        <v>40</v>
      </c>
      <c r="C290" s="24">
        <v>1.0469958019465719</v>
      </c>
      <c r="D290" s="24">
        <v>5.5399689942385777</v>
      </c>
      <c r="E290" s="24">
        <v>212.60352069201693</v>
      </c>
      <c r="F290" s="24">
        <v>2.6396498680114746</v>
      </c>
      <c r="G290" s="24">
        <v>31.561108916628701</v>
      </c>
      <c r="H290" s="24">
        <v>22.17992654153419</v>
      </c>
      <c r="K290" s="29">
        <f t="shared" si="56"/>
        <v>6.0615973774735883</v>
      </c>
      <c r="L290" s="24">
        <f t="shared" si="57"/>
        <v>334.97203388433564</v>
      </c>
      <c r="M290" s="24">
        <f t="shared" si="58"/>
        <v>6.621426357399382E-2</v>
      </c>
      <c r="N290" s="24">
        <f t="shared" si="59"/>
        <v>0.21260352069201693</v>
      </c>
      <c r="O290">
        <v>0.21205177525087004</v>
      </c>
      <c r="T290">
        <v>4.3562185391536265E-2</v>
      </c>
      <c r="U290">
        <v>4.3430972331556156E-2</v>
      </c>
    </row>
    <row r="291" spans="1:21" ht="15">
      <c r="A291" s="24">
        <v>40</v>
      </c>
      <c r="C291" s="24">
        <v>1.0607625252018069</v>
      </c>
      <c r="D291" s="24">
        <v>5.6046378930040071</v>
      </c>
      <c r="E291" s="24">
        <v>196.73073152321203</v>
      </c>
      <c r="F291" s="24">
        <v>2.8859233856201172</v>
      </c>
      <c r="G291" s="24">
        <v>31.546753627715162</v>
      </c>
      <c r="H291" s="24">
        <v>21.404517405477563</v>
      </c>
      <c r="K291" s="29">
        <f t="shared" si="56"/>
        <v>6.0573346019789236</v>
      </c>
      <c r="L291" s="24">
        <f t="shared" si="57"/>
        <v>335.01410747846802</v>
      </c>
      <c r="M291" s="24">
        <f t="shared" si="58"/>
        <v>6.3891391221049615E-2</v>
      </c>
      <c r="N291" s="24">
        <f t="shared" si="59"/>
        <v>0.19673073152321202</v>
      </c>
      <c r="O291">
        <v>0.19529410667443209</v>
      </c>
      <c r="T291">
        <v>3.9293702359420188E-2</v>
      </c>
      <c r="U291">
        <v>3.957599308340027E-2</v>
      </c>
    </row>
    <row r="292" spans="1:21" ht="15">
      <c r="A292" s="24">
        <v>40</v>
      </c>
      <c r="C292" s="24">
        <v>1.0699845467701115</v>
      </c>
      <c r="D292" s="24">
        <v>5.6477504921809603</v>
      </c>
      <c r="E292" s="24">
        <v>182.58432299336405</v>
      </c>
      <c r="F292" s="24">
        <v>3.1334404945373535</v>
      </c>
      <c r="G292" s="24">
        <v>31.537183435106137</v>
      </c>
      <c r="H292" s="24">
        <v>20.645084284290885</v>
      </c>
      <c r="K292" s="29">
        <f t="shared" si="56"/>
        <v>6.0544941942328219</v>
      </c>
      <c r="L292" s="24">
        <f t="shared" si="57"/>
        <v>335.042142302922</v>
      </c>
      <c r="M292" s="24">
        <f t="shared" si="58"/>
        <v>6.1619365678557005E-2</v>
      </c>
      <c r="N292" s="24">
        <f t="shared" si="59"/>
        <v>0.18258432299336405</v>
      </c>
      <c r="O292">
        <v>0.18089199436399067</v>
      </c>
      <c r="T292">
        <v>3.6988904124075621E-2</v>
      </c>
      <c r="U292">
        <v>3.6765656578005443E-2</v>
      </c>
    </row>
    <row r="293" spans="1:21" ht="15">
      <c r="A293" s="24">
        <v>40</v>
      </c>
      <c r="C293" s="24">
        <v>1.0699845467701115</v>
      </c>
      <c r="D293" s="24">
        <v>5.6477504921809603</v>
      </c>
      <c r="E293" s="24">
        <v>169.09329815552667</v>
      </c>
      <c r="F293" s="24">
        <v>3.3834404945373535</v>
      </c>
      <c r="G293" s="24">
        <v>31.537183435106137</v>
      </c>
      <c r="H293" s="24">
        <v>19.851421874423611</v>
      </c>
      <c r="K293" s="29">
        <f t="shared" si="56"/>
        <v>6.0544941942328219</v>
      </c>
      <c r="L293" s="24">
        <f t="shared" si="57"/>
        <v>335.042142302922</v>
      </c>
      <c r="M293" s="24">
        <f t="shared" si="58"/>
        <v>5.9250522152151604E-2</v>
      </c>
      <c r="N293" s="24">
        <f t="shared" si="59"/>
        <v>0.16909329815552668</v>
      </c>
      <c r="O293">
        <v>0.16808346587145331</v>
      </c>
      <c r="T293">
        <v>3.434008418561766E-2</v>
      </c>
      <c r="U293">
        <v>3.4135206415554245E-2</v>
      </c>
    </row>
    <row r="294" spans="1:21" ht="15">
      <c r="A294" s="24">
        <v>40</v>
      </c>
      <c r="C294" s="24">
        <v>1.0699845467701115</v>
      </c>
      <c r="D294" s="24">
        <v>5.6477504921809603</v>
      </c>
      <c r="E294" s="24">
        <v>157.45878157523762</v>
      </c>
      <c r="F294" s="24">
        <v>3.6334404945373535</v>
      </c>
      <c r="G294" s="24">
        <v>31.537183435106137</v>
      </c>
      <c r="H294" s="24">
        <v>19.11021843473808</v>
      </c>
      <c r="K294" s="29">
        <f t="shared" si="56"/>
        <v>6.0544941942328219</v>
      </c>
      <c r="L294" s="24">
        <f t="shared" si="57"/>
        <v>335.042142302922</v>
      </c>
      <c r="M294" s="24">
        <f t="shared" si="58"/>
        <v>5.7038252869873123E-2</v>
      </c>
      <c r="N294" s="24">
        <f t="shared" si="59"/>
        <v>0.15745878157523763</v>
      </c>
      <c r="O294">
        <v>0.1571207953798556</v>
      </c>
      <c r="T294">
        <v>3.207958229530089E-2</v>
      </c>
      <c r="U294">
        <v>3.1882923015473227E-2</v>
      </c>
    </row>
    <row r="295" spans="1:21" ht="15">
      <c r="A295" s="24">
        <v>40</v>
      </c>
      <c r="C295" s="24">
        <v>1.0932050013426666</v>
      </c>
      <c r="D295" s="24">
        <v>5.755531990123341</v>
      </c>
      <c r="E295" s="24">
        <v>150.37386524970739</v>
      </c>
      <c r="F295" s="24">
        <v>3.8772387504577637</v>
      </c>
      <c r="G295" s="24">
        <v>31.513257953583572</v>
      </c>
      <c r="H295" s="24">
        <v>18.646586472387149</v>
      </c>
      <c r="K295" s="29">
        <f t="shared" si="56"/>
        <v>6.0473982210623332</v>
      </c>
      <c r="L295" s="24">
        <f t="shared" si="57"/>
        <v>335.11217955811475</v>
      </c>
      <c r="M295" s="24">
        <f t="shared" si="58"/>
        <v>5.5642819359698864E-2</v>
      </c>
      <c r="N295" s="24">
        <f t="shared" si="59"/>
        <v>0.15037386524970739</v>
      </c>
      <c r="O295">
        <v>0.14894656251380894</v>
      </c>
      <c r="T295">
        <v>2.9884451784079197E-2</v>
      </c>
      <c r="U295">
        <v>2.9849953589760954E-2</v>
      </c>
    </row>
    <row r="296" spans="1:21" ht="15">
      <c r="A296" s="24">
        <v>40</v>
      </c>
      <c r="C296" s="24">
        <v>1.1025603110975066</v>
      </c>
      <c r="D296" s="24">
        <v>5.7986445893002951</v>
      </c>
      <c r="E296" s="24">
        <v>142.40893014078819</v>
      </c>
      <c r="F296" s="24">
        <v>4.1247601509094238</v>
      </c>
      <c r="G296" s="24">
        <v>31.503687760974547</v>
      </c>
      <c r="H296" s="24">
        <v>18.086117183579034</v>
      </c>
      <c r="K296" s="29">
        <f t="shared" si="56"/>
        <v>6.0445618492472191</v>
      </c>
      <c r="L296" s="24">
        <f t="shared" si="57"/>
        <v>335.14017454792997</v>
      </c>
      <c r="M296" s="24">
        <f t="shared" si="58"/>
        <v>5.3965828501388612E-2</v>
      </c>
      <c r="N296" s="24">
        <f t="shared" si="59"/>
        <v>0.14240893014078818</v>
      </c>
      <c r="O296">
        <v>0.14111562869353511</v>
      </c>
      <c r="T296">
        <v>2.8653300532457755E-2</v>
      </c>
      <c r="U296">
        <v>2.8326092300777088E-2</v>
      </c>
    </row>
    <row r="297" spans="1:21" ht="15">
      <c r="A297" s="24">
        <v>40</v>
      </c>
      <c r="C297" s="24">
        <v>1.1072528592638571</v>
      </c>
      <c r="D297" s="24">
        <v>5.8417571884772475</v>
      </c>
      <c r="E297" s="24">
        <v>135.34577138462865</v>
      </c>
      <c r="F297" s="24">
        <v>4.3722829818725586</v>
      </c>
      <c r="G297" s="24">
        <v>31.494117568365521</v>
      </c>
      <c r="H297" s="24">
        <v>17.564648419228295</v>
      </c>
      <c r="K297" s="29">
        <f t="shared" si="56"/>
        <v>6.041726629676984</v>
      </c>
      <c r="L297" s="24">
        <f t="shared" si="57"/>
        <v>335.16815816508813</v>
      </c>
      <c r="M297" s="24">
        <f t="shared" si="58"/>
        <v>5.2405480626166082E-2</v>
      </c>
      <c r="N297" s="24">
        <f t="shared" si="59"/>
        <v>0.13534577138462864</v>
      </c>
      <c r="O297">
        <v>0.13426484800721855</v>
      </c>
      <c r="T297">
        <v>2.6927998548474025E-2</v>
      </c>
      <c r="U297">
        <v>2.6761223656191539E-2</v>
      </c>
    </row>
    <row r="298" spans="1:21" ht="15">
      <c r="A298" s="24">
        <v>40</v>
      </c>
      <c r="C298" s="24">
        <v>1.1119555117071636</v>
      </c>
      <c r="D298" s="24">
        <v>5.8633134880657236</v>
      </c>
      <c r="E298" s="24">
        <v>128.53233343933164</v>
      </c>
      <c r="F298" s="24">
        <v>4.6210446357727051</v>
      </c>
      <c r="G298" s="24">
        <v>31.489332472061008</v>
      </c>
      <c r="H298" s="24">
        <v>17.033912936706344</v>
      </c>
      <c r="K298" s="29">
        <f t="shared" si="56"/>
        <v>6.0403094518617708</v>
      </c>
      <c r="L298" s="24">
        <f t="shared" si="57"/>
        <v>335.18214571012425</v>
      </c>
      <c r="M298" s="24">
        <f t="shared" si="58"/>
        <v>5.0819869598417666E-2</v>
      </c>
      <c r="N298" s="24">
        <f t="shared" si="59"/>
        <v>0.12853233343933165</v>
      </c>
      <c r="O298">
        <v>0.12802619611382546</v>
      </c>
      <c r="T298">
        <v>2.5600134655313016E-2</v>
      </c>
      <c r="U298">
        <v>2.5454250045381994E-2</v>
      </c>
    </row>
    <row r="299" spans="1:21" ht="15">
      <c r="K299" s="29"/>
      <c r="L299" s="24"/>
      <c r="M299" s="24"/>
      <c r="N299" s="24"/>
      <c r="T299">
        <v>2.4414726083772188E-2</v>
      </c>
      <c r="U299">
        <v>2.4296085501544946E-2</v>
      </c>
    </row>
    <row r="300" spans="1:21" ht="15">
      <c r="C300" s="19" t="s">
        <v>316</v>
      </c>
      <c r="D300" s="24"/>
      <c r="E300" s="24"/>
      <c r="F300" s="24"/>
      <c r="G300" s="24"/>
      <c r="H300" s="24"/>
      <c r="K300" s="29"/>
      <c r="L300" s="24"/>
      <c r="M300" s="24"/>
      <c r="N300" s="24"/>
      <c r="T300">
        <v>2.3259653283858626E-2</v>
      </c>
      <c r="U300">
        <v>2.3232430589119953E-2</v>
      </c>
    </row>
    <row r="301" spans="1:21">
      <c r="C301" s="24"/>
      <c r="D301" s="24"/>
      <c r="E301" s="24"/>
      <c r="F301" s="24"/>
      <c r="G301" s="24"/>
      <c r="H301" s="24"/>
      <c r="K301" s="19" t="s">
        <v>148</v>
      </c>
      <c r="L301" s="19" t="s">
        <v>292</v>
      </c>
      <c r="M301" s="24"/>
      <c r="N301" s="24"/>
      <c r="O301" s="24"/>
      <c r="T301">
        <v>0.4191944195151342</v>
      </c>
      <c r="U301">
        <v>0.43688056734766501</v>
      </c>
    </row>
    <row r="302" spans="1:21">
      <c r="C302" s="24" t="s">
        <v>154</v>
      </c>
      <c r="D302" s="24" t="s">
        <v>155</v>
      </c>
      <c r="E302" s="24" t="s">
        <v>156</v>
      </c>
      <c r="F302" s="24" t="s">
        <v>159</v>
      </c>
      <c r="G302" s="24" t="s">
        <v>265</v>
      </c>
      <c r="H302" s="24" t="s">
        <v>157</v>
      </c>
      <c r="K302" s="27" t="s">
        <v>341</v>
      </c>
      <c r="L302" s="27" t="s">
        <v>342</v>
      </c>
      <c r="M302" s="19" t="s">
        <v>343</v>
      </c>
      <c r="N302" s="19" t="s">
        <v>288</v>
      </c>
      <c r="O302" s="19" t="s">
        <v>344</v>
      </c>
      <c r="T302">
        <v>0.42281332484927714</v>
      </c>
      <c r="U302">
        <v>0.4260951418972253</v>
      </c>
    </row>
    <row r="303" spans="1:21" ht="15">
      <c r="A303" s="24">
        <v>40</v>
      </c>
      <c r="C303" s="24">
        <v>0.68058122704286073</v>
      </c>
      <c r="D303" s="24">
        <v>0.73291418600822378</v>
      </c>
      <c r="E303" s="24">
        <v>95.867147641001409</v>
      </c>
      <c r="F303" s="24">
        <v>0.77444887161254883</v>
      </c>
      <c r="G303" s="24">
        <v>0.67760300636291504</v>
      </c>
      <c r="H303" s="24">
        <v>4.8591019884460804</v>
      </c>
      <c r="K303" s="29">
        <f t="shared" ref="K303:K322" si="60">0.1013*42.75*EXP((37830*((G303+273.15)-298))/(298*$H$26*(G303+273.15)))</f>
        <v>1.1251212038557217</v>
      </c>
      <c r="L303" s="24">
        <f t="shared" ref="L303:L322" si="61">(A303-K303)*9.87</f>
        <v>383.69505371794401</v>
      </c>
      <c r="M303" s="24">
        <f t="shared" ref="M303:M322" si="62">H303/L303</f>
        <v>1.2663968277313338E-2</v>
      </c>
      <c r="N303" s="24">
        <f t="shared" ref="N303:N322" si="63">E303*0.001</f>
        <v>9.5867147641001405E-2</v>
      </c>
      <c r="O303">
        <v>9.9837359360939112E-2</v>
      </c>
      <c r="P303" t="s">
        <v>313</v>
      </c>
      <c r="Q303">
        <v>0.68590163861771247</v>
      </c>
      <c r="T303">
        <v>0.42336300193475279</v>
      </c>
      <c r="U303">
        <v>0.41511820129958837</v>
      </c>
    </row>
    <row r="304" spans="1:21" ht="15">
      <c r="A304" s="24">
        <v>40</v>
      </c>
      <c r="C304" s="24">
        <v>0.72613058471669645</v>
      </c>
      <c r="D304" s="24">
        <v>0.78464930502056907</v>
      </c>
      <c r="E304" s="24">
        <v>96.779418239863816</v>
      </c>
      <c r="F304" s="24">
        <v>0.82130038738250732</v>
      </c>
      <c r="G304" s="24">
        <v>0.72907519340515137</v>
      </c>
      <c r="H304" s="24">
        <v>4.8712524301303484</v>
      </c>
      <c r="K304" s="29">
        <f t="shared" si="60"/>
        <v>1.1286401808908304</v>
      </c>
      <c r="L304" s="24">
        <f t="shared" si="61"/>
        <v>383.66032141460744</v>
      </c>
      <c r="M304" s="24">
        <f t="shared" si="62"/>
        <v>1.2696784520665005E-2</v>
      </c>
      <c r="N304" s="24">
        <f t="shared" si="63"/>
        <v>9.6779418239863815E-2</v>
      </c>
      <c r="O304">
        <v>9.7246612233507085E-2</v>
      </c>
      <c r="P304" t="s">
        <v>314</v>
      </c>
      <c r="Q304">
        <v>15.243136006350198</v>
      </c>
      <c r="T304">
        <v>0.42131824710790039</v>
      </c>
      <c r="U304">
        <v>0.40405372236309395</v>
      </c>
    </row>
    <row r="305" spans="1:21" ht="15">
      <c r="A305" s="24">
        <v>40</v>
      </c>
      <c r="C305" s="24">
        <v>0.76789709063520484</v>
      </c>
      <c r="D305" s="24">
        <v>0.82776190419752316</v>
      </c>
      <c r="E305" s="24">
        <v>96.528605052793111</v>
      </c>
      <c r="F305" s="24">
        <v>0.86867803335189819</v>
      </c>
      <c r="G305" s="24">
        <v>0.78748703002929688</v>
      </c>
      <c r="H305" s="24">
        <v>4.8711295723275203</v>
      </c>
      <c r="K305" s="29">
        <f t="shared" si="60"/>
        <v>1.1326453217416255</v>
      </c>
      <c r="L305" s="24">
        <f t="shared" si="61"/>
        <v>383.6207906744101</v>
      </c>
      <c r="M305" s="24">
        <f t="shared" si="62"/>
        <v>1.2697772620102301E-2</v>
      </c>
      <c r="N305" s="24">
        <f t="shared" si="63"/>
        <v>9.6528605052793107E-2</v>
      </c>
      <c r="O305">
        <v>9.4569032539635459E-2</v>
      </c>
      <c r="P305" t="s">
        <v>312</v>
      </c>
      <c r="Q305">
        <v>9.1704373856857768E-3</v>
      </c>
      <c r="T305">
        <v>0.34244309253077809</v>
      </c>
      <c r="U305">
        <v>0.33735858030845534</v>
      </c>
    </row>
    <row r="306" spans="1:21" ht="15">
      <c r="A306" s="24">
        <v>40</v>
      </c>
      <c r="C306" s="24">
        <v>0.81005234385294289</v>
      </c>
      <c r="D306" s="24">
        <v>0.87087450337447758</v>
      </c>
      <c r="E306" s="24">
        <v>96.30360078866326</v>
      </c>
      <c r="F306" s="24">
        <v>0.91605699062347412</v>
      </c>
      <c r="G306" s="24">
        <v>0.80882036685943604</v>
      </c>
      <c r="H306" s="24">
        <v>4.8714417714205069</v>
      </c>
      <c r="K306" s="29">
        <f t="shared" si="60"/>
        <v>1.1341112042324266</v>
      </c>
      <c r="L306" s="24">
        <f t="shared" si="61"/>
        <v>383.60632241422593</v>
      </c>
      <c r="M306" s="24">
        <f t="shared" si="62"/>
        <v>1.269906538756216E-2</v>
      </c>
      <c r="N306" s="24">
        <f t="shared" si="63"/>
        <v>9.6303600788663263E-2</v>
      </c>
      <c r="O306">
        <v>9.2051751471317986E-2</v>
      </c>
      <c r="P306" t="s">
        <v>327</v>
      </c>
      <c r="R306">
        <v>5.1696280946736381E-2</v>
      </c>
      <c r="T306">
        <v>0.2848058781146599</v>
      </c>
      <c r="U306">
        <v>0.28646433534312837</v>
      </c>
    </row>
    <row r="307" spans="1:21" ht="15">
      <c r="A307" s="24">
        <v>40</v>
      </c>
      <c r="C307" s="24">
        <v>0.839821301040382</v>
      </c>
      <c r="D307" s="24">
        <v>0.90105332279834571</v>
      </c>
      <c r="E307" s="24">
        <v>78.401389014827572</v>
      </c>
      <c r="F307" s="24">
        <v>1.1642230749130249</v>
      </c>
      <c r="G307" s="24">
        <v>0.74256408214569092</v>
      </c>
      <c r="H307" s="24">
        <v>4.6585967998313711</v>
      </c>
      <c r="K307" s="29">
        <f t="shared" si="60"/>
        <v>1.1295639694149329</v>
      </c>
      <c r="L307" s="24">
        <f t="shared" si="61"/>
        <v>383.65120362187457</v>
      </c>
      <c r="M307" s="24">
        <f t="shared" si="62"/>
        <v>1.2142792087843596E-2</v>
      </c>
      <c r="N307" s="24">
        <f t="shared" si="63"/>
        <v>7.8401389014827572E-2</v>
      </c>
      <c r="O307">
        <v>7.7790912326249795E-2</v>
      </c>
      <c r="P307" t="s">
        <v>328</v>
      </c>
      <c r="R307">
        <v>18</v>
      </c>
      <c r="T307">
        <v>0.24111238533435683</v>
      </c>
      <c r="U307">
        <v>0.24672086666536261</v>
      </c>
    </row>
    <row r="308" spans="1:21" ht="15">
      <c r="A308" s="24">
        <v>40</v>
      </c>
      <c r="C308" s="24">
        <v>0.86982651175339343</v>
      </c>
      <c r="D308" s="24">
        <v>0.93123214222221373</v>
      </c>
      <c r="E308" s="24">
        <v>66.79021969518142</v>
      </c>
      <c r="F308" s="24">
        <v>1.4123896360397339</v>
      </c>
      <c r="G308" s="24">
        <v>0.70506769418716431</v>
      </c>
      <c r="H308" s="24">
        <v>4.4715615819821508</v>
      </c>
      <c r="K308" s="29">
        <f t="shared" si="60"/>
        <v>1.1269976675981839</v>
      </c>
      <c r="L308" s="24">
        <f t="shared" si="61"/>
        <v>383.67653302080589</v>
      </c>
      <c r="M308" s="24">
        <f t="shared" si="62"/>
        <v>1.1654508934325854E-2</v>
      </c>
      <c r="N308" s="24">
        <f t="shared" si="63"/>
        <v>6.6790219695181424E-2</v>
      </c>
      <c r="O308">
        <v>6.7242114603286107E-2</v>
      </c>
      <c r="P308" t="s">
        <v>329</v>
      </c>
      <c r="R308">
        <v>1.4832854199209348E-3</v>
      </c>
      <c r="T308">
        <v>0.21479900439089816</v>
      </c>
      <c r="U308">
        <v>0.21804963805012312</v>
      </c>
    </row>
    <row r="309" spans="1:21" ht="15">
      <c r="A309" s="24">
        <v>40</v>
      </c>
      <c r="C309" s="24">
        <v>0.90008939204743499</v>
      </c>
      <c r="D309" s="24">
        <v>0.96141096164608186</v>
      </c>
      <c r="E309" s="24">
        <v>58.649557880924569</v>
      </c>
      <c r="F309" s="24">
        <v>1.6605569124221802</v>
      </c>
      <c r="G309" s="24">
        <v>0.67275387048721313</v>
      </c>
      <c r="H309" s="24">
        <v>4.3067220251060387</v>
      </c>
      <c r="K309" s="29">
        <f t="shared" si="60"/>
        <v>1.124790183033459</v>
      </c>
      <c r="L309" s="24">
        <f t="shared" si="61"/>
        <v>383.69832089345971</v>
      </c>
      <c r="M309" s="24">
        <f t="shared" si="62"/>
        <v>1.12242399577815E-2</v>
      </c>
      <c r="N309" s="24">
        <f t="shared" si="63"/>
        <v>5.8649557880924567E-2</v>
      </c>
      <c r="O309">
        <v>5.91831281214329E-2</v>
      </c>
      <c r="P309" t="s">
        <v>315</v>
      </c>
      <c r="R309">
        <v>0.99716620548650381</v>
      </c>
      <c r="T309">
        <v>0.18964932839294207</v>
      </c>
      <c r="U309">
        <v>0.19337845330776654</v>
      </c>
    </row>
    <row r="310" spans="1:21" ht="15">
      <c r="A310" s="24">
        <v>40</v>
      </c>
      <c r="C310" s="24">
        <v>0.93502098369965458</v>
      </c>
      <c r="D310" s="24">
        <v>0.99590104098764531</v>
      </c>
      <c r="E310" s="24">
        <v>52.861788053273926</v>
      </c>
      <c r="F310" s="24">
        <v>1.9084631204605103</v>
      </c>
      <c r="G310" s="24">
        <v>0.67814910411834717</v>
      </c>
      <c r="H310" s="24">
        <v>4.1669617441164837</v>
      </c>
      <c r="K310" s="29">
        <f t="shared" si="60"/>
        <v>1.125158487974631</v>
      </c>
      <c r="L310" s="24">
        <f t="shared" si="61"/>
        <v>383.69468572369038</v>
      </c>
      <c r="M310" s="24">
        <f t="shared" si="62"/>
        <v>1.0860097622298665E-2</v>
      </c>
      <c r="N310" s="24">
        <f t="shared" si="63"/>
        <v>5.2861788053273927E-2</v>
      </c>
      <c r="O310">
        <v>5.2936639114261649E-2</v>
      </c>
      <c r="T310">
        <v>0.17314579167850161</v>
      </c>
      <c r="U310">
        <v>0.17477427313135885</v>
      </c>
    </row>
    <row r="311" spans="1:21" ht="15">
      <c r="A311" s="24">
        <v>40</v>
      </c>
      <c r="C311" s="24">
        <v>0.93502098369965458</v>
      </c>
      <c r="D311" s="24">
        <v>0.99590104098764531</v>
      </c>
      <c r="E311" s="24">
        <v>46.739169324293286</v>
      </c>
      <c r="F311" s="24">
        <v>2.1584632396697998</v>
      </c>
      <c r="G311" s="24">
        <v>0.63184577226638794</v>
      </c>
      <c r="H311" s="24">
        <v>3.9908873274752845</v>
      </c>
      <c r="K311" s="29">
        <f t="shared" si="60"/>
        <v>1.1220010456063128</v>
      </c>
      <c r="L311" s="24">
        <f t="shared" si="61"/>
        <v>383.72584967986569</v>
      </c>
      <c r="M311" s="24">
        <f t="shared" si="62"/>
        <v>1.0400360910803369E-2</v>
      </c>
      <c r="N311" s="24">
        <f t="shared" si="63"/>
        <v>4.6739169324293284E-2</v>
      </c>
      <c r="O311">
        <v>4.7399994601757103E-2</v>
      </c>
      <c r="T311">
        <v>0.15782195815543645</v>
      </c>
      <c r="U311">
        <v>0.15872359922658333</v>
      </c>
    </row>
    <row r="312" spans="1:21" ht="15">
      <c r="A312" s="24">
        <v>40</v>
      </c>
      <c r="C312" s="24">
        <v>0.97035777390643585</v>
      </c>
      <c r="D312" s="24">
        <v>1.034702380246904</v>
      </c>
      <c r="E312" s="24">
        <v>43.562185391536261</v>
      </c>
      <c r="F312" s="24">
        <v>2.4061086177825928</v>
      </c>
      <c r="G312" s="24">
        <v>0.65661764144897461</v>
      </c>
      <c r="H312" s="24">
        <v>3.8877747772968254</v>
      </c>
      <c r="K312" s="29">
        <f t="shared" si="60"/>
        <v>1.1236892782132202</v>
      </c>
      <c r="L312" s="24">
        <f t="shared" si="61"/>
        <v>383.7091868240355</v>
      </c>
      <c r="M312" s="24">
        <f t="shared" si="62"/>
        <v>1.0132086775080819E-2</v>
      </c>
      <c r="N312" s="24">
        <f t="shared" si="63"/>
        <v>4.3562185391536265E-2</v>
      </c>
      <c r="O312">
        <v>4.3430972331556156E-2</v>
      </c>
      <c r="T312">
        <v>0.14340423619733936</v>
      </c>
      <c r="U312">
        <v>0.14463844156687283</v>
      </c>
    </row>
    <row r="313" spans="1:21" ht="15">
      <c r="A313" s="24">
        <v>40</v>
      </c>
      <c r="C313" s="24">
        <v>0.97035777390643585</v>
      </c>
      <c r="D313" s="24">
        <v>1.0303911203292087</v>
      </c>
      <c r="E313" s="24">
        <v>39.293702359420188</v>
      </c>
      <c r="F313" s="24">
        <v>2.6563701629638672</v>
      </c>
      <c r="G313" s="24">
        <v>0.62938600778579712</v>
      </c>
      <c r="H313" s="24">
        <v>3.7297650288160322</v>
      </c>
      <c r="K313" s="29">
        <f t="shared" si="60"/>
        <v>1.1218335315416337</v>
      </c>
      <c r="L313" s="24">
        <f t="shared" si="61"/>
        <v>383.72750304368407</v>
      </c>
      <c r="M313" s="24">
        <f t="shared" si="62"/>
        <v>9.719827219138449E-3</v>
      </c>
      <c r="N313" s="24">
        <f t="shared" si="63"/>
        <v>3.9293702359420188E-2</v>
      </c>
      <c r="O313">
        <v>3.957599308340027E-2</v>
      </c>
      <c r="T313">
        <v>0.13536810530413015</v>
      </c>
      <c r="U313">
        <v>0.13446662985242006</v>
      </c>
    </row>
    <row r="314" spans="1:21" ht="15">
      <c r="A314" s="24">
        <v>40</v>
      </c>
      <c r="C314" s="24">
        <v>0.99715169441272056</v>
      </c>
      <c r="D314" s="24">
        <v>1.0605699397530766</v>
      </c>
      <c r="E314" s="24">
        <v>36.988904124075617</v>
      </c>
      <c r="F314" s="24">
        <v>2.9045395851135254</v>
      </c>
      <c r="G314" s="24">
        <v>0.63923901319503784</v>
      </c>
      <c r="H314" s="24">
        <v>3.6363102926552151</v>
      </c>
      <c r="K314" s="29">
        <f t="shared" si="60"/>
        <v>1.1225046701112762</v>
      </c>
      <c r="L314" s="24">
        <f t="shared" si="61"/>
        <v>383.7208789060017</v>
      </c>
      <c r="M314" s="24">
        <f t="shared" si="62"/>
        <v>9.4764462726720303E-3</v>
      </c>
      <c r="N314" s="24">
        <f t="shared" si="63"/>
        <v>3.6988904124075621E-2</v>
      </c>
      <c r="O314">
        <v>3.6765656578005443E-2</v>
      </c>
      <c r="T314">
        <v>0.12593423634485704</v>
      </c>
      <c r="U314">
        <v>0.12475390313880019</v>
      </c>
    </row>
    <row r="315" spans="1:21" ht="15">
      <c r="A315" s="24">
        <v>40</v>
      </c>
      <c r="C315" s="24">
        <v>1.006141514857702</v>
      </c>
      <c r="D315" s="24">
        <v>1.0691924595884676</v>
      </c>
      <c r="E315" s="24">
        <v>34.340084185617663</v>
      </c>
      <c r="F315" s="24">
        <v>3.1540167331695557</v>
      </c>
      <c r="G315" s="24">
        <v>0.63168293237686157</v>
      </c>
      <c r="H315" s="24">
        <v>3.518313704629549</v>
      </c>
      <c r="K315" s="29">
        <f t="shared" si="60"/>
        <v>1.1219899552581087</v>
      </c>
      <c r="L315" s="24">
        <f t="shared" si="61"/>
        <v>383.72595914160246</v>
      </c>
      <c r="M315" s="24">
        <f t="shared" si="62"/>
        <v>9.1688185821465935E-3</v>
      </c>
      <c r="N315" s="24">
        <f t="shared" si="63"/>
        <v>3.434008418561766E-2</v>
      </c>
      <c r="O315">
        <v>3.4135206415554245E-2</v>
      </c>
      <c r="T315">
        <v>0.11736505180149386</v>
      </c>
      <c r="U315">
        <v>0.11623752986331712</v>
      </c>
    </row>
    <row r="316" spans="1:21" ht="15">
      <c r="A316" s="24">
        <v>40</v>
      </c>
      <c r="C316" s="24">
        <v>1.0151617431855047</v>
      </c>
      <c r="D316" s="24">
        <v>1.0778149794238585</v>
      </c>
      <c r="E316" s="24">
        <v>32.079582295300888</v>
      </c>
      <c r="F316" s="24">
        <v>3.4034936428070068</v>
      </c>
      <c r="G316" s="24">
        <v>0.64161407947540283</v>
      </c>
      <c r="H316" s="24">
        <v>3.4087975952399066</v>
      </c>
      <c r="K316" s="29">
        <f t="shared" si="60"/>
        <v>1.1226665008368104</v>
      </c>
      <c r="L316" s="24">
        <f t="shared" si="61"/>
        <v>383.71928163674067</v>
      </c>
      <c r="M316" s="24">
        <f t="shared" si="62"/>
        <v>8.8835712938370049E-3</v>
      </c>
      <c r="N316" s="24">
        <f t="shared" si="63"/>
        <v>3.207958229530089E-2</v>
      </c>
      <c r="O316">
        <v>3.1882923015473227E-2</v>
      </c>
      <c r="T316">
        <v>0.1103895602729133</v>
      </c>
      <c r="U316">
        <v>0.10907534594662358</v>
      </c>
    </row>
    <row r="317" spans="1:21" ht="15">
      <c r="A317" s="24">
        <v>40</v>
      </c>
      <c r="C317" s="24">
        <v>1.0151617431855047</v>
      </c>
      <c r="D317" s="24">
        <v>1.0778149794238585</v>
      </c>
      <c r="E317" s="24">
        <v>29.884451784079197</v>
      </c>
      <c r="F317" s="24">
        <v>3.6534936428070068</v>
      </c>
      <c r="G317" s="24">
        <v>0.63467639684677124</v>
      </c>
      <c r="H317" s="24">
        <v>3.2934594782011732</v>
      </c>
      <c r="K317" s="29">
        <f t="shared" si="60"/>
        <v>1.1221938430915899</v>
      </c>
      <c r="L317" s="24">
        <f t="shared" si="61"/>
        <v>383.72394676868601</v>
      </c>
      <c r="M317" s="24">
        <f t="shared" si="62"/>
        <v>8.5828875313494965E-3</v>
      </c>
      <c r="N317" s="24">
        <f t="shared" si="63"/>
        <v>2.9884451784079197E-2</v>
      </c>
      <c r="O317">
        <v>2.9849953589760954E-2</v>
      </c>
      <c r="T317">
        <v>0.10344801560349075</v>
      </c>
      <c r="U317">
        <v>0.10250413978426468</v>
      </c>
    </row>
    <row r="318" spans="1:21" ht="15">
      <c r="A318" s="24">
        <v>40</v>
      </c>
      <c r="C318" s="24">
        <v>1.0424181574394855</v>
      </c>
      <c r="D318" s="24">
        <v>1.1036825389300309</v>
      </c>
      <c r="E318" s="24">
        <v>28.653300532457752</v>
      </c>
      <c r="F318" s="24">
        <v>3.9019253253936768</v>
      </c>
      <c r="G318" s="24">
        <v>0.64779019355773926</v>
      </c>
      <c r="H318" s="24">
        <v>3.2253495601906703</v>
      </c>
      <c r="K318" s="29">
        <f t="shared" si="60"/>
        <v>1.1230874209691133</v>
      </c>
      <c r="L318" s="24">
        <f t="shared" si="61"/>
        <v>383.71512715503479</v>
      </c>
      <c r="M318" s="24">
        <f t="shared" si="62"/>
        <v>8.4055835486712832E-3</v>
      </c>
      <c r="N318" s="24">
        <f t="shared" si="63"/>
        <v>2.8653300532457755E-2</v>
      </c>
      <c r="O318">
        <v>2.8326092300777088E-2</v>
      </c>
      <c r="T318">
        <v>9.7327822483110032E-2</v>
      </c>
      <c r="U318">
        <v>9.6755614878899943E-2</v>
      </c>
    </row>
    <row r="319" spans="1:21" ht="15">
      <c r="A319" s="24">
        <v>40</v>
      </c>
      <c r="C319" s="24">
        <v>1.0424181574394855</v>
      </c>
      <c r="D319" s="24">
        <v>1.1036825389300309</v>
      </c>
      <c r="E319" s="24">
        <v>26.927998548474026</v>
      </c>
      <c r="F319" s="24">
        <v>4.1519255638122559</v>
      </c>
      <c r="G319" s="24">
        <v>0.64184397459030151</v>
      </c>
      <c r="H319" s="24">
        <v>3.1232941433876786</v>
      </c>
      <c r="K319" s="29">
        <f t="shared" si="60"/>
        <v>1.122682166370379</v>
      </c>
      <c r="L319" s="24">
        <f t="shared" si="61"/>
        <v>383.71912701792428</v>
      </c>
      <c r="M319" s="24">
        <f t="shared" si="62"/>
        <v>8.139532078216636E-3</v>
      </c>
      <c r="N319" s="24">
        <f t="shared" si="63"/>
        <v>2.6927998548474025E-2</v>
      </c>
      <c r="O319">
        <v>2.6761223656191539E-2</v>
      </c>
      <c r="T319">
        <v>9.3370043102039821E-2</v>
      </c>
      <c r="U319">
        <v>9.2295079418032694E-2</v>
      </c>
    </row>
    <row r="320" spans="1:21" ht="15">
      <c r="A320" s="24">
        <v>40</v>
      </c>
      <c r="C320" s="24">
        <v>1.0515700016006888</v>
      </c>
      <c r="D320" s="24">
        <v>1.1123050587654217</v>
      </c>
      <c r="E320" s="24">
        <v>25.600134655313017</v>
      </c>
      <c r="F320" s="24">
        <v>4.4014029502868652</v>
      </c>
      <c r="G320" s="24">
        <v>0.65512216091156006</v>
      </c>
      <c r="H320" s="24">
        <v>3.0402619870135514</v>
      </c>
      <c r="K320" s="29">
        <f t="shared" si="60"/>
        <v>1.1235872960807802</v>
      </c>
      <c r="L320" s="24">
        <f t="shared" si="61"/>
        <v>383.71019338768269</v>
      </c>
      <c r="M320" s="24">
        <f t="shared" si="62"/>
        <v>7.9233286980776498E-3</v>
      </c>
      <c r="N320" s="24">
        <f t="shared" si="63"/>
        <v>2.5600134655313016E-2</v>
      </c>
      <c r="O320">
        <v>2.5454250045381994E-2</v>
      </c>
      <c r="T320">
        <v>8.9475627748211189E-2</v>
      </c>
      <c r="U320">
        <v>8.8205325516541422E-2</v>
      </c>
    </row>
    <row r="321" spans="1:21" ht="15">
      <c r="A321" s="24">
        <v>40</v>
      </c>
      <c r="C321" s="24">
        <v>1.060756427244836</v>
      </c>
      <c r="D321" s="24">
        <v>1.120927578600813</v>
      </c>
      <c r="E321" s="24">
        <v>24.414726083772187</v>
      </c>
      <c r="F321" s="24">
        <v>4.6508803367614746</v>
      </c>
      <c r="G321" s="24">
        <v>0.65063446760177612</v>
      </c>
      <c r="H321" s="24">
        <v>2.962538774724369</v>
      </c>
      <c r="K321" s="29">
        <f t="shared" si="60"/>
        <v>1.1232813131974015</v>
      </c>
      <c r="L321" s="24">
        <f t="shared" si="61"/>
        <v>383.7132134387416</v>
      </c>
      <c r="M321" s="24">
        <f t="shared" si="62"/>
        <v>7.7207108615698671E-3</v>
      </c>
      <c r="N321" s="24">
        <f t="shared" si="63"/>
        <v>2.4414726083772188E-2</v>
      </c>
      <c r="O321">
        <v>2.4296085501544946E-2</v>
      </c>
      <c r="T321">
        <v>0.4218079154997515</v>
      </c>
      <c r="U321">
        <v>0.43841804563474795</v>
      </c>
    </row>
    <row r="322" spans="1:21" ht="15">
      <c r="A322" s="24">
        <v>40</v>
      </c>
      <c r="C322" s="24">
        <v>1.0653628906976562</v>
      </c>
      <c r="D322" s="24">
        <v>1.1252388385185084</v>
      </c>
      <c r="E322" s="24">
        <v>23.259653283858626</v>
      </c>
      <c r="F322" s="24">
        <v>4.9006190299987793</v>
      </c>
      <c r="G322" s="24">
        <v>0.66507786512374878</v>
      </c>
      <c r="H322" s="24">
        <v>2.8830214861228374</v>
      </c>
      <c r="K322" s="29">
        <f t="shared" si="60"/>
        <v>1.1242663642698156</v>
      </c>
      <c r="L322" s="24">
        <f t="shared" si="61"/>
        <v>383.70349098465692</v>
      </c>
      <c r="M322" s="24">
        <f t="shared" si="62"/>
        <v>7.5136702007178773E-3</v>
      </c>
      <c r="N322" s="24">
        <f t="shared" si="63"/>
        <v>2.3259653283858626E-2</v>
      </c>
      <c r="O322">
        <v>2.3232430589119953E-2</v>
      </c>
      <c r="T322">
        <v>0.42261388546870632</v>
      </c>
      <c r="U322">
        <v>0.42656916717843457</v>
      </c>
    </row>
    <row r="323" spans="1:21" ht="15">
      <c r="K323" s="29"/>
      <c r="L323" s="24"/>
      <c r="M323" s="24"/>
      <c r="N323" s="24"/>
      <c r="T323">
        <v>0.42332103451950548</v>
      </c>
      <c r="U323">
        <v>0.41542624507441583</v>
      </c>
    </row>
    <row r="324" spans="1:21">
      <c r="A324" s="19" t="s">
        <v>349</v>
      </c>
      <c r="K324" s="19" t="s">
        <v>148</v>
      </c>
      <c r="L324" s="19" t="s">
        <v>292</v>
      </c>
      <c r="M324" s="24"/>
      <c r="N324" s="24"/>
      <c r="O324" s="24"/>
      <c r="T324">
        <v>0.42140465824380757</v>
      </c>
      <c r="U324">
        <v>0.40420275398427258</v>
      </c>
    </row>
    <row r="325" spans="1:21">
      <c r="C325" s="24" t="s">
        <v>154</v>
      </c>
      <c r="D325" s="24" t="s">
        <v>155</v>
      </c>
      <c r="E325" s="24" t="s">
        <v>156</v>
      </c>
      <c r="F325" s="24" t="s">
        <v>159</v>
      </c>
      <c r="G325" s="24" t="s">
        <v>238</v>
      </c>
      <c r="H325" s="24" t="s">
        <v>157</v>
      </c>
      <c r="I325" s="24" t="s">
        <v>160</v>
      </c>
      <c r="J325" s="24" t="s">
        <v>265</v>
      </c>
      <c r="K325" s="27" t="s">
        <v>341</v>
      </c>
      <c r="L325" s="27" t="s">
        <v>342</v>
      </c>
      <c r="M325" s="19" t="s">
        <v>343</v>
      </c>
      <c r="N325" s="19" t="s">
        <v>288</v>
      </c>
      <c r="O325" s="19" t="s">
        <v>344</v>
      </c>
      <c r="T325">
        <v>0.34449756204721327</v>
      </c>
      <c r="U325">
        <v>0.33743782729184979</v>
      </c>
    </row>
    <row r="326" spans="1:21" ht="15">
      <c r="A326" s="24">
        <v>40</v>
      </c>
      <c r="C326" s="24">
        <v>0.70124165290477558</v>
      </c>
      <c r="D326" s="24">
        <v>2.711823160493787</v>
      </c>
      <c r="E326" s="24">
        <v>419.1944195151342</v>
      </c>
      <c r="F326" s="24">
        <v>0.6553228497505188</v>
      </c>
      <c r="G326" s="24">
        <v>32.188904523297197</v>
      </c>
      <c r="H326" s="24">
        <v>20.110593619841023</v>
      </c>
      <c r="I326" s="24">
        <v>32.225399017333984</v>
      </c>
      <c r="J326" s="24">
        <v>0.51570504903793335</v>
      </c>
      <c r="K326" s="29">
        <f t="shared" ref="K326:K345" si="64">0.1013*42.75*EXP((37830*((G326+273.15)-298))/(298*$H$26*(G326+273.15)))</f>
        <v>6.2505795719831996</v>
      </c>
      <c r="L326" s="24">
        <f t="shared" ref="L326:L345" si="65">(A326-K326)*9.87</f>
        <v>333.10677962452576</v>
      </c>
      <c r="M326" s="24">
        <f t="shared" ref="M326:M345" si="66">H326/L326</f>
        <v>6.0372813914233325E-2</v>
      </c>
      <c r="N326" s="24">
        <f t="shared" ref="N326:N345" si="67">E326*0.001</f>
        <v>0.4191944195151342</v>
      </c>
      <c r="O326">
        <v>0.43688056734766501</v>
      </c>
      <c r="P326" t="s">
        <v>313</v>
      </c>
      <c r="Q326">
        <v>0.61057793268064664</v>
      </c>
      <c r="T326">
        <v>0.27625607233277394</v>
      </c>
      <c r="U326">
        <v>0.28273786932993639</v>
      </c>
    </row>
    <row r="327" spans="1:21" ht="15">
      <c r="A327" s="24">
        <v>40</v>
      </c>
      <c r="C327" s="24">
        <v>0.74697221665088265</v>
      </c>
      <c r="D327" s="24">
        <v>2.8977767486419328</v>
      </c>
      <c r="E327" s="24">
        <v>422.81332484927714</v>
      </c>
      <c r="F327" s="24">
        <v>0.69426566362380981</v>
      </c>
      <c r="G327" s="24">
        <v>32.147626296308076</v>
      </c>
      <c r="H327" s="24">
        <v>20.182619966189055</v>
      </c>
      <c r="I327" s="24">
        <v>32.263404846191406</v>
      </c>
      <c r="J327" s="24">
        <v>0.55907177925109863</v>
      </c>
      <c r="K327" s="29">
        <f t="shared" si="64"/>
        <v>6.2379989928079</v>
      </c>
      <c r="L327" s="24">
        <f t="shared" si="65"/>
        <v>333.23094994098597</v>
      </c>
      <c r="M327" s="24">
        <f t="shared" si="66"/>
        <v>6.0566462898369214E-2</v>
      </c>
      <c r="N327" s="24">
        <f t="shared" si="67"/>
        <v>0.42281332484927714</v>
      </c>
      <c r="O327">
        <v>0.4260951418972253</v>
      </c>
      <c r="P327" t="s">
        <v>314</v>
      </c>
      <c r="Q327">
        <v>13.855011698509387</v>
      </c>
      <c r="T327">
        <v>0.24128991769739253</v>
      </c>
      <c r="U327">
        <v>0.24596173433204091</v>
      </c>
    </row>
    <row r="328" spans="1:21" ht="15">
      <c r="A328" s="24">
        <v>40</v>
      </c>
      <c r="C328" s="24">
        <v>0.79314486461968692</v>
      </c>
      <c r="D328" s="24">
        <v>3.0682342044444</v>
      </c>
      <c r="E328" s="24">
        <v>423.36300193475279</v>
      </c>
      <c r="F328" s="24">
        <v>0.73415040969848633</v>
      </c>
      <c r="G328" s="24">
        <v>32.109787921568049</v>
      </c>
      <c r="H328" s="24">
        <v>20.22497911067763</v>
      </c>
      <c r="I328" s="24">
        <v>32.257415771484375</v>
      </c>
      <c r="J328" s="24">
        <v>0.58334487676620483</v>
      </c>
      <c r="K328" s="29">
        <f t="shared" si="64"/>
        <v>6.2264860599053868</v>
      </c>
      <c r="L328" s="24">
        <f t="shared" si="65"/>
        <v>333.34458258873383</v>
      </c>
      <c r="M328" s="24">
        <f t="shared" si="66"/>
        <v>6.0672889757534584E-2</v>
      </c>
      <c r="N328" s="24">
        <f t="shared" si="67"/>
        <v>0.42336300193475279</v>
      </c>
      <c r="O328">
        <v>0.41511820129958837</v>
      </c>
      <c r="P328" t="s">
        <v>312</v>
      </c>
      <c r="Q328">
        <v>3.3430538393267643E-2</v>
      </c>
      <c r="T328">
        <v>0.21702461144492063</v>
      </c>
      <c r="U328">
        <v>0.21809668316300129</v>
      </c>
    </row>
    <row r="329" spans="1:21" ht="15">
      <c r="A329" s="24">
        <v>40</v>
      </c>
      <c r="C329" s="24">
        <v>0.83555930284102564</v>
      </c>
      <c r="D329" s="24">
        <v>3.2231955279011886</v>
      </c>
      <c r="E329" s="24">
        <v>421.31824710790039</v>
      </c>
      <c r="F329" s="24">
        <v>0.77497166395187378</v>
      </c>
      <c r="G329" s="24">
        <v>32.075389399077118</v>
      </c>
      <c r="H329" s="24">
        <v>20.241114417948751</v>
      </c>
      <c r="I329" s="24">
        <v>32.213401794433594</v>
      </c>
      <c r="J329" s="24">
        <v>0.6093670129776001</v>
      </c>
      <c r="K329" s="29">
        <f t="shared" si="64"/>
        <v>6.2160357264179691</v>
      </c>
      <c r="L329" s="24">
        <f t="shared" si="65"/>
        <v>333.44772738025461</v>
      </c>
      <c r="M329" s="24">
        <f t="shared" si="66"/>
        <v>6.0702511236090509E-2</v>
      </c>
      <c r="N329" s="24">
        <f t="shared" si="67"/>
        <v>0.42131824710790039</v>
      </c>
      <c r="O329">
        <v>0.40405372236309395</v>
      </c>
      <c r="P329" t="s">
        <v>327</v>
      </c>
      <c r="R329">
        <v>0.21532745654311114</v>
      </c>
      <c r="T329">
        <v>0.18982328856959765</v>
      </c>
      <c r="U329">
        <v>0.19277797184095782</v>
      </c>
    </row>
    <row r="330" spans="1:21" ht="15">
      <c r="A330" s="24">
        <v>40</v>
      </c>
      <c r="C330" s="24">
        <v>0.89142074963175311</v>
      </c>
      <c r="D330" s="24">
        <v>3.4246452483950134</v>
      </c>
      <c r="E330" s="24">
        <v>342.44309253077807</v>
      </c>
      <c r="F330" s="24">
        <v>1.0130634307861328</v>
      </c>
      <c r="G330" s="24">
        <v>32.030671319838909</v>
      </c>
      <c r="H330" s="24">
        <v>19.458750710761297</v>
      </c>
      <c r="I330" s="24">
        <v>30.790399551391602</v>
      </c>
      <c r="J330" s="24">
        <v>0.59035307168960571</v>
      </c>
      <c r="K330" s="29">
        <f t="shared" si="64"/>
        <v>6.2024729987157547</v>
      </c>
      <c r="L330" s="24">
        <f t="shared" si="65"/>
        <v>333.58159150267545</v>
      </c>
      <c r="M330" s="24">
        <f t="shared" si="66"/>
        <v>5.8332807344392175E-2</v>
      </c>
      <c r="N330" s="24">
        <f t="shared" si="67"/>
        <v>0.34244309253077809</v>
      </c>
      <c r="O330">
        <v>0.33735858030845534</v>
      </c>
      <c r="P330" t="s">
        <v>328</v>
      </c>
      <c r="R330">
        <v>18</v>
      </c>
      <c r="T330">
        <v>0.16868120725866445</v>
      </c>
      <c r="U330">
        <v>0.17243314312891195</v>
      </c>
    </row>
    <row r="331" spans="1:21" ht="15">
      <c r="A331" s="24">
        <v>40</v>
      </c>
      <c r="C331" s="24">
        <v>0.92188223988296725</v>
      </c>
      <c r="D331" s="24">
        <v>3.5331181748147658</v>
      </c>
      <c r="E331" s="24">
        <v>284.80587811465989</v>
      </c>
      <c r="F331" s="24">
        <v>1.2566624879837036</v>
      </c>
      <c r="G331" s="24">
        <v>32.006592354095254</v>
      </c>
      <c r="H331" s="24">
        <v>18.634877588109557</v>
      </c>
      <c r="I331" s="24">
        <v>29.395414352416992</v>
      </c>
      <c r="J331" s="24">
        <v>0.56018823385238647</v>
      </c>
      <c r="K331" s="29">
        <f t="shared" si="64"/>
        <v>6.1951806101075757</v>
      </c>
      <c r="L331" s="24">
        <f t="shared" si="65"/>
        <v>333.65356737823817</v>
      </c>
      <c r="M331" s="24">
        <f t="shared" si="66"/>
        <v>5.5850976611871758E-2</v>
      </c>
      <c r="N331" s="24">
        <f t="shared" si="67"/>
        <v>0.2848058781146599</v>
      </c>
      <c r="O331">
        <v>0.28646433534312837</v>
      </c>
      <c r="P331" t="s">
        <v>329</v>
      </c>
      <c r="R331">
        <v>6.6178274324834516E-3</v>
      </c>
      <c r="T331">
        <v>0.15937641552795243</v>
      </c>
      <c r="U331">
        <v>0.15890255448383678</v>
      </c>
    </row>
    <row r="332" spans="1:21" ht="15">
      <c r="A332" s="24">
        <v>40</v>
      </c>
      <c r="C332" s="24">
        <v>0.93502611011604653</v>
      </c>
      <c r="D332" s="24">
        <v>3.5796065718518015</v>
      </c>
      <c r="E332" s="24">
        <v>241.11238533435682</v>
      </c>
      <c r="F332" s="24">
        <v>1.5039217472076416</v>
      </c>
      <c r="G332" s="24">
        <v>31.996272797347974</v>
      </c>
      <c r="H332" s="24">
        <v>17.789620284002453</v>
      </c>
      <c r="I332" s="24">
        <v>28.042417526245117</v>
      </c>
      <c r="J332" s="24">
        <v>0.52135497331619263</v>
      </c>
      <c r="K332" s="29">
        <f t="shared" si="64"/>
        <v>6.1920575740079693</v>
      </c>
      <c r="L332" s="24">
        <f t="shared" si="65"/>
        <v>333.6843917445413</v>
      </c>
      <c r="M332" s="24">
        <f t="shared" si="66"/>
        <v>5.3312713222803808E-2</v>
      </c>
      <c r="N332" s="24">
        <f t="shared" si="67"/>
        <v>0.24111238533435683</v>
      </c>
      <c r="O332">
        <v>0.24672086666536261</v>
      </c>
      <c r="P332" t="s">
        <v>315</v>
      </c>
      <c r="R332">
        <v>0.99732807548906299</v>
      </c>
      <c r="T332">
        <v>0.14480576406047568</v>
      </c>
      <c r="U332">
        <v>0.14489852712500428</v>
      </c>
    </row>
    <row r="333" spans="1:21" ht="15">
      <c r="A333" s="24">
        <v>40</v>
      </c>
      <c r="C333" s="24">
        <v>0.97036314252112443</v>
      </c>
      <c r="D333" s="24">
        <v>3.7035756306172321</v>
      </c>
      <c r="E333" s="24">
        <v>214.79900439089815</v>
      </c>
      <c r="F333" s="24">
        <v>1.7466199398040771</v>
      </c>
      <c r="G333" s="24">
        <v>31.968753979355228</v>
      </c>
      <c r="H333" s="24">
        <v>17.169887293961434</v>
      </c>
      <c r="I333" s="24">
        <v>27.045413970947266</v>
      </c>
      <c r="J333" s="24">
        <v>0.52257710695266724</v>
      </c>
      <c r="K333" s="29">
        <f t="shared" si="64"/>
        <v>6.1837361412513472</v>
      </c>
      <c r="L333" s="24">
        <f t="shared" si="65"/>
        <v>333.76652428584919</v>
      </c>
      <c r="M333" s="24">
        <f t="shared" si="66"/>
        <v>5.1442808204625545E-2</v>
      </c>
      <c r="N333" s="24">
        <f t="shared" si="67"/>
        <v>0.21479900439089816</v>
      </c>
      <c r="O333">
        <v>0.21804963805012312</v>
      </c>
      <c r="T333">
        <v>0.13267612971221557</v>
      </c>
      <c r="U333">
        <v>0.13315447417606716</v>
      </c>
    </row>
    <row r="334" spans="1:21" ht="15">
      <c r="A334" s="24">
        <v>40</v>
      </c>
      <c r="C334" s="24">
        <v>0.97481060509723882</v>
      </c>
      <c r="D334" s="24">
        <v>3.7345678953085906</v>
      </c>
      <c r="E334" s="24">
        <v>189.64932839294207</v>
      </c>
      <c r="F334" s="24">
        <v>1.9947960376739502</v>
      </c>
      <c r="G334" s="24">
        <v>31.961874274857042</v>
      </c>
      <c r="H334" s="24">
        <v>16.442586128885257</v>
      </c>
      <c r="I334" s="24">
        <v>25.948408126831055</v>
      </c>
      <c r="J334" s="24">
        <v>0.51194941997528076</v>
      </c>
      <c r="K334" s="29">
        <f t="shared" si="64"/>
        <v>6.1816572967004779</v>
      </c>
      <c r="L334" s="24">
        <f t="shared" si="65"/>
        <v>333.78704248156623</v>
      </c>
      <c r="M334" s="24">
        <f t="shared" si="66"/>
        <v>4.9260708284664216E-2</v>
      </c>
      <c r="N334" s="24">
        <f t="shared" si="67"/>
        <v>0.18964932839294207</v>
      </c>
      <c r="O334">
        <v>0.19337845330776654</v>
      </c>
      <c r="T334">
        <v>0.12242150929853378</v>
      </c>
      <c r="U334">
        <v>0.12320642389790035</v>
      </c>
    </row>
    <row r="335" spans="1:21" ht="15">
      <c r="A335" s="24">
        <v>40</v>
      </c>
      <c r="C335" s="24">
        <v>1.001648439439649</v>
      </c>
      <c r="D335" s="24">
        <v>3.8275446893826635</v>
      </c>
      <c r="E335" s="24">
        <v>173.14579167850161</v>
      </c>
      <c r="F335" s="24">
        <v>2.2393283843994141</v>
      </c>
      <c r="G335" s="24">
        <v>31.941235161362481</v>
      </c>
      <c r="H335" s="24">
        <v>15.896761353129369</v>
      </c>
      <c r="I335" s="24">
        <v>25.119411468505859</v>
      </c>
      <c r="J335" s="24">
        <v>0.5158575177192688</v>
      </c>
      <c r="K335" s="29">
        <f t="shared" si="64"/>
        <v>6.1754243934308723</v>
      </c>
      <c r="L335" s="24">
        <f t="shared" si="65"/>
        <v>333.84856123683727</v>
      </c>
      <c r="M335" s="24">
        <f t="shared" si="66"/>
        <v>4.7616683727002687E-2</v>
      </c>
      <c r="N335" s="24">
        <f t="shared" si="67"/>
        <v>0.17314579167850161</v>
      </c>
      <c r="O335">
        <v>0.17477427313135885</v>
      </c>
      <c r="T335">
        <v>0.1199327009621635</v>
      </c>
      <c r="U335">
        <v>0.11726893787533091</v>
      </c>
    </row>
    <row r="336" spans="1:21" ht="15">
      <c r="A336" s="24">
        <v>40</v>
      </c>
      <c r="C336" s="24">
        <v>1.0151674316338291</v>
      </c>
      <c r="D336" s="24">
        <v>3.8740330864196992</v>
      </c>
      <c r="E336" s="24">
        <v>157.82195815543645</v>
      </c>
      <c r="F336" s="24">
        <v>2.4865965843200684</v>
      </c>
      <c r="G336" s="24">
        <v>31.930915604615201</v>
      </c>
      <c r="H336" s="24">
        <v>15.315606168924061</v>
      </c>
      <c r="I336" s="24">
        <v>24.272407531738281</v>
      </c>
      <c r="J336" s="24">
        <v>0.50827294588088989</v>
      </c>
      <c r="K336" s="29">
        <f t="shared" si="64"/>
        <v>6.1723099829785291</v>
      </c>
      <c r="L336" s="24">
        <f t="shared" si="65"/>
        <v>333.87930046800187</v>
      </c>
      <c r="M336" s="24">
        <f t="shared" si="66"/>
        <v>4.5871685209163987E-2</v>
      </c>
      <c r="N336" s="24">
        <f t="shared" si="67"/>
        <v>0.15782195815543645</v>
      </c>
      <c r="O336">
        <v>0.15872359922658333</v>
      </c>
      <c r="T336">
        <v>0.11187848879382137</v>
      </c>
      <c r="U336">
        <v>0.10975735160094252</v>
      </c>
    </row>
    <row r="337" spans="1:21" ht="15">
      <c r="A337" s="24">
        <v>40</v>
      </c>
      <c r="C337" s="24">
        <v>1.0151674316338291</v>
      </c>
      <c r="D337" s="24">
        <v>3.8740330864196992</v>
      </c>
      <c r="E337" s="24">
        <v>143.40423619733934</v>
      </c>
      <c r="F337" s="24">
        <v>2.7365965843200684</v>
      </c>
      <c r="G337" s="24">
        <v>31.930915604615201</v>
      </c>
      <c r="H337" s="24">
        <v>14.691140177624108</v>
      </c>
      <c r="I337" s="24">
        <v>23.396417617797852</v>
      </c>
      <c r="J337" s="24">
        <v>0.51282584667205811</v>
      </c>
      <c r="K337" s="29">
        <f t="shared" si="64"/>
        <v>6.1723099829785291</v>
      </c>
      <c r="L337" s="24">
        <f t="shared" si="65"/>
        <v>333.87930046800187</v>
      </c>
      <c r="M337" s="24">
        <f t="shared" si="66"/>
        <v>4.4001350658850052E-2</v>
      </c>
      <c r="N337" s="24">
        <f t="shared" si="67"/>
        <v>0.14340423619733936</v>
      </c>
      <c r="O337">
        <v>0.14463844156687283</v>
      </c>
      <c r="T337">
        <v>0.1048379792309405</v>
      </c>
      <c r="U337">
        <v>0.10323230594839961</v>
      </c>
    </row>
    <row r="338" spans="1:21" ht="15">
      <c r="A338" s="24">
        <v>40</v>
      </c>
      <c r="C338" s="24">
        <v>1.0469957320974721</v>
      </c>
      <c r="D338" s="24">
        <v>3.982506012839452</v>
      </c>
      <c r="E338" s="24">
        <v>135.36810530413015</v>
      </c>
      <c r="F338" s="24">
        <v>2.9802284240722656</v>
      </c>
      <c r="G338" s="24">
        <v>31.90683663887155</v>
      </c>
      <c r="H338" s="24">
        <v>14.32198567898255</v>
      </c>
      <c r="I338" s="24">
        <v>22.852418899536133</v>
      </c>
      <c r="J338" s="24">
        <v>0.52053940296173096</v>
      </c>
      <c r="K338" s="29">
        <f t="shared" si="64"/>
        <v>6.1650483137883851</v>
      </c>
      <c r="L338" s="24">
        <f t="shared" si="65"/>
        <v>333.95097314290865</v>
      </c>
      <c r="M338" s="24">
        <f t="shared" si="66"/>
        <v>4.2886491823018881E-2</v>
      </c>
      <c r="N338" s="24">
        <f t="shared" si="67"/>
        <v>0.13536810530413015</v>
      </c>
      <c r="O338">
        <v>0.13446662985242006</v>
      </c>
      <c r="T338">
        <v>9.8631125780034842E-2</v>
      </c>
      <c r="U338">
        <v>9.7526498188258259E-2</v>
      </c>
    </row>
    <row r="339" spans="1:21" ht="15">
      <c r="A339" s="24">
        <v>40</v>
      </c>
      <c r="C339" s="24">
        <v>1.0561648264916308</v>
      </c>
      <c r="D339" s="24">
        <v>4.0134982775308092</v>
      </c>
      <c r="E339" s="24">
        <v>125.93423634485703</v>
      </c>
      <c r="F339" s="24">
        <v>3.2284102439880371</v>
      </c>
      <c r="G339" s="24">
        <v>31.899956934373364</v>
      </c>
      <c r="H339" s="24">
        <v>13.840762106690143</v>
      </c>
      <c r="I339" s="24">
        <v>22.187410354614258</v>
      </c>
      <c r="J339" s="24">
        <v>0.52804011106491089</v>
      </c>
      <c r="K339" s="29">
        <f t="shared" si="64"/>
        <v>6.1629749104110747</v>
      </c>
      <c r="L339" s="24">
        <f t="shared" si="65"/>
        <v>333.9714376342427</v>
      </c>
      <c r="M339" s="24">
        <f t="shared" si="66"/>
        <v>4.1442951543204133E-2</v>
      </c>
      <c r="N339" s="24">
        <f t="shared" si="67"/>
        <v>0.12593423634485704</v>
      </c>
      <c r="O339">
        <v>0.12475390313880019</v>
      </c>
      <c r="T339">
        <v>9.3118136759028358E-2</v>
      </c>
      <c r="U339">
        <v>9.2508376597177963E-2</v>
      </c>
    </row>
    <row r="340" spans="1:21" ht="15">
      <c r="A340" s="24">
        <v>40</v>
      </c>
      <c r="C340" s="24">
        <v>1.0607624540871043</v>
      </c>
      <c r="D340" s="24">
        <v>4.0289944098764892</v>
      </c>
      <c r="E340" s="24">
        <v>117.36505180149385</v>
      </c>
      <c r="F340" s="24">
        <v>3.477501392364502</v>
      </c>
      <c r="G340" s="24">
        <v>31.896517082124269</v>
      </c>
      <c r="H340" s="24">
        <v>13.364753359324656</v>
      </c>
      <c r="I340" s="24">
        <v>21.543415069580078</v>
      </c>
      <c r="J340" s="24">
        <v>0.52285128831863403</v>
      </c>
      <c r="K340" s="29">
        <f t="shared" si="64"/>
        <v>6.1619384351722282</v>
      </c>
      <c r="L340" s="24">
        <f t="shared" si="65"/>
        <v>333.98166764485006</v>
      </c>
      <c r="M340" s="24">
        <f t="shared" si="66"/>
        <v>4.001642800806806E-2</v>
      </c>
      <c r="N340" s="24">
        <f t="shared" si="67"/>
        <v>0.11736505180149386</v>
      </c>
      <c r="O340">
        <v>0.11623752986331712</v>
      </c>
      <c r="T340">
        <v>8.8188820622539674E-2</v>
      </c>
      <c r="U340">
        <v>8.8066378975389853E-2</v>
      </c>
    </row>
    <row r="341" spans="1:21" ht="15">
      <c r="A341" s="24">
        <v>40</v>
      </c>
      <c r="C341" s="24">
        <v>1.0699844749515597</v>
      </c>
      <c r="D341" s="24">
        <v>4.0599866745678455</v>
      </c>
      <c r="E341" s="24">
        <v>110.3895602729133</v>
      </c>
      <c r="F341" s="24">
        <v>3.7256844043731689</v>
      </c>
      <c r="G341" s="24">
        <v>31.889637377626084</v>
      </c>
      <c r="H341" s="24">
        <v>12.950779150742537</v>
      </c>
      <c r="I341" s="24">
        <v>20.985410690307617</v>
      </c>
      <c r="J341" s="24">
        <v>0.53193950653076172</v>
      </c>
      <c r="K341" s="29">
        <f t="shared" si="64"/>
        <v>6.159865937502536</v>
      </c>
      <c r="L341" s="24">
        <f t="shared" si="65"/>
        <v>334.00212319684994</v>
      </c>
      <c r="M341" s="24">
        <f t="shared" si="66"/>
        <v>3.8774541391492209E-2</v>
      </c>
      <c r="N341" s="24">
        <f t="shared" si="67"/>
        <v>0.1103895602729133</v>
      </c>
      <c r="O341">
        <v>0.10907534594662358</v>
      </c>
      <c r="T341">
        <v>0.42947908592206158</v>
      </c>
      <c r="U341">
        <v>0.44711591219595231</v>
      </c>
    </row>
    <row r="342" spans="1:21" ht="15">
      <c r="A342" s="24">
        <v>40</v>
      </c>
      <c r="C342" s="24">
        <v>1.0699844749515597</v>
      </c>
      <c r="D342" s="24">
        <v>4.0599866745678455</v>
      </c>
      <c r="E342" s="24">
        <v>103.44801560349075</v>
      </c>
      <c r="F342" s="24">
        <v>3.9756844043731689</v>
      </c>
      <c r="G342" s="24">
        <v>31.889637377626084</v>
      </c>
      <c r="H342" s="24">
        <v>12.50754919376066</v>
      </c>
      <c r="I342" s="24">
        <v>20.4044189453125</v>
      </c>
      <c r="J342" s="24">
        <v>0.5274956226348877</v>
      </c>
      <c r="K342" s="29">
        <f t="shared" si="64"/>
        <v>6.159865937502536</v>
      </c>
      <c r="L342" s="24">
        <f t="shared" si="65"/>
        <v>334.00212319684994</v>
      </c>
      <c r="M342" s="24">
        <f t="shared" si="66"/>
        <v>3.7447514027894722E-2</v>
      </c>
      <c r="N342" s="24">
        <f t="shared" si="67"/>
        <v>0.10344801560349075</v>
      </c>
      <c r="O342">
        <v>0.10250413978426468</v>
      </c>
      <c r="T342">
        <v>0.43242178113618596</v>
      </c>
      <c r="U342">
        <v>0.43517397006600927</v>
      </c>
    </row>
    <row r="343" spans="1:21" ht="15">
      <c r="A343" s="24">
        <v>40</v>
      </c>
      <c r="C343" s="24">
        <v>1.0699844749515597</v>
      </c>
      <c r="D343" s="24">
        <v>4.0599866745678455</v>
      </c>
      <c r="E343" s="24">
        <v>97.327822483110026</v>
      </c>
      <c r="F343" s="24">
        <v>4.2256841659545898</v>
      </c>
      <c r="G343" s="24">
        <v>31.889637377626084</v>
      </c>
      <c r="H343" s="24">
        <v>12.091683718358819</v>
      </c>
      <c r="I343" s="24">
        <v>19.865415573120117</v>
      </c>
      <c r="J343" s="24">
        <v>0.53759747743606567</v>
      </c>
      <c r="K343" s="29">
        <f t="shared" si="64"/>
        <v>6.159865937502536</v>
      </c>
      <c r="L343" s="24">
        <f t="shared" si="65"/>
        <v>334.00212319684994</v>
      </c>
      <c r="M343" s="24">
        <f t="shared" si="66"/>
        <v>3.6202415729053243E-2</v>
      </c>
      <c r="N343" s="24">
        <f t="shared" si="67"/>
        <v>9.7327822483110032E-2</v>
      </c>
      <c r="O343">
        <v>9.6755614878899943E-2</v>
      </c>
      <c r="T343">
        <v>0.4323515269300402</v>
      </c>
      <c r="U343">
        <v>0.42312920045709074</v>
      </c>
    </row>
    <row r="344" spans="1:21" ht="15">
      <c r="A344" s="24">
        <v>40</v>
      </c>
      <c r="C344" s="24">
        <v>1.0885419079995147</v>
      </c>
      <c r="D344" s="24">
        <v>4.1219712039505616</v>
      </c>
      <c r="E344" s="24">
        <v>93.370043102039816</v>
      </c>
      <c r="F344" s="24">
        <v>4.4720520973205566</v>
      </c>
      <c r="G344" s="24">
        <v>31.875877968629709</v>
      </c>
      <c r="H344" s="24">
        <v>11.813991553583531</v>
      </c>
      <c r="I344" s="24">
        <v>19.492424011230469</v>
      </c>
      <c r="J344" s="24">
        <v>0.54947137832641602</v>
      </c>
      <c r="K344" s="29">
        <f t="shared" si="64"/>
        <v>6.1557227528824887</v>
      </c>
      <c r="L344" s="24">
        <f t="shared" si="65"/>
        <v>334.04301642904983</v>
      </c>
      <c r="M344" s="24">
        <f t="shared" si="66"/>
        <v>3.5366677261737645E-2</v>
      </c>
      <c r="N344" s="24">
        <f t="shared" si="67"/>
        <v>9.3370043102039821E-2</v>
      </c>
      <c r="O344">
        <v>9.2295079418032694E-2</v>
      </c>
      <c r="T344">
        <v>0.42973902415488469</v>
      </c>
      <c r="U344">
        <v>0.41112447291088489</v>
      </c>
    </row>
    <row r="345" spans="1:21" ht="15">
      <c r="A345" s="24">
        <v>40</v>
      </c>
      <c r="C345" s="24">
        <v>1.0978776606971723</v>
      </c>
      <c r="D345" s="24">
        <v>4.1684596009875978</v>
      </c>
      <c r="E345" s="24">
        <v>89.475627748211181</v>
      </c>
      <c r="F345" s="24">
        <v>4.7193293571472168</v>
      </c>
      <c r="G345" s="24">
        <v>31.865558411882429</v>
      </c>
      <c r="H345" s="24">
        <v>11.529078634760694</v>
      </c>
      <c r="I345" s="24">
        <v>19.117412567138672</v>
      </c>
      <c r="J345" s="24">
        <v>0.54653000831604004</v>
      </c>
      <c r="K345" s="29">
        <f t="shared" si="64"/>
        <v>6.1526169482201434</v>
      </c>
      <c r="L345" s="24">
        <f t="shared" si="65"/>
        <v>334.07367072106717</v>
      </c>
      <c r="M345" s="24">
        <f t="shared" si="66"/>
        <v>3.4510587469752531E-2</v>
      </c>
      <c r="N345" s="24">
        <f t="shared" si="67"/>
        <v>8.9475627748211189E-2</v>
      </c>
      <c r="O345">
        <v>8.8205325516541422E-2</v>
      </c>
      <c r="T345">
        <v>0.33743787095582489</v>
      </c>
      <c r="U345">
        <v>0.33744479307866077</v>
      </c>
    </row>
    <row r="346" spans="1:21">
      <c r="K346" s="19" t="s">
        <v>148</v>
      </c>
      <c r="L346" s="19" t="s">
        <v>292</v>
      </c>
      <c r="M346" s="24"/>
      <c r="N346" s="24"/>
      <c r="O346" s="24"/>
      <c r="T346">
        <v>0.28374640989818778</v>
      </c>
      <c r="U346">
        <v>0.28627429837486612</v>
      </c>
    </row>
    <row r="347" spans="1:21">
      <c r="A347" s="19" t="s">
        <v>350</v>
      </c>
      <c r="K347" s="27" t="s">
        <v>341</v>
      </c>
      <c r="L347" s="27" t="s">
        <v>342</v>
      </c>
      <c r="M347" s="19" t="s">
        <v>343</v>
      </c>
      <c r="N347" s="19" t="s">
        <v>288</v>
      </c>
      <c r="O347" s="19" t="s">
        <v>344</v>
      </c>
      <c r="T347">
        <v>0.24142108385571187</v>
      </c>
      <c r="U347">
        <v>0.2463088178486435</v>
      </c>
    </row>
    <row r="348" spans="1:21" ht="15">
      <c r="A348" s="24">
        <v>40</v>
      </c>
      <c r="C348" s="24">
        <v>0.35387102361683259</v>
      </c>
      <c r="D348" s="24">
        <v>2.7253722222222216</v>
      </c>
      <c r="E348" s="24">
        <v>421.80791549975146</v>
      </c>
      <c r="F348" s="24">
        <v>0.65451639890670776</v>
      </c>
      <c r="G348" s="24">
        <v>32.185896884396087</v>
      </c>
      <c r="H348" s="24">
        <v>20.136060847650707</v>
      </c>
      <c r="I348" s="24">
        <v>32.263385772705078</v>
      </c>
      <c r="J348" s="24">
        <v>0.52849912643432617</v>
      </c>
      <c r="K348" s="29">
        <f t="shared" ref="K348:K367" si="68">0.1013*42.75*EXP((37830*((G348+273.15)-298))/(298*$H$26*(G348+273.15)))</f>
        <v>6.2496621769084744</v>
      </c>
      <c r="L348" s="24">
        <f t="shared" ref="L348:L367" si="69">(A348-K348)*9.87</f>
        <v>333.11583431391335</v>
      </c>
      <c r="M348" s="24">
        <f t="shared" ref="M348:M367" si="70">H348/L348</f>
        <v>6.0447624440078077E-2</v>
      </c>
      <c r="N348" s="24">
        <f t="shared" ref="N348:N367" si="71">E348*0.001</f>
        <v>0.4218079154997515</v>
      </c>
      <c r="O348">
        <v>0.43841804563474795</v>
      </c>
      <c r="P348" t="s">
        <v>313</v>
      </c>
      <c r="Q348">
        <v>0.58319801108378233</v>
      </c>
      <c r="T348">
        <v>0.21302157951597409</v>
      </c>
      <c r="U348">
        <v>0.21655641793331148</v>
      </c>
    </row>
    <row r="349" spans="1:21" ht="15">
      <c r="A349" s="24">
        <v>40</v>
      </c>
      <c r="C349" s="24">
        <v>0.37486235045470151</v>
      </c>
      <c r="D349" s="24">
        <v>2.896681333333329</v>
      </c>
      <c r="E349" s="24">
        <v>422.61388546870631</v>
      </c>
      <c r="F349" s="24">
        <v>0.69433075189590454</v>
      </c>
      <c r="G349" s="24">
        <v>32.147869458067987</v>
      </c>
      <c r="H349" s="24">
        <v>20.180597518670943</v>
      </c>
      <c r="I349" s="24">
        <v>32.260395050048828</v>
      </c>
      <c r="J349" s="24">
        <v>0.56140869855880737</v>
      </c>
      <c r="K349" s="29">
        <f t="shared" si="68"/>
        <v>6.2380730382376441</v>
      </c>
      <c r="L349" s="24">
        <f t="shared" si="69"/>
        <v>333.2302191125944</v>
      </c>
      <c r="M349" s="24">
        <f t="shared" si="70"/>
        <v>6.056052651050884E-2</v>
      </c>
      <c r="N349" s="24">
        <f t="shared" si="71"/>
        <v>0.42261388546870632</v>
      </c>
      <c r="O349">
        <v>0.42656916717843457</v>
      </c>
      <c r="P349" t="s">
        <v>314</v>
      </c>
      <c r="Q349">
        <v>14.171369854609466</v>
      </c>
      <c r="T349">
        <v>0.19246450945302976</v>
      </c>
      <c r="U349">
        <v>0.19358172575841553</v>
      </c>
    </row>
    <row r="350" spans="1:21" ht="15">
      <c r="A350" s="24">
        <v>40</v>
      </c>
      <c r="C350" s="24">
        <v>0.39817240993760794</v>
      </c>
      <c r="D350" s="24">
        <v>3.0679904444444372</v>
      </c>
      <c r="E350" s="24">
        <v>423.32103451950547</v>
      </c>
      <c r="F350" s="24">
        <v>0.73416489362716675</v>
      </c>
      <c r="G350" s="24">
        <v>32.109842031739895</v>
      </c>
      <c r="H350" s="24">
        <v>20.224907206857235</v>
      </c>
      <c r="I350" s="24">
        <v>32.257404327392578</v>
      </c>
      <c r="J350" s="24">
        <v>0.58580827713012695</v>
      </c>
      <c r="K350" s="29">
        <f t="shared" si="68"/>
        <v>6.2265025106491239</v>
      </c>
      <c r="L350" s="24">
        <f t="shared" si="69"/>
        <v>333.3444202198931</v>
      </c>
      <c r="M350" s="24">
        <f t="shared" si="70"/>
        <v>6.0672703606425231E-2</v>
      </c>
      <c r="N350" s="24">
        <f t="shared" si="71"/>
        <v>0.42332103451950548</v>
      </c>
      <c r="O350">
        <v>0.41542624507441583</v>
      </c>
      <c r="P350" t="s">
        <v>312</v>
      </c>
      <c r="Q350">
        <v>3.4785053180255203E-2</v>
      </c>
      <c r="T350">
        <v>0.17330644802659684</v>
      </c>
      <c r="U350">
        <v>0.1739920668370557</v>
      </c>
    </row>
    <row r="351" spans="1:21" ht="15">
      <c r="A351" s="24">
        <v>40</v>
      </c>
      <c r="C351" s="24">
        <v>0.41958734167121786</v>
      </c>
      <c r="D351" s="24">
        <v>3.2237259999999899</v>
      </c>
      <c r="E351" s="24">
        <v>421.40465824380755</v>
      </c>
      <c r="F351" s="24">
        <v>0.77494025230407715</v>
      </c>
      <c r="G351" s="24">
        <v>32.0752716441689</v>
      </c>
      <c r="H351" s="24">
        <v>20.24240176675287</v>
      </c>
      <c r="I351" s="24">
        <v>32.21539306640625</v>
      </c>
      <c r="J351" s="24">
        <v>0.59840291738510132</v>
      </c>
      <c r="K351" s="29">
        <f t="shared" si="68"/>
        <v>6.2159999783619844</v>
      </c>
      <c r="L351" s="24">
        <f t="shared" si="69"/>
        <v>333.44808021356715</v>
      </c>
      <c r="M351" s="24">
        <f t="shared" si="70"/>
        <v>6.0706307721993771E-2</v>
      </c>
      <c r="N351" s="24">
        <f t="shared" si="71"/>
        <v>0.42140465824380757</v>
      </c>
      <c r="O351">
        <v>0.40420275398427258</v>
      </c>
      <c r="P351" t="s">
        <v>327</v>
      </c>
      <c r="R351">
        <v>0.21512936119150189</v>
      </c>
      <c r="T351">
        <v>0.15727214405771484</v>
      </c>
      <c r="U351">
        <v>0.15777179187750007</v>
      </c>
    </row>
    <row r="352" spans="1:21" ht="15">
      <c r="A352" s="24">
        <v>40</v>
      </c>
      <c r="C352" s="24">
        <v>0.44998808539670121</v>
      </c>
      <c r="D352" s="24">
        <v>3.4417557777777636</v>
      </c>
      <c r="E352" s="24">
        <v>344.49756204721325</v>
      </c>
      <c r="F352" s="24">
        <v>1.0120532512664795</v>
      </c>
      <c r="G352" s="24">
        <v>32.026873101569507</v>
      </c>
      <c r="H352" s="24">
        <v>19.487797255981341</v>
      </c>
      <c r="I352" s="24">
        <v>30.831401824951172</v>
      </c>
      <c r="J352" s="24">
        <v>0.59338855743408203</v>
      </c>
      <c r="K352" s="29">
        <f t="shared" si="68"/>
        <v>6.2013222031784192</v>
      </c>
      <c r="L352" s="24">
        <f t="shared" si="69"/>
        <v>333.59294985462896</v>
      </c>
      <c r="M352" s="24">
        <f t="shared" si="70"/>
        <v>5.8417893017444197E-2</v>
      </c>
      <c r="N352" s="24">
        <f t="shared" si="71"/>
        <v>0.34449756204721327</v>
      </c>
      <c r="O352">
        <v>0.33743782729184979</v>
      </c>
      <c r="P352" t="s">
        <v>328</v>
      </c>
      <c r="R352">
        <v>18</v>
      </c>
      <c r="T352">
        <v>0.14476731785180549</v>
      </c>
      <c r="U352">
        <v>0.14461644443772925</v>
      </c>
    </row>
    <row r="353" spans="1:21" ht="15">
      <c r="A353" s="24">
        <v>40</v>
      </c>
      <c r="C353" s="24">
        <v>0.44998808539670121</v>
      </c>
      <c r="D353" s="24">
        <v>3.4417557777777636</v>
      </c>
      <c r="E353" s="24">
        <v>276.25607233277395</v>
      </c>
      <c r="F353" s="24">
        <v>1.2620532512664795</v>
      </c>
      <c r="G353" s="24">
        <v>32.026873101569507</v>
      </c>
      <c r="H353" s="24">
        <v>18.46773155524588</v>
      </c>
      <c r="I353" s="24">
        <v>29.165401458740234</v>
      </c>
      <c r="J353" s="24">
        <v>0.53577101230621338</v>
      </c>
      <c r="K353" s="29">
        <f t="shared" si="68"/>
        <v>6.2013222031784192</v>
      </c>
      <c r="L353" s="24">
        <f t="shared" si="69"/>
        <v>333.59294985462896</v>
      </c>
      <c r="M353" s="24">
        <f t="shared" si="70"/>
        <v>5.5360077493525062E-2</v>
      </c>
      <c r="N353" s="24">
        <f t="shared" si="71"/>
        <v>0.27625607233277394</v>
      </c>
      <c r="O353">
        <v>0.28273786932993639</v>
      </c>
      <c r="P353" t="s">
        <v>329</v>
      </c>
      <c r="R353">
        <v>6.684426000608543E-3</v>
      </c>
      <c r="T353">
        <v>0.13433640071316924</v>
      </c>
      <c r="U353">
        <v>0.1336072405378998</v>
      </c>
    </row>
    <row r="354" spans="1:21" ht="15">
      <c r="A354" s="24">
        <v>40</v>
      </c>
      <c r="C354" s="24">
        <v>0.46982806070359689</v>
      </c>
      <c r="D354" s="24">
        <v>3.5819177777777607</v>
      </c>
      <c r="E354" s="24">
        <v>241.28991769739253</v>
      </c>
      <c r="F354" s="24">
        <v>1.5037854909896851</v>
      </c>
      <c r="G354" s="24">
        <v>31.995759752755607</v>
      </c>
      <c r="H354" s="24">
        <v>17.794057763858447</v>
      </c>
      <c r="I354" s="24">
        <v>28.048393249511719</v>
      </c>
      <c r="J354" s="24">
        <v>0.52365922927856445</v>
      </c>
      <c r="K354" s="29">
        <f t="shared" si="68"/>
        <v>6.1919023454758237</v>
      </c>
      <c r="L354" s="24">
        <f t="shared" si="69"/>
        <v>333.68592385015359</v>
      </c>
      <c r="M354" s="24">
        <f t="shared" si="70"/>
        <v>5.3325766812534536E-2</v>
      </c>
      <c r="N354" s="24">
        <f t="shared" si="71"/>
        <v>0.24128991769739253</v>
      </c>
      <c r="O354">
        <v>0.24596173433204091</v>
      </c>
      <c r="P354" t="s">
        <v>315</v>
      </c>
      <c r="R354">
        <v>0.99727850605931356</v>
      </c>
      <c r="T354">
        <v>0.12394489755583055</v>
      </c>
      <c r="U354">
        <v>0.12367059302144441</v>
      </c>
    </row>
    <row r="355" spans="1:21" ht="15">
      <c r="A355" s="24">
        <v>40</v>
      </c>
      <c r="C355" s="24">
        <v>0.48993191512860129</v>
      </c>
      <c r="D355" s="24">
        <v>3.7376533333333133</v>
      </c>
      <c r="E355" s="24">
        <v>217.02461144492062</v>
      </c>
      <c r="F355" s="24">
        <v>1.7446144819259644</v>
      </c>
      <c r="G355" s="24">
        <v>31.961189365184612</v>
      </c>
      <c r="H355" s="24">
        <v>17.233848771874648</v>
      </c>
      <c r="I355" s="24">
        <v>27.129398345947266</v>
      </c>
      <c r="J355" s="24">
        <v>0.5376390814781189</v>
      </c>
      <c r="K355" s="29">
        <f t="shared" si="68"/>
        <v>6.1814503702472052</v>
      </c>
      <c r="L355" s="24">
        <f t="shared" si="69"/>
        <v>333.78908484566006</v>
      </c>
      <c r="M355" s="24">
        <f t="shared" si="70"/>
        <v>5.1630953659983721E-2</v>
      </c>
      <c r="N355" s="24">
        <f t="shared" si="71"/>
        <v>0.21702461144492063</v>
      </c>
      <c r="O355">
        <v>0.21809668316300129</v>
      </c>
      <c r="T355">
        <v>0.11744543624323563</v>
      </c>
      <c r="U355">
        <v>0.11614886027954406</v>
      </c>
    </row>
    <row r="356" spans="1:21" ht="15">
      <c r="A356" s="24">
        <v>40</v>
      </c>
      <c r="C356" s="24">
        <v>0.48993191512860129</v>
      </c>
      <c r="D356" s="24">
        <v>3.7376533333333133</v>
      </c>
      <c r="E356" s="24">
        <v>189.82328856959765</v>
      </c>
      <c r="F356" s="24">
        <v>1.9946144819259644</v>
      </c>
      <c r="G356" s="24">
        <v>31.961189365184612</v>
      </c>
      <c r="H356" s="24">
        <v>16.448761745507085</v>
      </c>
      <c r="I356" s="24">
        <v>25.956396102905273</v>
      </c>
      <c r="J356" s="24">
        <v>0.51424062252044678</v>
      </c>
      <c r="K356" s="29">
        <f t="shared" si="68"/>
        <v>6.1814503702472052</v>
      </c>
      <c r="L356" s="24">
        <f t="shared" si="69"/>
        <v>333.78908484566006</v>
      </c>
      <c r="M356" s="24">
        <f t="shared" si="70"/>
        <v>4.9278908425399198E-2</v>
      </c>
      <c r="N356" s="24">
        <f t="shared" si="71"/>
        <v>0.18982328856959765</v>
      </c>
      <c r="O356">
        <v>0.19277797184095782</v>
      </c>
      <c r="T356">
        <v>0.10956816153699628</v>
      </c>
      <c r="U356">
        <v>0.10877442040216556</v>
      </c>
    </row>
    <row r="357" spans="1:21" ht="15">
      <c r="A357" s="24">
        <v>40</v>
      </c>
      <c r="C357" s="24">
        <v>0.48993191512860129</v>
      </c>
      <c r="D357" s="24">
        <v>3.7376533333333133</v>
      </c>
      <c r="E357" s="24">
        <v>168.68120725866444</v>
      </c>
      <c r="F357" s="24">
        <v>2.2446146011352539</v>
      </c>
      <c r="G357" s="24">
        <v>31.961189365184612</v>
      </c>
      <c r="H357" s="24">
        <v>15.720453864361104</v>
      </c>
      <c r="I357" s="24">
        <v>24.896396636962891</v>
      </c>
      <c r="J357" s="24">
        <v>0.49349817633628845</v>
      </c>
      <c r="K357" s="29">
        <f t="shared" si="68"/>
        <v>6.1814503702472052</v>
      </c>
      <c r="L357" s="24">
        <f t="shared" si="69"/>
        <v>333.78908484566006</v>
      </c>
      <c r="M357" s="24">
        <f t="shared" si="70"/>
        <v>4.7096968049839164E-2</v>
      </c>
      <c r="N357" s="24">
        <f t="shared" si="71"/>
        <v>0.16868120725866445</v>
      </c>
      <c r="O357">
        <v>0.17243314312891195</v>
      </c>
      <c r="T357">
        <v>0.10393238631815638</v>
      </c>
      <c r="U357">
        <v>0.10287737015231456</v>
      </c>
    </row>
    <row r="358" spans="1:21" ht="15">
      <c r="A358" s="24">
        <v>40</v>
      </c>
      <c r="C358" s="24">
        <v>0.51490828144757328</v>
      </c>
      <c r="D358" s="24">
        <v>3.9089624444444215</v>
      </c>
      <c r="E358" s="24">
        <v>159.37641552795242</v>
      </c>
      <c r="F358" s="24">
        <v>2.4845452308654785</v>
      </c>
      <c r="G358" s="24">
        <v>31.923161938856516</v>
      </c>
      <c r="H358" s="24">
        <v>15.383093855637142</v>
      </c>
      <c r="I358" s="24">
        <v>24.356405258178711</v>
      </c>
      <c r="J358" s="24">
        <v>0.52328294515609741</v>
      </c>
      <c r="K358" s="29">
        <f t="shared" si="68"/>
        <v>6.1699708454447348</v>
      </c>
      <c r="L358" s="24">
        <f t="shared" si="69"/>
        <v>333.90238775546044</v>
      </c>
      <c r="M358" s="24">
        <f t="shared" si="70"/>
        <v>4.6070631477194569E-2</v>
      </c>
      <c r="N358" s="24">
        <f t="shared" si="71"/>
        <v>0.15937641552795243</v>
      </c>
      <c r="O358">
        <v>0.15890255448383678</v>
      </c>
      <c r="T358">
        <v>9.7782007051218589E-2</v>
      </c>
      <c r="U358">
        <v>9.7257294371681166E-2</v>
      </c>
    </row>
    <row r="359" spans="1:21" ht="15">
      <c r="A359" s="24">
        <v>40</v>
      </c>
      <c r="C359" s="24">
        <v>0.51490828144757328</v>
      </c>
      <c r="D359" s="24">
        <v>3.9089624444444215</v>
      </c>
      <c r="E359" s="24">
        <v>144.80576406047567</v>
      </c>
      <c r="F359" s="24">
        <v>2.7345452308654785</v>
      </c>
      <c r="G359" s="24">
        <v>31.923161938856516</v>
      </c>
      <c r="H359" s="24">
        <v>14.759610450496481</v>
      </c>
      <c r="I359" s="24">
        <v>23.480400085449219</v>
      </c>
      <c r="J359" s="24">
        <v>0.5157095193862915</v>
      </c>
      <c r="K359" s="29">
        <f t="shared" si="68"/>
        <v>6.1699708454447348</v>
      </c>
      <c r="L359" s="24">
        <f t="shared" si="69"/>
        <v>333.90238775546044</v>
      </c>
      <c r="M359" s="24">
        <f t="shared" si="70"/>
        <v>4.4203368983710155E-2</v>
      </c>
      <c r="N359" s="24">
        <f t="shared" si="71"/>
        <v>0.14480576406047568</v>
      </c>
      <c r="O359">
        <v>0.14489852712500428</v>
      </c>
      <c r="T359">
        <v>9.3055910821539842E-2</v>
      </c>
      <c r="U359">
        <v>9.2607569300462655E-2</v>
      </c>
    </row>
    <row r="360" spans="1:21" ht="15">
      <c r="A360" s="24">
        <v>40</v>
      </c>
      <c r="C360" s="24">
        <v>0.51490828144757328</v>
      </c>
      <c r="D360" s="24">
        <v>3.9089624444444215</v>
      </c>
      <c r="E360" s="24">
        <v>132.67612971221556</v>
      </c>
      <c r="F360" s="24">
        <v>2.9845452308654785</v>
      </c>
      <c r="G360" s="24">
        <v>31.923161938856516</v>
      </c>
      <c r="H360" s="24">
        <v>14.178992249078881</v>
      </c>
      <c r="I360" s="24">
        <v>22.679410934448242</v>
      </c>
      <c r="J360" s="24">
        <v>0.50909745693206787</v>
      </c>
      <c r="K360" s="29">
        <f t="shared" si="68"/>
        <v>6.1699708454447348</v>
      </c>
      <c r="L360" s="24">
        <f t="shared" si="69"/>
        <v>333.90238775546044</v>
      </c>
      <c r="M360" s="24">
        <f t="shared" si="70"/>
        <v>4.2464482941832471E-2</v>
      </c>
      <c r="N360" s="24">
        <f t="shared" si="71"/>
        <v>0.13267612971221557</v>
      </c>
      <c r="O360">
        <v>0.13315447417606716</v>
      </c>
      <c r="T360">
        <v>8.9175246611769343E-2</v>
      </c>
      <c r="U360">
        <v>8.8631949318278391E-2</v>
      </c>
    </row>
    <row r="361" spans="1:21" ht="15">
      <c r="A361" s="24">
        <v>40</v>
      </c>
      <c r="C361" s="24">
        <v>0.51490828144757328</v>
      </c>
      <c r="D361" s="24">
        <v>3.9089624444444215</v>
      </c>
      <c r="E361" s="24">
        <v>122.42150929853378</v>
      </c>
      <c r="F361" s="24">
        <v>3.2345452308654785</v>
      </c>
      <c r="G361" s="24">
        <v>31.923161938856516</v>
      </c>
      <c r="H361" s="24">
        <v>13.638154874057278</v>
      </c>
      <c r="I361" s="24">
        <v>21.945411682128906</v>
      </c>
      <c r="J361" s="24">
        <v>0.50329303741455078</v>
      </c>
      <c r="K361" s="29">
        <f t="shared" si="68"/>
        <v>6.1699708454447348</v>
      </c>
      <c r="L361" s="24">
        <f t="shared" si="69"/>
        <v>333.90238775546044</v>
      </c>
      <c r="M361" s="24">
        <f t="shared" si="70"/>
        <v>4.0844735989265919E-2</v>
      </c>
      <c r="N361" s="24">
        <f t="shared" si="71"/>
        <v>0.12242150929853378</v>
      </c>
      <c r="O361">
        <v>0.12320642389790035</v>
      </c>
      <c r="T361">
        <v>0.36927714311275084</v>
      </c>
      <c r="U361">
        <v>0.38190154028212087</v>
      </c>
    </row>
    <row r="362" spans="1:21" ht="15">
      <c r="A362" s="24">
        <v>40</v>
      </c>
      <c r="C362" s="24">
        <v>0.54508475187530658</v>
      </c>
      <c r="D362" s="24">
        <v>4.1114186666666406</v>
      </c>
      <c r="E362" s="24">
        <v>119.93270096216351</v>
      </c>
      <c r="F362" s="24">
        <v>3.4726700782775879</v>
      </c>
      <c r="G362" s="24">
        <v>31.878220435014224</v>
      </c>
      <c r="H362" s="24">
        <v>13.521298763828614</v>
      </c>
      <c r="I362" s="24">
        <v>21.728404998779297</v>
      </c>
      <c r="J362" s="24">
        <v>0.52638661861419678</v>
      </c>
      <c r="K362" s="29">
        <f t="shared" si="68"/>
        <v>6.1564279375968907</v>
      </c>
      <c r="L362" s="24">
        <f t="shared" si="69"/>
        <v>334.03605625591871</v>
      </c>
      <c r="M362" s="24">
        <f t="shared" si="70"/>
        <v>4.0478560654151043E-2</v>
      </c>
      <c r="N362" s="24">
        <f t="shared" si="71"/>
        <v>0.1199327009621635</v>
      </c>
      <c r="O362">
        <v>0.11726893787533091</v>
      </c>
      <c r="T362">
        <v>0.37436296691417681</v>
      </c>
      <c r="U362">
        <v>0.37536592427617466</v>
      </c>
    </row>
    <row r="363" spans="1:21" ht="15">
      <c r="A363" s="24">
        <v>40</v>
      </c>
      <c r="C363" s="24">
        <v>0.54508475187530658</v>
      </c>
      <c r="D363" s="24">
        <v>4.1114186666666406</v>
      </c>
      <c r="E363" s="24">
        <v>111.87848879382136</v>
      </c>
      <c r="F363" s="24">
        <v>3.7226700782775879</v>
      </c>
      <c r="G363" s="24">
        <v>31.878220435014224</v>
      </c>
      <c r="H363" s="24">
        <v>13.047491629747494</v>
      </c>
      <c r="I363" s="24">
        <v>21.098403930664062</v>
      </c>
      <c r="J363" s="24">
        <v>0.53501605987548828</v>
      </c>
      <c r="K363" s="29">
        <f t="shared" si="68"/>
        <v>6.1564279375968907</v>
      </c>
      <c r="L363" s="24">
        <f t="shared" si="69"/>
        <v>334.03605625591871</v>
      </c>
      <c r="M363" s="24">
        <f t="shared" si="70"/>
        <v>3.9060129544073161E-2</v>
      </c>
      <c r="N363" s="24">
        <f t="shared" si="71"/>
        <v>0.11187848879382137</v>
      </c>
      <c r="O363">
        <v>0.10975735160094252</v>
      </c>
      <c r="T363">
        <v>0.37398844529922071</v>
      </c>
      <c r="U363">
        <v>0.36776515299820162</v>
      </c>
    </row>
    <row r="364" spans="1:21" ht="15">
      <c r="A364" s="24">
        <v>40</v>
      </c>
      <c r="C364" s="24">
        <v>0.54508475187530658</v>
      </c>
      <c r="D364" s="24">
        <v>4.1114186666666406</v>
      </c>
      <c r="E364" s="24">
        <v>104.8379792309405</v>
      </c>
      <c r="F364" s="24">
        <v>3.9726700782775879</v>
      </c>
      <c r="G364" s="24">
        <v>31.878220435014224</v>
      </c>
      <c r="H364" s="24">
        <v>12.603542885552205</v>
      </c>
      <c r="I364" s="24">
        <v>20.515407562255859</v>
      </c>
      <c r="J364" s="24">
        <v>0.54474037885665894</v>
      </c>
      <c r="K364" s="29">
        <f t="shared" si="68"/>
        <v>6.1564279375968907</v>
      </c>
      <c r="L364" s="24">
        <f t="shared" si="69"/>
        <v>334.03605625591871</v>
      </c>
      <c r="M364" s="24">
        <f t="shared" si="70"/>
        <v>3.773108516134592E-2</v>
      </c>
      <c r="N364" s="24">
        <f t="shared" si="71"/>
        <v>0.1048379792309405</v>
      </c>
      <c r="O364">
        <v>0.10323230594839961</v>
      </c>
      <c r="T364">
        <v>0.37364570037306688</v>
      </c>
      <c r="U364">
        <v>0.36052033611758361</v>
      </c>
    </row>
    <row r="365" spans="1:21" ht="15">
      <c r="A365" s="24">
        <v>40</v>
      </c>
      <c r="C365" s="24">
        <v>0.54508475187530658</v>
      </c>
      <c r="D365" s="24">
        <v>4.1114186666666406</v>
      </c>
      <c r="E365" s="24">
        <v>98.631125780034836</v>
      </c>
      <c r="F365" s="24">
        <v>4.2226700782775879</v>
      </c>
      <c r="G365" s="24">
        <v>31.878220435014224</v>
      </c>
      <c r="H365" s="24">
        <v>12.186860605604602</v>
      </c>
      <c r="I365" s="24">
        <v>19.974403381347656</v>
      </c>
      <c r="J365" s="24">
        <v>0.54061323404312134</v>
      </c>
      <c r="K365" s="29">
        <f t="shared" si="68"/>
        <v>6.1564279375968907</v>
      </c>
      <c r="L365" s="24">
        <f t="shared" si="69"/>
        <v>334.03605625591871</v>
      </c>
      <c r="M365" s="24">
        <f t="shared" si="70"/>
        <v>3.6483668087219152E-2</v>
      </c>
      <c r="N365" s="24">
        <f t="shared" si="71"/>
        <v>9.8631125780034842E-2</v>
      </c>
      <c r="O365">
        <v>9.7526498188258259E-2</v>
      </c>
      <c r="T365">
        <v>0.30800985924861574</v>
      </c>
      <c r="U365">
        <v>0.31172277282296196</v>
      </c>
    </row>
    <row r="366" spans="1:21" ht="15">
      <c r="A366" s="24">
        <v>40</v>
      </c>
      <c r="C366" s="24">
        <v>0.54508475187530658</v>
      </c>
      <c r="D366" s="24">
        <v>4.1114186666666406</v>
      </c>
      <c r="E366" s="24">
        <v>93.11813675902836</v>
      </c>
      <c r="F366" s="24">
        <v>4.4726700782775879</v>
      </c>
      <c r="G366" s="24">
        <v>31.878220435014224</v>
      </c>
      <c r="H366" s="24">
        <v>11.795396460186366</v>
      </c>
      <c r="I366" s="24">
        <v>19.471412658691406</v>
      </c>
      <c r="J366" s="24">
        <v>0.53690171241760254</v>
      </c>
      <c r="K366" s="29">
        <f t="shared" si="68"/>
        <v>6.1564279375968907</v>
      </c>
      <c r="L366" s="24">
        <f t="shared" si="69"/>
        <v>334.03605625591871</v>
      </c>
      <c r="M366" s="24">
        <f t="shared" si="70"/>
        <v>3.531174625995892E-2</v>
      </c>
      <c r="N366" s="24">
        <f t="shared" si="71"/>
        <v>9.3118136759028358E-2</v>
      </c>
      <c r="O366">
        <v>9.2508376597177963E-2</v>
      </c>
      <c r="T366">
        <v>0.28083762475331353</v>
      </c>
      <c r="U366">
        <v>0.27949693802380193</v>
      </c>
    </row>
    <row r="367" spans="1:21" ht="15">
      <c r="A367" s="24">
        <v>40</v>
      </c>
      <c r="C367" s="24">
        <v>0.54508475187530658</v>
      </c>
      <c r="D367" s="24">
        <v>4.1114186666666406</v>
      </c>
      <c r="E367" s="24">
        <v>88.188820622539666</v>
      </c>
      <c r="F367" s="24">
        <v>4.7226700782775879</v>
      </c>
      <c r="G367" s="24">
        <v>31.878220435014224</v>
      </c>
      <c r="H367" s="24">
        <v>11.426071889010712</v>
      </c>
      <c r="I367" s="24">
        <v>19.00140380859375</v>
      </c>
      <c r="J367" s="24">
        <v>0.54833221435546875</v>
      </c>
      <c r="K367" s="29">
        <f t="shared" si="68"/>
        <v>6.1564279375968907</v>
      </c>
      <c r="L367" s="24">
        <f t="shared" si="69"/>
        <v>334.03605625591871</v>
      </c>
      <c r="M367" s="24">
        <f t="shared" si="70"/>
        <v>3.4206103428118341E-2</v>
      </c>
      <c r="N367" s="24">
        <f t="shared" si="71"/>
        <v>8.8188820622539674E-2</v>
      </c>
      <c r="O367">
        <v>8.8066378975389853E-2</v>
      </c>
      <c r="T367">
        <v>0.24576099669311802</v>
      </c>
      <c r="U367">
        <v>0.2491969677273132</v>
      </c>
    </row>
    <row r="368" spans="1:21">
      <c r="K368" s="19" t="s">
        <v>148</v>
      </c>
      <c r="L368" s="19" t="s">
        <v>292</v>
      </c>
      <c r="M368" s="24"/>
      <c r="N368" s="24"/>
      <c r="O368" s="24"/>
      <c r="T368">
        <v>0.22825947159531573</v>
      </c>
      <c r="U368">
        <v>0.22784953746603187</v>
      </c>
    </row>
    <row r="369" spans="1:21">
      <c r="A369" s="19" t="s">
        <v>351</v>
      </c>
      <c r="K369" s="27" t="s">
        <v>341</v>
      </c>
      <c r="L369" s="27" t="s">
        <v>342</v>
      </c>
      <c r="M369" s="19" t="s">
        <v>343</v>
      </c>
      <c r="N369" s="19" t="s">
        <v>288</v>
      </c>
      <c r="O369" s="19" t="s">
        <v>344</v>
      </c>
      <c r="T369">
        <v>0.20632508731667648</v>
      </c>
      <c r="U369">
        <v>0.20762050922962239</v>
      </c>
    </row>
    <row r="370" spans="1:21" ht="15">
      <c r="A370" s="24">
        <v>40</v>
      </c>
      <c r="C370" s="24">
        <v>1.0775672128157614</v>
      </c>
      <c r="D370" s="24">
        <v>2.7649521252673934</v>
      </c>
      <c r="E370" s="24">
        <v>429.47908592206159</v>
      </c>
      <c r="F370" s="24">
        <v>0.65216130018234253</v>
      </c>
      <c r="G370" s="24">
        <v>32.177110884414169</v>
      </c>
      <c r="H370" s="24">
        <v>20.209782362044184</v>
      </c>
      <c r="I370" s="24">
        <v>32.373405456542969</v>
      </c>
      <c r="J370" s="24">
        <v>0.53664636611938477</v>
      </c>
      <c r="K370" s="29">
        <f t="shared" ref="K370:K389" si="72">0.1013*42.75*EXP((37830*((G370+273.15)-298))/(298*$H$26*(G370+273.15)))</f>
        <v>6.2469829240553283</v>
      </c>
      <c r="L370" s="24">
        <f t="shared" ref="L370:L389" si="73">(A370-K370)*9.87</f>
        <v>333.14227853957385</v>
      </c>
      <c r="M370" s="24">
        <f t="shared" ref="M370:M389" si="74">H370/L370</f>
        <v>6.0664117597561157E-2</v>
      </c>
      <c r="N370" s="24">
        <f t="shared" ref="N370:N389" si="75">E370*0.001</f>
        <v>0.42947908592206158</v>
      </c>
      <c r="O370">
        <v>0.44711591219595231</v>
      </c>
      <c r="P370" t="s">
        <v>313</v>
      </c>
      <c r="Q370">
        <v>0.53291757061266898</v>
      </c>
      <c r="T370">
        <v>0.18919045931074435</v>
      </c>
      <c r="U370">
        <v>0.19100969730285289</v>
      </c>
    </row>
    <row r="371" spans="1:21" ht="15">
      <c r="A371" s="24">
        <v>40</v>
      </c>
      <c r="C371" s="24">
        <v>1.1464526117245695</v>
      </c>
      <c r="D371" s="24">
        <v>2.9503120442797361</v>
      </c>
      <c r="E371" s="24">
        <v>432.42178113618593</v>
      </c>
      <c r="F371" s="24">
        <v>0.69114607572555542</v>
      </c>
      <c r="G371" s="24">
        <v>32.135964440896338</v>
      </c>
      <c r="H371" s="24">
        <v>20.275816313564384</v>
      </c>
      <c r="I371" s="24">
        <v>32.401409149169922</v>
      </c>
      <c r="J371" s="24">
        <v>0.57124918699264526</v>
      </c>
      <c r="K371" s="29">
        <f t="shared" si="72"/>
        <v>6.2344487228704484</v>
      </c>
      <c r="L371" s="24">
        <f t="shared" si="73"/>
        <v>333.26599110526865</v>
      </c>
      <c r="M371" s="24">
        <f t="shared" si="74"/>
        <v>6.08397401916713E-2</v>
      </c>
      <c r="N371" s="24">
        <f t="shared" si="75"/>
        <v>0.43242178113618596</v>
      </c>
      <c r="O371">
        <v>0.43517397006600927</v>
      </c>
      <c r="P371" t="s">
        <v>314</v>
      </c>
      <c r="Q371">
        <v>15.071141869154278</v>
      </c>
      <c r="T371">
        <v>0.17543545639699937</v>
      </c>
      <c r="U371">
        <v>0.17718489839361662</v>
      </c>
    </row>
    <row r="372" spans="1:21" ht="15">
      <c r="A372" s="24">
        <v>40</v>
      </c>
      <c r="C372" s="24">
        <v>1.2160386786087634</v>
      </c>
      <c r="D372" s="24">
        <v>3.1202253033743834</v>
      </c>
      <c r="E372" s="24">
        <v>432.35152693004017</v>
      </c>
      <c r="F372" s="24">
        <v>0.73106902837753296</v>
      </c>
      <c r="G372" s="24">
        <v>32.098246867671655</v>
      </c>
      <c r="H372" s="24">
        <v>20.312290317466378</v>
      </c>
      <c r="I372" s="24">
        <v>32.385414123535156</v>
      </c>
      <c r="J372" s="24">
        <v>0.61002230644226074</v>
      </c>
      <c r="K372" s="29">
        <f t="shared" si="72"/>
        <v>6.22297817245461</v>
      </c>
      <c r="L372" s="24">
        <f t="shared" si="73"/>
        <v>333.379205437873</v>
      </c>
      <c r="M372" s="24">
        <f t="shared" si="74"/>
        <v>6.0928486198734075E-2</v>
      </c>
      <c r="N372" s="24">
        <f t="shared" si="75"/>
        <v>0.4323515269300402</v>
      </c>
      <c r="O372">
        <v>0.42312920045709074</v>
      </c>
      <c r="P372" t="s">
        <v>312</v>
      </c>
      <c r="Q372">
        <v>3.597487486948199E-2</v>
      </c>
      <c r="T372">
        <v>0.16782387503130511</v>
      </c>
      <c r="U372">
        <v>0.16683419659362517</v>
      </c>
    </row>
    <row r="373" spans="1:21" ht="15">
      <c r="A373" s="24">
        <v>40</v>
      </c>
      <c r="C373" s="24">
        <v>1.2799944493996998</v>
      </c>
      <c r="D373" s="24">
        <v>3.2746919025513357</v>
      </c>
      <c r="E373" s="24">
        <v>429.7390241548847</v>
      </c>
      <c r="F373" s="24">
        <v>0.77192497253417969</v>
      </c>
      <c r="G373" s="24">
        <v>32.063958164740129</v>
      </c>
      <c r="H373" s="24">
        <v>20.324915828855669</v>
      </c>
      <c r="I373" s="24">
        <v>32.335407257080078</v>
      </c>
      <c r="J373" s="24">
        <v>0.62365514039993286</v>
      </c>
      <c r="K373" s="29">
        <f t="shared" si="72"/>
        <v>6.2125662602482015</v>
      </c>
      <c r="L373" s="24">
        <f t="shared" si="73"/>
        <v>333.4819710113502</v>
      </c>
      <c r="M373" s="24">
        <f t="shared" si="74"/>
        <v>6.0947570170634208E-2</v>
      </c>
      <c r="N373" s="24">
        <f t="shared" si="75"/>
        <v>0.42973902415488469</v>
      </c>
      <c r="O373">
        <v>0.41112447291088489</v>
      </c>
      <c r="P373" t="s">
        <v>327</v>
      </c>
      <c r="R373">
        <v>0.21683346143049667</v>
      </c>
      <c r="T373">
        <v>0.15695796584563287</v>
      </c>
      <c r="U373">
        <v>0.15639774560369585</v>
      </c>
    </row>
    <row r="374" spans="1:21" ht="15">
      <c r="A374" s="24">
        <v>40</v>
      </c>
      <c r="C374" s="24">
        <v>1.3252067492050794</v>
      </c>
      <c r="D374" s="24">
        <v>3.3828185219752025</v>
      </c>
      <c r="E374" s="24">
        <v>337.43787095582491</v>
      </c>
      <c r="F374" s="24">
        <v>1.0155336856842041</v>
      </c>
      <c r="G374" s="24">
        <v>32.039956072688057</v>
      </c>
      <c r="H374" s="24">
        <v>19.386581755531015</v>
      </c>
      <c r="I374" s="24">
        <v>30.688417434692383</v>
      </c>
      <c r="J374" s="24">
        <v>0.57428848743438721</v>
      </c>
      <c r="K374" s="29">
        <f t="shared" si="72"/>
        <v>6.2052868994202939</v>
      </c>
      <c r="L374" s="24">
        <f t="shared" si="73"/>
        <v>333.55381830272165</v>
      </c>
      <c r="M374" s="24">
        <f t="shared" si="74"/>
        <v>5.8121300647011147E-2</v>
      </c>
      <c r="N374" s="24">
        <f t="shared" si="75"/>
        <v>0.33743787095582489</v>
      </c>
      <c r="O374">
        <v>0.33744479307866077</v>
      </c>
      <c r="P374" t="s">
        <v>328</v>
      </c>
      <c r="R374">
        <v>18</v>
      </c>
      <c r="T374">
        <v>0.14775887587712075</v>
      </c>
      <c r="U374">
        <v>0.14742689355107505</v>
      </c>
    </row>
    <row r="375" spans="1:21" ht="15">
      <c r="A375" s="24">
        <v>40</v>
      </c>
      <c r="C375" s="24">
        <v>1.3839335959677495</v>
      </c>
      <c r="D375" s="24">
        <v>3.5218384612344589</v>
      </c>
      <c r="E375" s="24">
        <v>283.74640989818778</v>
      </c>
      <c r="F375" s="24">
        <v>1.2573277950286865</v>
      </c>
      <c r="G375" s="24">
        <v>32.009096240049686</v>
      </c>
      <c r="H375" s="24">
        <v>18.614537277117382</v>
      </c>
      <c r="I375" s="24">
        <v>29.367422103881836</v>
      </c>
      <c r="J375" s="24">
        <v>0.55833280086517334</v>
      </c>
      <c r="K375" s="29">
        <f t="shared" si="72"/>
        <v>6.1959385736361776</v>
      </c>
      <c r="L375" s="24">
        <f t="shared" si="73"/>
        <v>333.64608627821093</v>
      </c>
      <c r="M375" s="24">
        <f t="shared" si="74"/>
        <v>5.5791265183898014E-2</v>
      </c>
      <c r="N375" s="24">
        <f t="shared" si="75"/>
        <v>0.28374640989818778</v>
      </c>
      <c r="O375">
        <v>0.28627429837486612</v>
      </c>
      <c r="P375" t="s">
        <v>329</v>
      </c>
      <c r="R375">
        <v>6.6656398179529676E-3</v>
      </c>
      <c r="T375">
        <v>0.13987038185570458</v>
      </c>
      <c r="U375">
        <v>0.1396491321234217</v>
      </c>
    </row>
    <row r="376" spans="1:21" ht="15">
      <c r="A376" s="24">
        <v>40</v>
      </c>
      <c r="C376" s="24">
        <v>1.4102677167728919</v>
      </c>
      <c r="D376" s="24">
        <v>3.5836251009052393</v>
      </c>
      <c r="E376" s="24">
        <v>241.42108385571186</v>
      </c>
      <c r="F376" s="24">
        <v>1.5036848783493042</v>
      </c>
      <c r="G376" s="24">
        <v>31.995380758877072</v>
      </c>
      <c r="H376" s="24">
        <v>17.797081423397735</v>
      </c>
      <c r="I376" s="24">
        <v>28.052412033081055</v>
      </c>
      <c r="J376" s="24">
        <v>0.53153681755065918</v>
      </c>
      <c r="K376" s="29">
        <f t="shared" si="72"/>
        <v>6.1917876779514875</v>
      </c>
      <c r="L376" s="24">
        <f t="shared" si="73"/>
        <v>333.68705561861879</v>
      </c>
      <c r="M376" s="24">
        <f t="shared" si="74"/>
        <v>5.3334647310198831E-2</v>
      </c>
      <c r="N376" s="24">
        <f t="shared" si="75"/>
        <v>0.24142108385571187</v>
      </c>
      <c r="O376">
        <v>0.2463088178486435</v>
      </c>
      <c r="P376" t="s">
        <v>315</v>
      </c>
      <c r="R376">
        <v>0.99741765031272311</v>
      </c>
      <c r="T376">
        <v>0.13568620514453816</v>
      </c>
      <c r="U376">
        <v>0.13379481757449957</v>
      </c>
    </row>
    <row r="377" spans="1:21" ht="15">
      <c r="A377" s="24">
        <v>40</v>
      </c>
      <c r="C377" s="24">
        <v>1.4500607275479014</v>
      </c>
      <c r="D377" s="24">
        <v>3.6763050604114111</v>
      </c>
      <c r="E377" s="24">
        <v>213.02157951597408</v>
      </c>
      <c r="F377" s="24">
        <v>1.748225212097168</v>
      </c>
      <c r="G377" s="24">
        <v>31.974807537118156</v>
      </c>
      <c r="H377" s="24">
        <v>17.1174437380852</v>
      </c>
      <c r="I377" s="24">
        <v>26.976411819458008</v>
      </c>
      <c r="J377" s="24">
        <v>0.52047020196914673</v>
      </c>
      <c r="K377" s="29">
        <f t="shared" si="72"/>
        <v>6.1855658491693637</v>
      </c>
      <c r="L377" s="24">
        <f t="shared" si="73"/>
        <v>333.74846506869835</v>
      </c>
      <c r="M377" s="24">
        <f t="shared" si="74"/>
        <v>5.128845681600893E-2</v>
      </c>
      <c r="N377" s="24">
        <f t="shared" si="75"/>
        <v>0.21302157951597409</v>
      </c>
      <c r="O377">
        <v>0.21655641793331148</v>
      </c>
      <c r="T377">
        <v>0.12704452860403473</v>
      </c>
      <c r="U377">
        <v>0.12689173321954678</v>
      </c>
    </row>
    <row r="378" spans="1:21" ht="15">
      <c r="A378" s="24">
        <v>40</v>
      </c>
      <c r="C378" s="24">
        <v>1.4902274656008669</v>
      </c>
      <c r="D378" s="24">
        <v>3.7844316798352775</v>
      </c>
      <c r="E378" s="24">
        <v>192.46450945302976</v>
      </c>
      <c r="F378" s="24">
        <v>1.9918630123138428</v>
      </c>
      <c r="G378" s="24">
        <v>31.950805445066084</v>
      </c>
      <c r="H378" s="24">
        <v>16.538836086431949</v>
      </c>
      <c r="I378" s="24">
        <v>26.072406768798828</v>
      </c>
      <c r="J378" s="24">
        <v>0.52334600687026978</v>
      </c>
      <c r="K378" s="29">
        <f t="shared" si="72"/>
        <v>6.178313891598278</v>
      </c>
      <c r="L378" s="24">
        <f t="shared" si="73"/>
        <v>333.82004188992494</v>
      </c>
      <c r="M378" s="24">
        <f t="shared" si="74"/>
        <v>4.9544167548470699E-2</v>
      </c>
      <c r="N378" s="24">
        <f t="shared" si="75"/>
        <v>0.19246450945302976</v>
      </c>
      <c r="O378">
        <v>0.19358172575841553</v>
      </c>
      <c r="T378">
        <v>0.12176073976224788</v>
      </c>
      <c r="U378">
        <v>0.12161389530875223</v>
      </c>
    </row>
    <row r="379" spans="1:21" ht="15">
      <c r="A379" s="24">
        <v>40</v>
      </c>
      <c r="C379" s="24">
        <v>1.5104598579808164</v>
      </c>
      <c r="D379" s="24">
        <v>3.8307716595883634</v>
      </c>
      <c r="E379" s="24">
        <v>173.30644802659683</v>
      </c>
      <c r="F379" s="24">
        <v>2.2391386032104492</v>
      </c>
      <c r="G379" s="24">
        <v>31.940518834186626</v>
      </c>
      <c r="H379" s="24">
        <v>15.903082125741973</v>
      </c>
      <c r="I379" s="24">
        <v>25.127422332763672</v>
      </c>
      <c r="J379" s="24">
        <v>0.5144808292388916</v>
      </c>
      <c r="K379" s="29">
        <f t="shared" si="72"/>
        <v>6.1752081641549506</v>
      </c>
      <c r="L379" s="24">
        <f t="shared" si="73"/>
        <v>333.85069541979061</v>
      </c>
      <c r="M379" s="24">
        <f t="shared" si="74"/>
        <v>4.7635312263600696E-2</v>
      </c>
      <c r="N379" s="24">
        <f t="shared" si="75"/>
        <v>0.17330644802659684</v>
      </c>
      <c r="O379">
        <v>0.1739920668370557</v>
      </c>
      <c r="T379">
        <v>0.11633264685482463</v>
      </c>
      <c r="U379">
        <v>0.11666441276384172</v>
      </c>
    </row>
    <row r="380" spans="1:21" ht="15">
      <c r="A380" s="24">
        <v>40</v>
      </c>
      <c r="C380" s="24">
        <v>1.5240059899573322</v>
      </c>
      <c r="D380" s="24">
        <v>3.8616649794237539</v>
      </c>
      <c r="E380" s="24">
        <v>157.27214405771483</v>
      </c>
      <c r="F380" s="24">
        <v>2.4873232841491699</v>
      </c>
      <c r="G380" s="24">
        <v>31.933661093600321</v>
      </c>
      <c r="H380" s="24">
        <v>15.291515690455324</v>
      </c>
      <c r="I380" s="24">
        <v>24.242420196533203</v>
      </c>
      <c r="J380" s="24">
        <v>0.5066104531288147</v>
      </c>
      <c r="K380" s="29">
        <f t="shared" si="72"/>
        <v>6.1731384302870138</v>
      </c>
      <c r="L380" s="24">
        <f t="shared" si="73"/>
        <v>333.87112369306715</v>
      </c>
      <c r="M380" s="24">
        <f t="shared" si="74"/>
        <v>4.5800653621404674E-2</v>
      </c>
      <c r="N380" s="24">
        <f t="shared" si="75"/>
        <v>0.15727214405771484</v>
      </c>
      <c r="O380">
        <v>0.15777179187750007</v>
      </c>
      <c r="T380">
        <v>0.11354900353367679</v>
      </c>
      <c r="U380">
        <v>0.1129580685235804</v>
      </c>
    </row>
    <row r="381" spans="1:21" ht="15">
      <c r="A381" s="24">
        <v>40</v>
      </c>
      <c r="C381" s="24">
        <v>1.5444141172908228</v>
      </c>
      <c r="D381" s="24">
        <v>3.9080049591768393</v>
      </c>
      <c r="E381" s="24">
        <v>144.7673178518055</v>
      </c>
      <c r="F381" s="24">
        <v>2.7346012592315674</v>
      </c>
      <c r="G381" s="24">
        <v>31.923374482720863</v>
      </c>
      <c r="H381" s="24">
        <v>14.757970388031771</v>
      </c>
      <c r="I381" s="24">
        <v>23.478425979614258</v>
      </c>
      <c r="J381" s="24">
        <v>0.51199030876159668</v>
      </c>
      <c r="K381" s="29">
        <f t="shared" si="72"/>
        <v>6.1700349557632794</v>
      </c>
      <c r="L381" s="24">
        <f t="shared" si="73"/>
        <v>333.90175498661642</v>
      </c>
      <c r="M381" s="24">
        <f t="shared" si="74"/>
        <v>4.4198540940952241E-2</v>
      </c>
      <c r="N381" s="24">
        <f t="shared" si="75"/>
        <v>0.14476731785180549</v>
      </c>
      <c r="O381">
        <v>0.14461644443772925</v>
      </c>
    </row>
    <row r="382" spans="1:21" ht="15">
      <c r="A382" s="24">
        <v>40</v>
      </c>
      <c r="C382" s="24">
        <v>1.5649331080850515</v>
      </c>
      <c r="D382" s="24">
        <v>3.9543449389299243</v>
      </c>
      <c r="E382" s="24">
        <v>134.33640071316924</v>
      </c>
      <c r="F382" s="24">
        <v>2.9818809032440186</v>
      </c>
      <c r="G382" s="24">
        <v>31.913087871841405</v>
      </c>
      <c r="H382" s="24">
        <v>14.267456854327595</v>
      </c>
      <c r="I382" s="24">
        <v>22.78642463684082</v>
      </c>
      <c r="J382" s="24">
        <v>0.51858228445053101</v>
      </c>
      <c r="K382" s="29">
        <f t="shared" si="72"/>
        <v>6.1669328323376211</v>
      </c>
      <c r="L382" s="24">
        <f t="shared" si="73"/>
        <v>333.93237294482765</v>
      </c>
      <c r="M382" s="24">
        <f t="shared" si="74"/>
        <v>4.2725587604783878E-2</v>
      </c>
      <c r="N382" s="24">
        <f t="shared" si="75"/>
        <v>0.13433640071316924</v>
      </c>
      <c r="O382">
        <v>0.1336072405378998</v>
      </c>
    </row>
    <row r="383" spans="1:21" ht="15">
      <c r="A383" s="24">
        <v>40</v>
      </c>
      <c r="C383" s="24">
        <v>1.5649331080850515</v>
      </c>
      <c r="D383" s="24">
        <v>3.9543449389299243</v>
      </c>
      <c r="E383" s="24">
        <v>123.94489755583055</v>
      </c>
      <c r="F383" s="24">
        <v>3.2318809032440186</v>
      </c>
      <c r="G383" s="24">
        <v>31.913087871841405</v>
      </c>
      <c r="H383" s="24">
        <v>13.72689933701065</v>
      </c>
      <c r="I383" s="24">
        <v>22.051424026489258</v>
      </c>
      <c r="J383" s="24">
        <v>0.51267844438552856</v>
      </c>
      <c r="K383" s="29">
        <f t="shared" si="72"/>
        <v>6.1669328323376211</v>
      </c>
      <c r="L383" s="24">
        <f t="shared" si="73"/>
        <v>333.93237294482765</v>
      </c>
      <c r="M383" s="24">
        <f t="shared" si="74"/>
        <v>4.1106824163102657E-2</v>
      </c>
      <c r="N383" s="24">
        <f t="shared" si="75"/>
        <v>0.12394489755583055</v>
      </c>
      <c r="O383">
        <v>0.12367059302144441</v>
      </c>
    </row>
    <row r="384" spans="1:21" ht="15">
      <c r="A384" s="24">
        <v>40</v>
      </c>
      <c r="C384" s="24">
        <v>1.5993904767705585</v>
      </c>
      <c r="D384" s="24">
        <v>4.0315782385184002</v>
      </c>
      <c r="E384" s="24">
        <v>117.44543624323562</v>
      </c>
      <c r="F384" s="24">
        <v>3.4773499965667725</v>
      </c>
      <c r="G384" s="24">
        <v>31.895943520375642</v>
      </c>
      <c r="H384" s="24">
        <v>13.369817281509219</v>
      </c>
      <c r="I384" s="24">
        <v>21.549415588378906</v>
      </c>
      <c r="J384" s="24">
        <v>0.52141231298446655</v>
      </c>
      <c r="K384" s="29">
        <f t="shared" si="72"/>
        <v>6.1617656277373083</v>
      </c>
      <c r="L384" s="24">
        <f t="shared" si="73"/>
        <v>333.98337325423273</v>
      </c>
      <c r="M384" s="24">
        <f t="shared" si="74"/>
        <v>4.0031385847857551E-2</v>
      </c>
      <c r="N384" s="24">
        <f t="shared" si="75"/>
        <v>0.11744543624323563</v>
      </c>
      <c r="O384">
        <v>0.11614886027954406</v>
      </c>
    </row>
    <row r="385" spans="1:18" ht="15">
      <c r="A385" s="24">
        <v>40</v>
      </c>
      <c r="C385" s="24">
        <v>1.5993904767705585</v>
      </c>
      <c r="D385" s="24">
        <v>4.0315782385184002</v>
      </c>
      <c r="E385" s="24">
        <v>109.56816153699627</v>
      </c>
      <c r="F385" s="24">
        <v>3.7273499965667725</v>
      </c>
      <c r="G385" s="24">
        <v>31.895943520375642</v>
      </c>
      <c r="H385" s="24">
        <v>12.896866177011042</v>
      </c>
      <c r="I385" s="24">
        <v>20.922422409057617</v>
      </c>
      <c r="J385" s="24">
        <v>0.53003644943237305</v>
      </c>
      <c r="K385" s="29">
        <f t="shared" si="72"/>
        <v>6.1617656277373083</v>
      </c>
      <c r="L385" s="24">
        <f t="shared" si="73"/>
        <v>333.98337325423273</v>
      </c>
      <c r="M385" s="24">
        <f t="shared" si="74"/>
        <v>3.8615294082899661E-2</v>
      </c>
      <c r="N385" s="24">
        <f t="shared" si="75"/>
        <v>0.10956816153699628</v>
      </c>
      <c r="O385">
        <v>0.10877442040216556</v>
      </c>
    </row>
    <row r="386" spans="1:18" ht="15">
      <c r="A386" s="24">
        <v>40</v>
      </c>
      <c r="C386" s="24">
        <v>1.6202267010240954</v>
      </c>
      <c r="D386" s="24">
        <v>4.0779182182714866</v>
      </c>
      <c r="E386" s="24">
        <v>103.93238631815638</v>
      </c>
      <c r="F386" s="24">
        <v>3.9746332168579102</v>
      </c>
      <c r="G386" s="24">
        <v>31.885656909496184</v>
      </c>
      <c r="H386" s="24">
        <v>12.541265445441498</v>
      </c>
      <c r="I386" s="24">
        <v>20.44342041015625</v>
      </c>
      <c r="J386" s="24">
        <v>0.52623426914215088</v>
      </c>
      <c r="K386" s="29">
        <f t="shared" si="72"/>
        <v>6.1586671048442323</v>
      </c>
      <c r="L386" s="24">
        <f t="shared" si="73"/>
        <v>334.01395567518739</v>
      </c>
      <c r="M386" s="24">
        <f t="shared" si="74"/>
        <v>3.7547130089490267E-2</v>
      </c>
      <c r="N386" s="24">
        <f t="shared" si="75"/>
        <v>0.10393238631815638</v>
      </c>
      <c r="O386">
        <v>0.10287737015231456</v>
      </c>
    </row>
    <row r="387" spans="1:18" ht="15">
      <c r="A387" s="24">
        <v>40</v>
      </c>
      <c r="C387" s="24">
        <v>1.6202267010240954</v>
      </c>
      <c r="D387" s="24">
        <v>4.0779182182714866</v>
      </c>
      <c r="E387" s="24">
        <v>97.782007051218585</v>
      </c>
      <c r="F387" s="24">
        <v>4.2246332168579102</v>
      </c>
      <c r="G387" s="24">
        <v>31.885656909496184</v>
      </c>
      <c r="H387" s="24">
        <v>12.124888453872524</v>
      </c>
      <c r="I387" s="24">
        <v>19.903425216674805</v>
      </c>
      <c r="J387" s="24">
        <v>0.53628528118133545</v>
      </c>
      <c r="K387" s="29">
        <f t="shared" si="72"/>
        <v>6.1586671048442323</v>
      </c>
      <c r="L387" s="24">
        <f t="shared" si="73"/>
        <v>334.01395567518739</v>
      </c>
      <c r="M387" s="24">
        <f t="shared" si="74"/>
        <v>3.6300544476840356E-2</v>
      </c>
      <c r="N387" s="24">
        <f t="shared" si="75"/>
        <v>9.7782007051218589E-2</v>
      </c>
      <c r="O387">
        <v>9.7257294371681166E-2</v>
      </c>
    </row>
    <row r="388" spans="1:18" ht="15">
      <c r="A388" s="24">
        <v>40</v>
      </c>
      <c r="C388" s="24">
        <v>1.6341884981681509</v>
      </c>
      <c r="D388" s="24">
        <v>4.1088115381068775</v>
      </c>
      <c r="E388" s="24">
        <v>93.05591082153984</v>
      </c>
      <c r="F388" s="24">
        <v>4.4728226661682129</v>
      </c>
      <c r="G388" s="24">
        <v>31.878799168909879</v>
      </c>
      <c r="H388" s="24">
        <v>11.790180339200601</v>
      </c>
      <c r="I388" s="24">
        <v>19.465425491333008</v>
      </c>
      <c r="J388" s="24">
        <v>0.54776120185852051</v>
      </c>
      <c r="K388" s="29">
        <f t="shared" si="72"/>
        <v>6.1566021725578359</v>
      </c>
      <c r="L388" s="24">
        <f t="shared" si="73"/>
        <v>334.0343365568541</v>
      </c>
      <c r="M388" s="24">
        <f t="shared" si="74"/>
        <v>3.5296312531013889E-2</v>
      </c>
      <c r="N388" s="24">
        <f t="shared" si="75"/>
        <v>9.3055910821539842E-2</v>
      </c>
      <c r="O388">
        <v>9.2607569300462655E-2</v>
      </c>
    </row>
    <row r="389" spans="1:18" ht="15">
      <c r="A389" s="24">
        <v>40</v>
      </c>
      <c r="C389" s="24">
        <v>1.6552397152686094</v>
      </c>
      <c r="D389" s="24">
        <v>4.155151517859963</v>
      </c>
      <c r="E389" s="24">
        <v>89.175246611769339</v>
      </c>
      <c r="F389" s="24">
        <v>4.7201085090637207</v>
      </c>
      <c r="G389" s="24">
        <v>31.868512558030417</v>
      </c>
      <c r="H389" s="24">
        <v>11.50511407113904</v>
      </c>
      <c r="I389" s="24">
        <v>19.090419769287109</v>
      </c>
      <c r="J389" s="24">
        <v>0.56042909622192383</v>
      </c>
      <c r="K389" s="29">
        <f t="shared" si="72"/>
        <v>6.1535058982290165</v>
      </c>
      <c r="L389" s="24">
        <f t="shared" si="73"/>
        <v>334.06489678447963</v>
      </c>
      <c r="M389" s="24">
        <f t="shared" si="74"/>
        <v>3.4439757609616525E-2</v>
      </c>
      <c r="N389" s="24">
        <f t="shared" si="75"/>
        <v>8.9175246611769343E-2</v>
      </c>
      <c r="O389">
        <v>8.8631949318278391E-2</v>
      </c>
    </row>
    <row r="390" spans="1:18">
      <c r="K390" s="19" t="s">
        <v>148</v>
      </c>
      <c r="L390" s="19" t="s">
        <v>292</v>
      </c>
      <c r="M390" s="24"/>
      <c r="N390" s="24"/>
      <c r="O390" s="24"/>
    </row>
    <row r="391" spans="1:18">
      <c r="A391" s="19" t="s">
        <v>352</v>
      </c>
      <c r="K391" s="27" t="s">
        <v>341</v>
      </c>
      <c r="L391" s="27" t="s">
        <v>342</v>
      </c>
      <c r="M391" s="19" t="s">
        <v>343</v>
      </c>
      <c r="N391" s="19" t="s">
        <v>288</v>
      </c>
      <c r="O391" s="19" t="s">
        <v>344</v>
      </c>
    </row>
    <row r="392" spans="1:18" ht="15">
      <c r="A392" s="24">
        <v>40</v>
      </c>
      <c r="C392" s="24">
        <v>0.40188393468456329</v>
      </c>
      <c r="D392" s="24">
        <v>2.4465501777777194</v>
      </c>
      <c r="E392" s="24">
        <v>369.27714311275082</v>
      </c>
      <c r="F392" s="24">
        <v>0.67113691568374634</v>
      </c>
      <c r="G392" s="24">
        <v>32.24779017591451</v>
      </c>
      <c r="H392" s="24">
        <v>19.566778422396968</v>
      </c>
      <c r="I392" s="24">
        <v>31.41241455078125</v>
      </c>
      <c r="J392" s="24">
        <v>0.45032507181167603</v>
      </c>
      <c r="K392" s="29">
        <f t="shared" ref="K392:K410" si="76">0.1013*42.75*EXP((37830*((G392+273.15)-298))/(298*$H$26*(G392+273.15)))</f>
        <v>6.268564475188227</v>
      </c>
      <c r="L392" s="24">
        <f t="shared" ref="L392:L411" si="77">(A392-K392)*9.87</f>
        <v>332.92926862989219</v>
      </c>
      <c r="M392" s="24">
        <f t="shared" ref="M392:M411" si="78">H392/L392</f>
        <v>5.8771577827688042E-2</v>
      </c>
      <c r="N392" s="24">
        <f t="shared" ref="N392:N411" si="79">E392*0.001</f>
        <v>0.36927714311275084</v>
      </c>
      <c r="O392">
        <v>0.38190154028212087</v>
      </c>
      <c r="P392" t="s">
        <v>313</v>
      </c>
      <c r="Q392">
        <v>0.93627104565512542</v>
      </c>
    </row>
    <row r="393" spans="1:18" ht="15">
      <c r="A393" s="24">
        <v>40</v>
      </c>
      <c r="C393" s="24">
        <v>0.42920973632856596</v>
      </c>
      <c r="D393" s="24">
        <v>2.6255660444443825</v>
      </c>
      <c r="E393" s="24">
        <v>374.36296691417681</v>
      </c>
      <c r="F393" s="24">
        <v>0.71045982837677002</v>
      </c>
      <c r="G393" s="24">
        <v>32.20805199364812</v>
      </c>
      <c r="H393" s="24">
        <v>19.659750949759161</v>
      </c>
      <c r="I393" s="24">
        <v>31.488418579101563</v>
      </c>
      <c r="J393" s="24">
        <v>0.4810006320476532</v>
      </c>
      <c r="K393" s="29">
        <f t="shared" si="76"/>
        <v>6.2564226998618819</v>
      </c>
      <c r="L393" s="24">
        <f t="shared" si="77"/>
        <v>333.04910795236322</v>
      </c>
      <c r="M393" s="24">
        <f t="shared" si="78"/>
        <v>5.9029585968959089E-2</v>
      </c>
      <c r="N393" s="24">
        <f t="shared" si="79"/>
        <v>0.37436296691417681</v>
      </c>
      <c r="O393">
        <v>0.37536592427617466</v>
      </c>
      <c r="P393" t="s">
        <v>314</v>
      </c>
      <c r="Q393">
        <v>9.743528548447097</v>
      </c>
    </row>
    <row r="394" spans="1:18" ht="15">
      <c r="A394" s="24">
        <v>40</v>
      </c>
      <c r="C394" s="24">
        <v>0.45691536288922074</v>
      </c>
      <c r="D394" s="24">
        <v>2.7747459333332669</v>
      </c>
      <c r="E394" s="24">
        <v>373.9884452992207</v>
      </c>
      <c r="F394" s="24">
        <v>0.75157874822616577</v>
      </c>
      <c r="G394" s="24">
        <v>32.174936841759461</v>
      </c>
      <c r="H394" s="24">
        <v>19.688186020985743</v>
      </c>
      <c r="I394" s="24">
        <v>31.468412399291992</v>
      </c>
      <c r="J394" s="24">
        <v>0.50470304489135742</v>
      </c>
      <c r="K394" s="29">
        <f t="shared" si="76"/>
        <v>6.2463201126115191</v>
      </c>
      <c r="L394" s="24">
        <f t="shared" si="77"/>
        <v>333.14882048852428</v>
      </c>
      <c r="M394" s="24">
        <f t="shared" si="78"/>
        <v>5.9097270679557834E-2</v>
      </c>
      <c r="N394" s="24">
        <f t="shared" si="79"/>
        <v>0.37398844529922071</v>
      </c>
      <c r="O394">
        <v>0.36776515299820162</v>
      </c>
      <c r="P394" t="s">
        <v>312</v>
      </c>
      <c r="Q394">
        <v>4.8352964810816648E-2</v>
      </c>
    </row>
    <row r="395" spans="1:18" ht="15">
      <c r="A395" s="24">
        <v>40</v>
      </c>
      <c r="C395" s="24">
        <v>0.48500805859202067</v>
      </c>
      <c r="D395" s="24">
        <v>2.9239258222221514</v>
      </c>
      <c r="E395" s="24">
        <v>373.64570037306686</v>
      </c>
      <c r="F395" s="24">
        <v>0.79271268844604492</v>
      </c>
      <c r="G395" s="24">
        <v>32.141821689870802</v>
      </c>
      <c r="H395" s="24">
        <v>19.716445585569929</v>
      </c>
      <c r="I395" s="24">
        <v>31.448417663574219</v>
      </c>
      <c r="J395" s="24">
        <v>0.52543210983276367</v>
      </c>
      <c r="K395" s="29">
        <f t="shared" si="76"/>
        <v>6.2362316522021617</v>
      </c>
      <c r="L395" s="24">
        <f t="shared" si="77"/>
        <v>333.24839359276461</v>
      </c>
      <c r="M395" s="24">
        <f t="shared" si="78"/>
        <v>5.9164412986379679E-2</v>
      </c>
      <c r="N395" s="24">
        <f t="shared" si="79"/>
        <v>0.37364570037306688</v>
      </c>
      <c r="O395">
        <v>0.36052033611758361</v>
      </c>
      <c r="P395" t="s">
        <v>327</v>
      </c>
      <c r="R395">
        <v>0.21759387167615421</v>
      </c>
    </row>
    <row r="396" spans="1:18" ht="15">
      <c r="A396" s="24">
        <v>40</v>
      </c>
      <c r="C396" s="24">
        <v>0.52501492363990943</v>
      </c>
      <c r="D396" s="24">
        <v>3.132777666666589</v>
      </c>
      <c r="E396" s="24">
        <v>308.00985924861573</v>
      </c>
      <c r="F396" s="24">
        <v>1.0303254127502441</v>
      </c>
      <c r="G396" s="24">
        <v>32.09546047722668</v>
      </c>
      <c r="H396" s="24">
        <v>18.928350885161233</v>
      </c>
      <c r="I396" s="24">
        <v>30.04041862487793</v>
      </c>
      <c r="J396" s="24">
        <v>0.51466310024261475</v>
      </c>
      <c r="K396" s="29">
        <f t="shared" si="76"/>
        <v>6.222131509387558</v>
      </c>
      <c r="L396" s="24">
        <f t="shared" si="77"/>
        <v>333.38756200234479</v>
      </c>
      <c r="M396" s="24">
        <f t="shared" si="78"/>
        <v>5.6775816024678523E-2</v>
      </c>
      <c r="N396" s="24">
        <f t="shared" si="79"/>
        <v>0.30800985924861574</v>
      </c>
      <c r="O396">
        <v>0.31172277282296196</v>
      </c>
      <c r="P396" t="s">
        <v>328</v>
      </c>
      <c r="R396">
        <v>18</v>
      </c>
    </row>
    <row r="397" spans="1:18" ht="15">
      <c r="A397" s="24">
        <v>40</v>
      </c>
      <c r="C397" s="24">
        <v>0.58954629035670536</v>
      </c>
      <c r="D397" s="24">
        <v>3.4908093999999106</v>
      </c>
      <c r="E397" s="24">
        <v>280.83762475331355</v>
      </c>
      <c r="F397" s="24">
        <v>1.2591581344604492</v>
      </c>
      <c r="G397" s="24">
        <v>32.0159841126939</v>
      </c>
      <c r="H397" s="24">
        <v>18.558522281534696</v>
      </c>
      <c r="I397" s="24">
        <v>29.29041862487793</v>
      </c>
      <c r="J397" s="24">
        <v>0.54080957174301147</v>
      </c>
      <c r="K397" s="29">
        <f t="shared" si="76"/>
        <v>6.198024049422</v>
      </c>
      <c r="L397" s="24">
        <f t="shared" si="77"/>
        <v>333.62550263220481</v>
      </c>
      <c r="M397" s="24">
        <f t="shared" si="78"/>
        <v>5.56268095068079E-2</v>
      </c>
      <c r="N397" s="24">
        <f t="shared" si="79"/>
        <v>0.28083762475331353</v>
      </c>
      <c r="O397">
        <v>0.27949693802380193</v>
      </c>
      <c r="P397" t="s">
        <v>329</v>
      </c>
      <c r="R397">
        <v>4.7872822708161285E-3</v>
      </c>
    </row>
    <row r="398" spans="1:18" ht="15">
      <c r="A398" s="24">
        <v>40</v>
      </c>
      <c r="C398" s="24">
        <v>0.61958120654208049</v>
      </c>
      <c r="D398" s="24">
        <v>3.639989288888795</v>
      </c>
      <c r="E398" s="24">
        <v>245.76099669311802</v>
      </c>
      <c r="F398" s="24">
        <v>1.500363826751709</v>
      </c>
      <c r="G398" s="24">
        <v>31.982868960805238</v>
      </c>
      <c r="H398" s="24">
        <v>17.902737392518492</v>
      </c>
      <c r="I398" s="24">
        <v>28.194417953491211</v>
      </c>
      <c r="J398" s="24">
        <v>0.53485292196273804</v>
      </c>
      <c r="K398" s="29">
        <f t="shared" si="76"/>
        <v>6.1880031690080068</v>
      </c>
      <c r="L398" s="24">
        <f t="shared" si="77"/>
        <v>333.72440872189094</v>
      </c>
      <c r="M398" s="24">
        <f t="shared" si="78"/>
        <v>5.3645274138271769E-2</v>
      </c>
      <c r="N398" s="24">
        <f t="shared" si="79"/>
        <v>0.24576099669311802</v>
      </c>
      <c r="O398">
        <v>0.2491969677273132</v>
      </c>
      <c r="P398" t="s">
        <v>315</v>
      </c>
      <c r="R398">
        <v>0.9976350322840507</v>
      </c>
    </row>
    <row r="399" spans="1:18" ht="15">
      <c r="A399" s="24">
        <v>40</v>
      </c>
      <c r="C399" s="24">
        <v>0.67480737547998215</v>
      </c>
      <c r="D399" s="24">
        <v>3.9085130888887867</v>
      </c>
      <c r="E399" s="24">
        <v>228.25947159531572</v>
      </c>
      <c r="F399" s="24">
        <v>1.7345714569091797</v>
      </c>
      <c r="G399" s="24">
        <v>31.923261687405653</v>
      </c>
      <c r="H399" s="24">
        <v>17.547115018177735</v>
      </c>
      <c r="I399" s="24">
        <v>27.541408538818359</v>
      </c>
      <c r="J399" s="24">
        <v>0.56025099754333496</v>
      </c>
      <c r="K399" s="29">
        <f t="shared" si="76"/>
        <v>6.1700009328622762</v>
      </c>
      <c r="L399" s="24">
        <f t="shared" si="77"/>
        <v>333.90209079264929</v>
      </c>
      <c r="M399" s="24">
        <f t="shared" si="78"/>
        <v>5.2551677578665905E-2</v>
      </c>
      <c r="N399" s="24">
        <f t="shared" si="79"/>
        <v>0.22825947159531573</v>
      </c>
      <c r="O399">
        <v>0.22784953746603187</v>
      </c>
    </row>
    <row r="400" spans="1:18" ht="15">
      <c r="A400" s="24">
        <v>40</v>
      </c>
      <c r="C400" s="24">
        <v>0.69985056304482207</v>
      </c>
      <c r="D400" s="24">
        <v>4.0278569999998934</v>
      </c>
      <c r="E400" s="24">
        <v>206.32508731667647</v>
      </c>
      <c r="F400" s="24">
        <v>1.9775681495666504</v>
      </c>
      <c r="G400" s="24">
        <v>31.896769565894726</v>
      </c>
      <c r="H400" s="24">
        <v>16.990128466371562</v>
      </c>
      <c r="I400" s="24">
        <v>26.654413223266602</v>
      </c>
      <c r="J400" s="24">
        <v>0.55767333507537842</v>
      </c>
      <c r="K400" s="29">
        <f t="shared" si="76"/>
        <v>6.1620145069043835</v>
      </c>
      <c r="L400" s="24">
        <f t="shared" si="77"/>
        <v>333.98091681685372</v>
      </c>
      <c r="M400" s="24">
        <f t="shared" si="78"/>
        <v>5.0871554663371676E-2</v>
      </c>
      <c r="N400" s="24">
        <f t="shared" si="79"/>
        <v>0.20632508731667648</v>
      </c>
      <c r="O400">
        <v>0.20762050922962239</v>
      </c>
    </row>
    <row r="401" spans="1:17" ht="15">
      <c r="A401" s="24">
        <v>40</v>
      </c>
      <c r="C401" s="24">
        <v>0.72521143498640805</v>
      </c>
      <c r="D401" s="24">
        <v>4.1472009111110015</v>
      </c>
      <c r="E401" s="24">
        <v>189.19045931074436</v>
      </c>
      <c r="F401" s="24">
        <v>2.2205741405487061</v>
      </c>
      <c r="G401" s="24">
        <v>31.870277444383799</v>
      </c>
      <c r="H401" s="24">
        <v>16.491179900690106</v>
      </c>
      <c r="I401" s="24">
        <v>25.872417449951172</v>
      </c>
      <c r="J401" s="24">
        <v>0.56375992298126221</v>
      </c>
      <c r="K401" s="29">
        <f t="shared" si="76"/>
        <v>6.1540370339387929</v>
      </c>
      <c r="L401" s="24">
        <f t="shared" si="77"/>
        <v>334.0596544750241</v>
      </c>
      <c r="M401" s="24">
        <f t="shared" si="78"/>
        <v>4.9365973052346149E-2</v>
      </c>
      <c r="N401" s="24">
        <f t="shared" si="79"/>
        <v>0.18919045931074435</v>
      </c>
      <c r="O401">
        <v>0.19100969730285289</v>
      </c>
    </row>
    <row r="402" spans="1:17" ht="15">
      <c r="A402" s="24">
        <v>40</v>
      </c>
      <c r="C402" s="24">
        <v>0.74444569449245956</v>
      </c>
      <c r="D402" s="24">
        <v>4.2665448222221087</v>
      </c>
      <c r="E402" s="24">
        <v>175.43545639699937</v>
      </c>
      <c r="F402" s="24">
        <v>2.4635896682739258</v>
      </c>
      <c r="G402" s="24">
        <v>31.843785322872872</v>
      </c>
      <c r="H402" s="24">
        <v>16.043276147174005</v>
      </c>
      <c r="I402" s="24">
        <v>25.179407119750977</v>
      </c>
      <c r="J402" s="24">
        <v>0.56402111053466797</v>
      </c>
      <c r="K402" s="29">
        <f t="shared" si="76"/>
        <v>6.1460685056018045</v>
      </c>
      <c r="L402" s="24">
        <f t="shared" si="77"/>
        <v>334.13830384971016</v>
      </c>
      <c r="M402" s="24">
        <f t="shared" si="78"/>
        <v>4.8013879170195353E-2</v>
      </c>
      <c r="N402" s="24">
        <f t="shared" si="79"/>
        <v>0.17543545639699937</v>
      </c>
      <c r="O402">
        <v>0.17718489839361662</v>
      </c>
    </row>
    <row r="403" spans="1:17" ht="15">
      <c r="A403" s="24">
        <v>40</v>
      </c>
      <c r="C403" s="24">
        <v>0.79005690903677805</v>
      </c>
      <c r="D403" s="24">
        <v>4.4753966666665459</v>
      </c>
      <c r="E403" s="24">
        <v>167.82387503130511</v>
      </c>
      <c r="F403" s="24">
        <v>2.7013895511627197</v>
      </c>
      <c r="G403" s="24">
        <v>31.79742411022875</v>
      </c>
      <c r="H403" s="24">
        <v>15.792785069916391</v>
      </c>
      <c r="I403" s="24">
        <v>24.749408721923828</v>
      </c>
      <c r="J403" s="24">
        <v>0.58251410722732544</v>
      </c>
      <c r="K403" s="29">
        <f t="shared" si="76"/>
        <v>6.1321450788900549</v>
      </c>
      <c r="L403" s="24">
        <f t="shared" si="77"/>
        <v>334.2757280713551</v>
      </c>
      <c r="M403" s="24">
        <f t="shared" si="78"/>
        <v>4.7244785497992346E-2</v>
      </c>
      <c r="N403" s="24">
        <f t="shared" si="79"/>
        <v>0.16782387503130511</v>
      </c>
      <c r="O403">
        <v>0.16683419659362517</v>
      </c>
    </row>
    <row r="404" spans="1:17" ht="15">
      <c r="A404" s="24">
        <v>40</v>
      </c>
      <c r="C404" s="24">
        <v>0.80992781991732965</v>
      </c>
      <c r="D404" s="24">
        <v>4.5649045999998767</v>
      </c>
      <c r="E404" s="24">
        <v>156.95796584563288</v>
      </c>
      <c r="F404" s="24">
        <v>2.9461698532104492</v>
      </c>
      <c r="G404" s="24">
        <v>31.777555019095555</v>
      </c>
      <c r="H404" s="24">
        <v>15.373474750939522</v>
      </c>
      <c r="I404" s="24">
        <v>24.12641716003418</v>
      </c>
      <c r="J404" s="24">
        <v>0.58431082963943481</v>
      </c>
      <c r="K404" s="29">
        <f t="shared" si="76"/>
        <v>6.1261862626777832</v>
      </c>
      <c r="L404" s="24">
        <f t="shared" si="77"/>
        <v>334.33454158737027</v>
      </c>
      <c r="M404" s="24">
        <f t="shared" si="78"/>
        <v>4.5982310645943339E-2</v>
      </c>
      <c r="N404" s="24">
        <f t="shared" si="79"/>
        <v>0.15695796584563287</v>
      </c>
      <c r="O404">
        <v>0.15639774560369585</v>
      </c>
    </row>
    <row r="405" spans="1:17" ht="15">
      <c r="A405" s="24">
        <v>40</v>
      </c>
      <c r="C405" s="24">
        <v>0.82999803458811083</v>
      </c>
      <c r="D405" s="24">
        <v>4.6544125333332067</v>
      </c>
      <c r="E405" s="24">
        <v>147.75887587712074</v>
      </c>
      <c r="F405" s="24">
        <v>3.1909554004669189</v>
      </c>
      <c r="G405" s="24">
        <v>31.75768592796236</v>
      </c>
      <c r="H405" s="24">
        <v>14.988473430251007</v>
      </c>
      <c r="I405" s="24">
        <v>23.56041145324707</v>
      </c>
      <c r="J405" s="24">
        <v>0.59542739391326904</v>
      </c>
      <c r="K405" s="29">
        <f t="shared" si="76"/>
        <v>6.1202324613799188</v>
      </c>
      <c r="L405" s="24">
        <f t="shared" si="77"/>
        <v>334.39330560618015</v>
      </c>
      <c r="M405" s="24">
        <f t="shared" si="78"/>
        <v>4.4822887237770094E-2</v>
      </c>
      <c r="N405" s="24">
        <f t="shared" si="79"/>
        <v>0.14775887587712075</v>
      </c>
      <c r="O405">
        <v>0.14742689355107505</v>
      </c>
    </row>
    <row r="406" spans="1:17" ht="15">
      <c r="A406" s="24">
        <v>40</v>
      </c>
      <c r="C406" s="24">
        <v>0.85027210661216257</v>
      </c>
      <c r="D406" s="24">
        <v>4.7439204666665375</v>
      </c>
      <c r="E406" s="24">
        <v>139.87038185570458</v>
      </c>
      <c r="F406" s="24">
        <v>3.4357461929321289</v>
      </c>
      <c r="G406" s="24">
        <v>31.737816836829165</v>
      </c>
      <c r="H406" s="24">
        <v>14.633573059249066</v>
      </c>
      <c r="I406" s="24">
        <v>23.043415069580078</v>
      </c>
      <c r="J406" s="24">
        <v>0.60793071985244751</v>
      </c>
      <c r="K406" s="29">
        <f t="shared" si="76"/>
        <v>6.1142836714791997</v>
      </c>
      <c r="L406" s="24">
        <f t="shared" si="77"/>
        <v>334.45202016250028</v>
      </c>
      <c r="M406" s="24">
        <f t="shared" si="78"/>
        <v>4.3753878514888468E-2</v>
      </c>
      <c r="N406" s="24">
        <f t="shared" si="79"/>
        <v>0.13987038185570458</v>
      </c>
      <c r="O406">
        <v>0.1396491321234217</v>
      </c>
    </row>
    <row r="407" spans="1:17" ht="15">
      <c r="A407" s="24">
        <v>40</v>
      </c>
      <c r="C407" s="24">
        <v>0.88452540262797963</v>
      </c>
      <c r="D407" s="24">
        <v>4.9229363333332001</v>
      </c>
      <c r="E407" s="24">
        <v>135.68620514453815</v>
      </c>
      <c r="F407" s="24">
        <v>3.6753437519073486</v>
      </c>
      <c r="G407" s="24">
        <v>31.698078654562774</v>
      </c>
      <c r="H407" s="24">
        <v>14.450800831480521</v>
      </c>
      <c r="I407" s="24">
        <v>22.739408493041992</v>
      </c>
      <c r="J407" s="24">
        <v>0.62327724695205688</v>
      </c>
      <c r="K407" s="29">
        <f t="shared" si="76"/>
        <v>6.1024011118099484</v>
      </c>
      <c r="L407" s="24">
        <f t="shared" si="77"/>
        <v>334.56930102643582</v>
      </c>
      <c r="M407" s="24">
        <f t="shared" si="78"/>
        <v>4.3192249818337927E-2</v>
      </c>
      <c r="N407" s="24">
        <f t="shared" si="79"/>
        <v>0.13568620514453816</v>
      </c>
      <c r="O407">
        <v>0.13379481757449957</v>
      </c>
    </row>
    <row r="408" spans="1:17" ht="15">
      <c r="A408" s="24">
        <v>40</v>
      </c>
      <c r="C408" s="24">
        <v>0.88452540262797963</v>
      </c>
      <c r="D408" s="24">
        <v>4.9229363333332001</v>
      </c>
      <c r="E408" s="24">
        <v>127.04452860403472</v>
      </c>
      <c r="F408" s="24">
        <v>3.9253437519073486</v>
      </c>
      <c r="G408" s="24">
        <v>31.698078654562774</v>
      </c>
      <c r="H408" s="24">
        <v>14.003379738242076</v>
      </c>
      <c r="I408" s="24">
        <v>22.135408401489258</v>
      </c>
      <c r="J408" s="24">
        <v>0.62728190422058105</v>
      </c>
      <c r="K408" s="29">
        <f t="shared" si="76"/>
        <v>6.1024011118099484</v>
      </c>
      <c r="L408" s="24">
        <f t="shared" si="77"/>
        <v>334.56930102643582</v>
      </c>
      <c r="M408" s="24">
        <f t="shared" si="78"/>
        <v>4.1854945134776743E-2</v>
      </c>
      <c r="N408" s="24">
        <f t="shared" si="79"/>
        <v>0.12704452860403473</v>
      </c>
      <c r="O408">
        <v>0.12689173321954678</v>
      </c>
    </row>
    <row r="409" spans="1:17" ht="15">
      <c r="A409" s="24">
        <v>40</v>
      </c>
      <c r="C409" s="24">
        <v>0.90536230254372096</v>
      </c>
      <c r="D409" s="24">
        <v>5.0124442666665292</v>
      </c>
      <c r="E409" s="24">
        <v>121.76073976224788</v>
      </c>
      <c r="F409" s="24">
        <v>4.1701502799987793</v>
      </c>
      <c r="G409" s="24">
        <v>31.678209563429579</v>
      </c>
      <c r="H409" s="24">
        <v>13.722502743012093</v>
      </c>
      <c r="I409" s="24">
        <v>21.734411239624023</v>
      </c>
      <c r="J409" s="24">
        <v>0.63330221176147461</v>
      </c>
      <c r="K409" s="29">
        <f t="shared" si="76"/>
        <v>6.096467335016527</v>
      </c>
      <c r="L409" s="24">
        <f t="shared" si="77"/>
        <v>334.62786740338686</v>
      </c>
      <c r="M409" s="24">
        <f t="shared" si="78"/>
        <v>4.1008248504509355E-2</v>
      </c>
      <c r="N409" s="24">
        <f t="shared" si="79"/>
        <v>0.12176073976224788</v>
      </c>
      <c r="O409">
        <v>0.12161389530875223</v>
      </c>
    </row>
    <row r="410" spans="1:17" ht="15">
      <c r="A410" s="24">
        <v>40</v>
      </c>
      <c r="C410" s="24">
        <v>0.9193755029576145</v>
      </c>
      <c r="D410" s="24">
        <v>5.0721162222220828</v>
      </c>
      <c r="E410" s="24">
        <v>116.33264685482462</v>
      </c>
      <c r="F410" s="24">
        <v>4.4166913032531738</v>
      </c>
      <c r="G410" s="24">
        <v>31.664963502674116</v>
      </c>
      <c r="H410" s="24">
        <v>13.414749432237659</v>
      </c>
      <c r="I410" s="24">
        <v>21.31041145324707</v>
      </c>
      <c r="J410" s="24">
        <v>0.63953471183776855</v>
      </c>
      <c r="K410" s="29">
        <f t="shared" si="76"/>
        <v>6.0925142603416127</v>
      </c>
      <c r="L410" s="24">
        <f t="shared" si="77"/>
        <v>334.66688425042821</v>
      </c>
      <c r="M410" s="24">
        <f t="shared" si="78"/>
        <v>4.0083886585562264E-2</v>
      </c>
      <c r="N410" s="24">
        <f t="shared" si="79"/>
        <v>0.11633264685482463</v>
      </c>
      <c r="O410">
        <v>0.11666441276384172</v>
      </c>
    </row>
    <row r="411" spans="1:17" ht="15">
      <c r="A411" s="24">
        <v>40</v>
      </c>
      <c r="C411" s="24">
        <v>0.95484300869780347</v>
      </c>
      <c r="D411" s="24">
        <v>5.2212961111109673</v>
      </c>
      <c r="E411" s="24">
        <v>113.5490035336768</v>
      </c>
      <c r="F411" s="24">
        <v>4.6580533981323242</v>
      </c>
      <c r="G411" s="24">
        <v>31.631848350785457</v>
      </c>
      <c r="H411" s="24">
        <v>13.262817696790568</v>
      </c>
      <c r="I411" s="24">
        <v>21.069414138793945</v>
      </c>
      <c r="J411" s="24">
        <v>0.6584237813949585</v>
      </c>
      <c r="K411" s="29">
        <f>0.1013*42.75*EXP((37830*((G411+273.15)-298))/(298*$H$26*(G411+273.15)))</f>
        <v>6.0826412838984192</v>
      </c>
      <c r="L411" s="24">
        <f t="shared" si="77"/>
        <v>334.7643305279226</v>
      </c>
      <c r="M411" s="24">
        <f t="shared" si="78"/>
        <v>3.9618371753869758E-2</v>
      </c>
      <c r="N411" s="24">
        <f t="shared" si="79"/>
        <v>0.11354900353367679</v>
      </c>
      <c r="O411">
        <v>0.1129580685235804</v>
      </c>
    </row>
    <row r="412" spans="1:17" ht="15">
      <c r="K412" s="29"/>
      <c r="L412" s="24"/>
      <c r="M412" s="24"/>
      <c r="N412" s="24"/>
      <c r="O412" s="24"/>
    </row>
    <row r="413" spans="1:17" ht="15">
      <c r="A413" s="19" t="s">
        <v>353</v>
      </c>
      <c r="K413" s="29"/>
      <c r="L413" s="24"/>
      <c r="M413" s="24"/>
      <c r="N413" s="24"/>
      <c r="O413" s="24"/>
    </row>
    <row r="414" spans="1:17">
      <c r="K414" s="19" t="s">
        <v>148</v>
      </c>
      <c r="L414" s="19" t="s">
        <v>292</v>
      </c>
      <c r="M414" s="24"/>
      <c r="N414" s="24"/>
      <c r="O414" s="24"/>
    </row>
    <row r="415" spans="1:17">
      <c r="C415" s="24" t="s">
        <v>154</v>
      </c>
      <c r="D415" s="24" t="s">
        <v>155</v>
      </c>
      <c r="E415" s="24" t="s">
        <v>156</v>
      </c>
      <c r="F415" s="24" t="s">
        <v>159</v>
      </c>
      <c r="G415" s="24" t="s">
        <v>157</v>
      </c>
      <c r="H415" s="24" t="s">
        <v>279</v>
      </c>
      <c r="I415" s="24" t="s">
        <v>160</v>
      </c>
      <c r="J415" s="24" t="s">
        <v>280</v>
      </c>
      <c r="K415" s="27" t="s">
        <v>341</v>
      </c>
      <c r="L415" s="27" t="s">
        <v>342</v>
      </c>
      <c r="M415" s="19" t="s">
        <v>343</v>
      </c>
      <c r="N415" s="19" t="s">
        <v>288</v>
      </c>
      <c r="O415" s="19" t="s">
        <v>344</v>
      </c>
    </row>
    <row r="416" spans="1:17" ht="15">
      <c r="A416">
        <v>40</v>
      </c>
      <c r="C416" s="24">
        <v>0.66000246705982624</v>
      </c>
      <c r="D416" s="24">
        <v>3.0333374024691291</v>
      </c>
      <c r="E416" s="24">
        <v>203.89970247889198</v>
      </c>
      <c r="F416" s="24">
        <v>1.5070011144421978</v>
      </c>
      <c r="G416" s="24">
        <v>14.348971258549344</v>
      </c>
      <c r="H416" s="24">
        <v>14.712470513354052</v>
      </c>
      <c r="I416" s="24">
        <v>28.59419059753418</v>
      </c>
      <c r="J416" s="24">
        <v>13.268943303269895</v>
      </c>
      <c r="K416" s="29">
        <f>0.1013*42.75*EXP((37830*((J416+273.15)-298))/(298*$H$26*(J416+273.15)))</f>
        <v>2.335786941534884</v>
      </c>
      <c r="L416" s="24">
        <f>(A416-K416)*9.87</f>
        <v>371.74578288705067</v>
      </c>
      <c r="M416" s="24">
        <f>G416/L416</f>
        <v>3.8598881060902479E-2</v>
      </c>
      <c r="N416" s="24">
        <f>E416*0.001</f>
        <v>0.203899702478892</v>
      </c>
      <c r="O416" s="24">
        <v>0.24855995713647966</v>
      </c>
      <c r="P416" t="s">
        <v>313</v>
      </c>
      <c r="Q416">
        <v>0.15793101215065516</v>
      </c>
    </row>
    <row r="417" spans="1:18" ht="15">
      <c r="A417" s="24">
        <v>40</v>
      </c>
      <c r="C417" s="24">
        <v>0.75533284536777079</v>
      </c>
      <c r="D417" s="24">
        <v>3.4561662525102821</v>
      </c>
      <c r="E417" s="24">
        <v>233.58988672621479</v>
      </c>
      <c r="F417" s="24">
        <v>1.4988219151355933</v>
      </c>
      <c r="G417" s="24">
        <v>17.858998842990218</v>
      </c>
      <c r="H417" s="24">
        <v>18.852748806137413</v>
      </c>
      <c r="I417" s="24">
        <v>27.609100341796875</v>
      </c>
      <c r="J417" s="24">
        <v>17.904424096388116</v>
      </c>
      <c r="K417" s="29">
        <f t="shared" ref="K417:K443" si="80">0.1013*42.75*EXP((37830*((J417+273.15)-298))/(298*$H$26*(J417+273.15)))</f>
        <v>3.0082220355298244</v>
      </c>
      <c r="L417" s="24">
        <f t="shared" ref="L417:L422" si="81">(A417-K417)*9.87</f>
        <v>365.10884850932058</v>
      </c>
      <c r="M417" s="24">
        <f t="shared" ref="M417:M422" si="82">G417/L417</f>
        <v>4.8914177007502217E-2</v>
      </c>
      <c r="N417" s="24">
        <f t="shared" ref="N417:N422" si="83">E417*0.001</f>
        <v>0.23358988672621478</v>
      </c>
      <c r="O417" s="24">
        <v>0.25716067207317461</v>
      </c>
      <c r="P417" t="s">
        <v>314</v>
      </c>
      <c r="Q417">
        <v>8.5887945155634799</v>
      </c>
    </row>
    <row r="418" spans="1:18" ht="15">
      <c r="A418" s="24">
        <v>40</v>
      </c>
      <c r="C418" s="24">
        <v>0.83982672200577047</v>
      </c>
      <c r="D418" s="24">
        <v>3.823843513415631</v>
      </c>
      <c r="E418" s="24">
        <v>258.1857255590802</v>
      </c>
      <c r="F418" s="24">
        <v>1.5002973036956901</v>
      </c>
      <c r="G418" s="24">
        <v>20.497095138222026</v>
      </c>
      <c r="H418" s="24">
        <v>22.734868647462093</v>
      </c>
      <c r="I418" s="24">
        <v>27.133050918579102</v>
      </c>
      <c r="J418" s="24">
        <v>22.541060523096807</v>
      </c>
      <c r="K418" s="29">
        <f t="shared" si="80"/>
        <v>3.8438606231950003</v>
      </c>
      <c r="L418" s="24">
        <f t="shared" si="81"/>
        <v>356.86109564906531</v>
      </c>
      <c r="M418" s="24">
        <f t="shared" si="82"/>
        <v>5.7437180427139432E-2</v>
      </c>
      <c r="N418" s="24">
        <f t="shared" si="83"/>
        <v>0.2581857255590802</v>
      </c>
      <c r="O418" s="24">
        <v>0.26409688910871065</v>
      </c>
      <c r="P418" t="s">
        <v>312</v>
      </c>
      <c r="Q418">
        <v>0.21711305908110906</v>
      </c>
    </row>
    <row r="419" spans="1:18" ht="15">
      <c r="A419" s="24">
        <v>40</v>
      </c>
      <c r="C419" s="24">
        <v>0.90009528567253816</v>
      </c>
      <c r="D419" s="24">
        <v>4.0812175960493775</v>
      </c>
      <c r="E419" s="24">
        <v>275.53144928418629</v>
      </c>
      <c r="F419" s="24">
        <v>1.5004724272088019</v>
      </c>
      <c r="G419" s="24">
        <v>21.100683516082249</v>
      </c>
      <c r="H419" s="24">
        <v>24.624809769562436</v>
      </c>
      <c r="I419" s="24">
        <v>27.588893890380859</v>
      </c>
      <c r="J419" s="24">
        <v>27.190631486827531</v>
      </c>
      <c r="K419" s="29">
        <f t="shared" si="80"/>
        <v>4.8777733182475096</v>
      </c>
      <c r="L419" s="24">
        <f t="shared" si="81"/>
        <v>346.65637734889708</v>
      </c>
      <c r="M419" s="24">
        <f t="shared" si="82"/>
        <v>6.0869162937236765E-2</v>
      </c>
      <c r="N419" s="24">
        <f t="shared" si="83"/>
        <v>0.27553144928418632</v>
      </c>
      <c r="O419" s="24">
        <v>0.26689900590015386</v>
      </c>
      <c r="P419" t="s">
        <v>327</v>
      </c>
      <c r="R419">
        <v>0.25590362084802021</v>
      </c>
    </row>
    <row r="420" spans="1:18" ht="15">
      <c r="A420" s="24">
        <v>40</v>
      </c>
      <c r="C420" s="24">
        <v>0.92625849907946878</v>
      </c>
      <c r="D420" s="24">
        <v>4.1915207743209821</v>
      </c>
      <c r="E420" s="24">
        <v>281.56954513471408</v>
      </c>
      <c r="F420" s="24">
        <v>1.5079793314847652</v>
      </c>
      <c r="G420" s="24">
        <v>18.70298088326199</v>
      </c>
      <c r="H420" s="24">
        <v>22.704188738493105</v>
      </c>
      <c r="I420" s="24">
        <v>29.235008239746094</v>
      </c>
      <c r="J420" s="24">
        <v>31.86043927664149</v>
      </c>
      <c r="K420" s="29">
        <f t="shared" si="80"/>
        <v>6.1510767815381255</v>
      </c>
      <c r="L420" s="24">
        <f t="shared" si="81"/>
        <v>334.08887216621872</v>
      </c>
      <c r="M420" s="24">
        <f t="shared" si="82"/>
        <v>5.5982052805268905E-2</v>
      </c>
      <c r="N420" s="24">
        <f t="shared" si="83"/>
        <v>0.28156954513471411</v>
      </c>
      <c r="O420" s="24">
        <v>0.26269542110122868</v>
      </c>
      <c r="P420" t="s">
        <v>328</v>
      </c>
      <c r="R420">
        <v>5</v>
      </c>
    </row>
    <row r="421" spans="1:18" ht="15">
      <c r="A421" s="24">
        <v>40</v>
      </c>
      <c r="C421" s="24">
        <v>0.90009528567253816</v>
      </c>
      <c r="D421" s="24">
        <v>4.0812175960493775</v>
      </c>
      <c r="E421" s="24">
        <v>274.77746265295684</v>
      </c>
      <c r="F421" s="24">
        <v>1.5045897086616578</v>
      </c>
      <c r="G421" s="24">
        <v>13.70724518249957</v>
      </c>
      <c r="H421" s="24">
        <v>17.088946893404358</v>
      </c>
      <c r="I421" s="24">
        <v>31.915548324584961</v>
      </c>
      <c r="J421" s="24">
        <v>36.565612088900373</v>
      </c>
      <c r="K421" s="29">
        <f t="shared" si="80"/>
        <v>7.7156298024671486</v>
      </c>
      <c r="L421" s="24">
        <f t="shared" si="81"/>
        <v>318.64673384964919</v>
      </c>
      <c r="M421" s="24">
        <f t="shared" si="82"/>
        <v>4.3017058473812E-2</v>
      </c>
      <c r="N421" s="24">
        <f t="shared" si="83"/>
        <v>0.27477746265295683</v>
      </c>
      <c r="O421" s="24">
        <v>0.25221032402803134</v>
      </c>
      <c r="P421" t="s">
        <v>329</v>
      </c>
      <c r="R421">
        <v>2.8651181847688174E-2</v>
      </c>
    </row>
    <row r="422" spans="1:18" ht="15">
      <c r="A422" s="24">
        <v>40</v>
      </c>
      <c r="C422" s="24">
        <v>0.86123438120389528</v>
      </c>
      <c r="D422" s="24">
        <v>3.9157628286419697</v>
      </c>
      <c r="E422" s="24">
        <v>263.77157410009698</v>
      </c>
      <c r="F422" s="24">
        <v>1.5038268467507532</v>
      </c>
      <c r="G422" s="24">
        <v>8.3000426099025972</v>
      </c>
      <c r="H422" s="24">
        <v>10.41548842914397</v>
      </c>
      <c r="I422" s="24">
        <v>34.900791168212891</v>
      </c>
      <c r="J422" s="24">
        <v>41.268549282804351</v>
      </c>
      <c r="K422" s="29">
        <f t="shared" si="80"/>
        <v>9.6117241155083111</v>
      </c>
      <c r="L422" s="24">
        <f t="shared" si="81"/>
        <v>299.93228297993295</v>
      </c>
      <c r="M422" s="24">
        <f t="shared" si="82"/>
        <v>2.7673055155779658E-2</v>
      </c>
      <c r="N422" s="24">
        <f t="shared" si="83"/>
        <v>0.26377157410009699</v>
      </c>
      <c r="O422" s="24">
        <v>0.2397016426220798</v>
      </c>
      <c r="P422" t="s">
        <v>315</v>
      </c>
      <c r="R422">
        <v>0.12103406833147023</v>
      </c>
    </row>
    <row r="423" spans="1:18" ht="15">
      <c r="K423" s="29"/>
      <c r="L423" s="24"/>
      <c r="M423" s="24"/>
      <c r="N423" s="24"/>
    </row>
    <row r="424" spans="1:18" ht="15">
      <c r="A424" s="19" t="s">
        <v>354</v>
      </c>
      <c r="K424" s="29"/>
      <c r="L424" s="24"/>
      <c r="M424" s="24"/>
      <c r="N424" s="24"/>
    </row>
    <row r="425" spans="1:18">
      <c r="K425" s="19" t="s">
        <v>148</v>
      </c>
      <c r="L425" s="19" t="s">
        <v>292</v>
      </c>
      <c r="M425" s="24"/>
      <c r="N425" s="24"/>
      <c r="O425" s="24"/>
    </row>
    <row r="426" spans="1:18">
      <c r="C426" s="24" t="s">
        <v>154</v>
      </c>
      <c r="D426" s="24" t="s">
        <v>155</v>
      </c>
      <c r="E426" s="24" t="s">
        <v>156</v>
      </c>
      <c r="F426" s="24" t="s">
        <v>159</v>
      </c>
      <c r="G426" s="24" t="s">
        <v>157</v>
      </c>
      <c r="H426" s="24" t="s">
        <v>279</v>
      </c>
      <c r="I426" s="24" t="s">
        <v>160</v>
      </c>
      <c r="J426" s="24" t="s">
        <v>280</v>
      </c>
      <c r="K426" s="27" t="s">
        <v>341</v>
      </c>
      <c r="L426" s="27" t="s">
        <v>342</v>
      </c>
      <c r="M426" s="19" t="s">
        <v>343</v>
      </c>
      <c r="N426" s="19" t="s">
        <v>288</v>
      </c>
      <c r="O426" s="19" t="s">
        <v>344</v>
      </c>
    </row>
    <row r="427" spans="1:18" ht="15">
      <c r="A427" s="24">
        <v>40</v>
      </c>
      <c r="C427" s="24">
        <v>0.90009528567253816</v>
      </c>
      <c r="D427" s="24">
        <v>4.0812175960493775</v>
      </c>
      <c r="E427" s="24">
        <v>289.0145483520426</v>
      </c>
      <c r="F427" s="24">
        <v>1.4304724272088019</v>
      </c>
      <c r="G427" s="24">
        <v>21.370198107179736</v>
      </c>
      <c r="H427" s="24">
        <v>24.762810692634616</v>
      </c>
      <c r="I427" s="24">
        <v>28.015892028808594</v>
      </c>
      <c r="J427" s="24">
        <v>27.190631486827531</v>
      </c>
      <c r="K427" s="29">
        <f t="shared" si="80"/>
        <v>4.8777733182475096</v>
      </c>
      <c r="L427" s="24">
        <f t="shared" ref="L427:L443" si="84">(A427-K427)*9.87</f>
        <v>346.65637734889708</v>
      </c>
      <c r="M427" s="24">
        <f>G427/L427</f>
        <v>6.1646631948938317E-2</v>
      </c>
      <c r="N427" s="24">
        <f t="shared" ref="N427:N443" si="85">E427*0.001</f>
        <v>0.2890145483520426</v>
      </c>
      <c r="O427">
        <v>0.29767434458426667</v>
      </c>
      <c r="P427" t="s">
        <v>313</v>
      </c>
      <c r="Q427">
        <v>4.1085631268727607E-2</v>
      </c>
    </row>
    <row r="428" spans="1:18" ht="15">
      <c r="A428" s="24">
        <v>40</v>
      </c>
      <c r="C428" s="24">
        <v>0.86983216116124351</v>
      </c>
      <c r="D428" s="24">
        <v>3.9525305547325047</v>
      </c>
      <c r="E428" s="24">
        <v>291.20981319614685</v>
      </c>
      <c r="F428" s="24">
        <v>1.3749239450413566</v>
      </c>
      <c r="G428" s="24">
        <v>21.439295839862677</v>
      </c>
      <c r="H428" s="24">
        <v>24.794771562540316</v>
      </c>
      <c r="I428" s="24">
        <v>28.06810188293457</v>
      </c>
      <c r="J428" s="24">
        <v>26.921354208044324</v>
      </c>
      <c r="K428" s="29">
        <f t="shared" si="80"/>
        <v>4.8119111029431307</v>
      </c>
      <c r="L428" s="24">
        <f t="shared" si="84"/>
        <v>347.3064374139513</v>
      </c>
      <c r="M428" s="24">
        <f t="shared" ref="M428:M443" si="86">G428/L428</f>
        <v>6.1730199991396589E-2</v>
      </c>
      <c r="N428" s="24">
        <f t="shared" si="85"/>
        <v>0.29120981319614686</v>
      </c>
      <c r="O428">
        <v>0.30324962518784337</v>
      </c>
      <c r="P428" t="s">
        <v>314</v>
      </c>
      <c r="Q428">
        <v>79.710597604268443</v>
      </c>
    </row>
    <row r="429" spans="1:18" ht="15">
      <c r="A429" s="24">
        <v>40</v>
      </c>
      <c r="C429" s="24">
        <v>0.86553062788129864</v>
      </c>
      <c r="D429" s="24">
        <v>3.9341466916872374</v>
      </c>
      <c r="E429" s="24">
        <v>303.02931624258076</v>
      </c>
      <c r="F429" s="24">
        <v>1.3151501802184939</v>
      </c>
      <c r="G429" s="24">
        <v>21.658702233443275</v>
      </c>
      <c r="H429" s="24">
        <v>24.77801709741647</v>
      </c>
      <c r="I429" s="24">
        <v>28.416282653808594</v>
      </c>
      <c r="J429" s="24">
        <v>26.627394866012793</v>
      </c>
      <c r="K429" s="29">
        <f t="shared" si="80"/>
        <v>4.7408946298191443</v>
      </c>
      <c r="L429" s="24">
        <f t="shared" si="84"/>
        <v>348.00737000368503</v>
      </c>
      <c r="M429" s="24">
        <f t="shared" si="86"/>
        <v>6.2236332044387256E-2</v>
      </c>
      <c r="N429" s="24">
        <f t="shared" si="85"/>
        <v>0.30302931624258078</v>
      </c>
      <c r="O429">
        <v>0.31076415453944051</v>
      </c>
      <c r="P429" t="s">
        <v>312</v>
      </c>
      <c r="Q429">
        <v>0.16047944000562334</v>
      </c>
    </row>
    <row r="430" spans="1:18" ht="15">
      <c r="A430" s="24">
        <v>40</v>
      </c>
      <c r="C430" s="24">
        <v>0.85694312052728805</v>
      </c>
      <c r="D430" s="24">
        <v>3.8973789655967019</v>
      </c>
      <c r="E430" s="24">
        <v>314.06338449044125</v>
      </c>
      <c r="F430" s="24">
        <v>1.2570853805689726</v>
      </c>
      <c r="G430" s="24">
        <v>21.809991692304866</v>
      </c>
      <c r="H430" s="24">
        <v>24.697122784335853</v>
      </c>
      <c r="I430" s="24">
        <v>28.745428085327148</v>
      </c>
      <c r="J430" s="24">
        <v>26.337548580269832</v>
      </c>
      <c r="K430" s="29">
        <f t="shared" si="80"/>
        <v>4.6717645718531449</v>
      </c>
      <c r="L430" s="24">
        <f t="shared" si="84"/>
        <v>348.68968367580942</v>
      </c>
      <c r="M430" s="24">
        <f t="shared" si="86"/>
        <v>6.2548428340032214E-2</v>
      </c>
      <c r="N430" s="24">
        <f t="shared" si="85"/>
        <v>0.31406338449044124</v>
      </c>
      <c r="O430">
        <v>0.31827345393403161</v>
      </c>
      <c r="P430" t="s">
        <v>327</v>
      </c>
      <c r="R430">
        <v>0.27558186248436289</v>
      </c>
    </row>
    <row r="431" spans="1:18" ht="15">
      <c r="A431" s="24">
        <v>40</v>
      </c>
      <c r="C431" s="24">
        <v>0.83556021839417494</v>
      </c>
      <c r="D431" s="24">
        <v>3.8054596503703642</v>
      </c>
      <c r="E431" s="24">
        <v>320.63152779319978</v>
      </c>
      <c r="F431" s="24">
        <v>1.2022930659244226</v>
      </c>
      <c r="G431" s="24">
        <v>21.822517651538515</v>
      </c>
      <c r="H431" s="24">
        <v>24.52096317493422</v>
      </c>
      <c r="I431" s="24">
        <v>28.969533920288086</v>
      </c>
      <c r="J431" s="24">
        <v>26.060043947070515</v>
      </c>
      <c r="K431" s="29">
        <f t="shared" si="80"/>
        <v>4.6063999890965617</v>
      </c>
      <c r="L431" s="24">
        <f t="shared" si="84"/>
        <v>349.33483210761693</v>
      </c>
      <c r="M431" s="24">
        <f t="shared" si="86"/>
        <v>6.2468771063790791E-2</v>
      </c>
      <c r="N431" s="24">
        <f t="shared" si="85"/>
        <v>0.32063152779319981</v>
      </c>
      <c r="O431">
        <v>0.32501719569837617</v>
      </c>
      <c r="P431" t="s">
        <v>328</v>
      </c>
      <c r="R431">
        <v>15</v>
      </c>
    </row>
    <row r="432" spans="1:18" ht="15">
      <c r="A432" s="24">
        <v>40</v>
      </c>
      <c r="C432" s="24">
        <v>0.81005754905946747</v>
      </c>
      <c r="D432" s="24">
        <v>3.6951564720987591</v>
      </c>
      <c r="E432" s="24">
        <v>325.75924605241312</v>
      </c>
      <c r="F432" s="24">
        <v>1.149067463654978</v>
      </c>
      <c r="G432" s="24">
        <v>21.705627169599591</v>
      </c>
      <c r="H432" s="24">
        <v>24.181010800495908</v>
      </c>
      <c r="I432" s="24">
        <v>29.200593948364258</v>
      </c>
      <c r="J432" s="24">
        <v>25.786652991079254</v>
      </c>
      <c r="K432" s="29">
        <f t="shared" si="80"/>
        <v>4.5427825171010037</v>
      </c>
      <c r="L432" s="24">
        <f t="shared" si="84"/>
        <v>349.96273655621309</v>
      </c>
      <c r="M432" s="24">
        <f t="shared" si="86"/>
        <v>6.2022680995103899E-2</v>
      </c>
      <c r="N432" s="24">
        <f t="shared" si="85"/>
        <v>0.32575924605241313</v>
      </c>
      <c r="O432">
        <v>0.33114808250935024</v>
      </c>
      <c r="P432" t="s">
        <v>329</v>
      </c>
      <c r="R432">
        <v>1.9313544493781518E-2</v>
      </c>
    </row>
    <row r="433" spans="1:21" ht="15">
      <c r="A433" s="24">
        <v>40</v>
      </c>
      <c r="C433" s="24">
        <v>0.78050523759319224</v>
      </c>
      <c r="D433" s="24">
        <v>3.5664694307818872</v>
      </c>
      <c r="E433" s="24">
        <v>329.2281786652029</v>
      </c>
      <c r="F433" s="24">
        <v>1.0973646144232376</v>
      </c>
      <c r="G433" s="24">
        <v>21.323482018255241</v>
      </c>
      <c r="H433" s="24">
        <v>23.496709395933152</v>
      </c>
      <c r="I433" s="24">
        <v>29.503578186035156</v>
      </c>
      <c r="J433" s="24">
        <v>25.517375712296047</v>
      </c>
      <c r="K433" s="29">
        <f t="shared" si="80"/>
        <v>4.4808696954303997</v>
      </c>
      <c r="L433" s="24">
        <f t="shared" si="84"/>
        <v>350.5738161061019</v>
      </c>
      <c r="M433" s="24">
        <f t="shared" si="86"/>
        <v>6.0824514092637325E-2</v>
      </c>
      <c r="N433" s="24">
        <f t="shared" si="85"/>
        <v>0.32922817866520293</v>
      </c>
      <c r="O433">
        <v>0.33545227249599902</v>
      </c>
      <c r="P433" t="s">
        <v>315</v>
      </c>
      <c r="R433">
        <v>0.91406675913703972</v>
      </c>
    </row>
    <row r="434" spans="1:21" ht="15">
      <c r="A434" s="24">
        <v>40</v>
      </c>
      <c r="C434" s="24">
        <v>0.75533284536777079</v>
      </c>
      <c r="D434" s="24">
        <v>3.4561662525102821</v>
      </c>
      <c r="E434" s="24">
        <v>334.84259379504863</v>
      </c>
      <c r="F434" s="24">
        <v>1.0455946999191734</v>
      </c>
      <c r="G434" s="24">
        <v>20.228898099219389</v>
      </c>
      <c r="H434" s="24">
        <v>21.922104194888867</v>
      </c>
      <c r="I434" s="24">
        <v>30.208488464355469</v>
      </c>
      <c r="J434" s="24">
        <v>25.243984756304787</v>
      </c>
      <c r="K434" s="29">
        <f t="shared" si="80"/>
        <v>4.418762259833743</v>
      </c>
      <c r="L434" s="24">
        <f t="shared" si="84"/>
        <v>351.18681649544095</v>
      </c>
      <c r="M434" s="24">
        <f t="shared" si="86"/>
        <v>5.7601530436385266E-2</v>
      </c>
      <c r="N434" s="24">
        <f t="shared" si="85"/>
        <v>0.33484259379504866</v>
      </c>
      <c r="O434">
        <v>0.33407485298553186</v>
      </c>
    </row>
    <row r="435" spans="1:21" ht="15">
      <c r="A435" s="24">
        <v>40</v>
      </c>
      <c r="C435" s="24">
        <v>0.70538278672706478</v>
      </c>
      <c r="D435" s="24">
        <v>3.2355598959670715</v>
      </c>
      <c r="E435" s="24">
        <v>319.17648461978069</v>
      </c>
      <c r="F435" s="24">
        <v>1.0268996409679472</v>
      </c>
      <c r="G435" s="24">
        <v>18.848819429714787</v>
      </c>
      <c r="H435" s="24">
        <v>20.385472706981471</v>
      </c>
      <c r="I435" s="24">
        <v>30.428800582885742</v>
      </c>
      <c r="J435" s="24">
        <v>25.144312062721898</v>
      </c>
      <c r="K435" s="29">
        <f t="shared" si="80"/>
        <v>4.3963059596774334</v>
      </c>
      <c r="L435" s="24">
        <f t="shared" si="84"/>
        <v>351.40846017798367</v>
      </c>
      <c r="M435" s="24">
        <f t="shared" si="86"/>
        <v>5.3637921580397104E-2</v>
      </c>
      <c r="N435" s="24">
        <f t="shared" si="85"/>
        <v>0.31917648461978071</v>
      </c>
      <c r="O435">
        <v>0.32495929202207785</v>
      </c>
    </row>
    <row r="436" spans="1:21" ht="15">
      <c r="A436" s="24">
        <v>40</v>
      </c>
      <c r="C436" s="24">
        <v>0.68058551086134389</v>
      </c>
      <c r="D436" s="24">
        <v>3.1252567176954673</v>
      </c>
      <c r="E436" s="24">
        <v>315.41884633815567</v>
      </c>
      <c r="F436" s="24">
        <v>1.0037082729138549</v>
      </c>
      <c r="G436" s="24">
        <v>16.788804985639242</v>
      </c>
      <c r="H436" s="24">
        <v>18.008810232302128</v>
      </c>
      <c r="I436" s="24">
        <v>31.373329162597656</v>
      </c>
      <c r="J436" s="24">
        <v>25.019957616350428</v>
      </c>
      <c r="K436" s="29">
        <f t="shared" si="80"/>
        <v>4.368427932274102</v>
      </c>
      <c r="L436" s="24">
        <f t="shared" si="84"/>
        <v>351.68361630845459</v>
      </c>
      <c r="M436" s="24">
        <f t="shared" si="86"/>
        <v>4.7738376788397562E-2</v>
      </c>
      <c r="N436" s="24">
        <f t="shared" si="85"/>
        <v>0.3154188463381557</v>
      </c>
      <c r="O436">
        <v>0.31011783700365775</v>
      </c>
    </row>
    <row r="437" spans="1:21" ht="15">
      <c r="A437" s="24">
        <v>40</v>
      </c>
      <c r="C437" s="24">
        <v>0.6353938710763688</v>
      </c>
      <c r="D437" s="24">
        <v>2.9230342241975245</v>
      </c>
      <c r="E437" s="24">
        <v>300.77583173242135</v>
      </c>
      <c r="F437" s="24">
        <v>0.98446529166156915</v>
      </c>
      <c r="G437" s="24">
        <v>13.748621475756213</v>
      </c>
      <c r="H437" s="24">
        <v>14.647041716734007</v>
      </c>
      <c r="I437" s="24">
        <v>32.592082977294922</v>
      </c>
      <c r="J437" s="24">
        <v>24.916171556019229</v>
      </c>
      <c r="K437" s="29">
        <f t="shared" si="80"/>
        <v>4.3452786956714045</v>
      </c>
      <c r="L437" s="24">
        <f t="shared" si="84"/>
        <v>351.91209927372324</v>
      </c>
      <c r="M437" s="24">
        <f t="shared" si="86"/>
        <v>3.9068339804543918E-2</v>
      </c>
      <c r="N437" s="24">
        <f t="shared" si="85"/>
        <v>0.30077583173242134</v>
      </c>
      <c r="O437">
        <v>0.28523897745463911</v>
      </c>
    </row>
    <row r="438" spans="1:21" ht="15">
      <c r="A438" s="24">
        <v>40</v>
      </c>
      <c r="C438" s="24">
        <v>0.5701970046444963</v>
      </c>
      <c r="D438" s="24">
        <v>2.6288924154732443</v>
      </c>
      <c r="E438" s="24">
        <v>274.79539901124815</v>
      </c>
      <c r="F438" s="24">
        <v>0.96910939064354185</v>
      </c>
      <c r="G438" s="24">
        <v>9.8312032495443198</v>
      </c>
      <c r="H438" s="24">
        <v>10.385264641630581</v>
      </c>
      <c r="I438" s="24">
        <v>34.202064514160156</v>
      </c>
      <c r="J438" s="24">
        <v>24.832953571268561</v>
      </c>
      <c r="K438" s="29">
        <f t="shared" si="80"/>
        <v>4.3267941979367324</v>
      </c>
      <c r="L438" s="24">
        <f t="shared" si="84"/>
        <v>352.09454126636439</v>
      </c>
      <c r="M438" s="24">
        <f t="shared" si="86"/>
        <v>2.7922055292833634E-2</v>
      </c>
      <c r="N438" s="24">
        <f t="shared" si="85"/>
        <v>0.27479539901124816</v>
      </c>
      <c r="O438">
        <v>0.25100019926463463</v>
      </c>
    </row>
    <row r="439" spans="1:21" ht="15">
      <c r="A439" s="24">
        <v>40</v>
      </c>
      <c r="C439" s="24">
        <v>0.52568070160142988</v>
      </c>
      <c r="D439" s="24">
        <v>2.4266699219753023</v>
      </c>
      <c r="E439" s="24">
        <v>255.07469025861988</v>
      </c>
      <c r="F439" s="24">
        <v>0.96372424424728242</v>
      </c>
      <c r="G439" s="24">
        <v>7.595891224649872</v>
      </c>
      <c r="H439" s="24">
        <v>7.982944139593851</v>
      </c>
      <c r="I439" s="24">
        <v>35.174137115478516</v>
      </c>
      <c r="J439" s="24">
        <v>24.803685920977127</v>
      </c>
      <c r="K439" s="29">
        <f t="shared" si="80"/>
        <v>4.320309487813665</v>
      </c>
      <c r="L439" s="24">
        <f t="shared" si="84"/>
        <v>352.1585453552791</v>
      </c>
      <c r="M439" s="24">
        <f t="shared" si="86"/>
        <v>2.1569521242162878E-2</v>
      </c>
      <c r="N439" s="24">
        <f t="shared" si="85"/>
        <v>0.2550746902586199</v>
      </c>
      <c r="O439">
        <v>0.23078062412365802</v>
      </c>
    </row>
    <row r="440" spans="1:21" ht="15">
      <c r="A440" s="24">
        <v>40</v>
      </c>
      <c r="C440" s="24">
        <v>0.48538974130937057</v>
      </c>
      <c r="D440" s="24">
        <v>2.2428312915226276</v>
      </c>
      <c r="E440" s="24">
        <v>237.26056490247038</v>
      </c>
      <c r="F440" s="24">
        <v>0.95759196192016049</v>
      </c>
      <c r="G440" s="24">
        <v>5.2115813774930198</v>
      </c>
      <c r="H440" s="24">
        <v>5.4362763658560578</v>
      </c>
      <c r="I440" s="24">
        <v>36.440265655517578</v>
      </c>
      <c r="J440" s="24">
        <v>24.7703042830179</v>
      </c>
      <c r="K440" s="29">
        <f t="shared" si="80"/>
        <v>4.3129235704495317</v>
      </c>
      <c r="L440" s="24">
        <f t="shared" si="84"/>
        <v>352.23144435966304</v>
      </c>
      <c r="M440" s="24">
        <f t="shared" si="86"/>
        <v>1.4795900425549404E-2</v>
      </c>
      <c r="N440" s="24">
        <f t="shared" si="85"/>
        <v>0.23726056490247038</v>
      </c>
      <c r="O440">
        <v>0.2089995887139087</v>
      </c>
    </row>
    <row r="441" spans="1:21" ht="15">
      <c r="A441" s="24">
        <v>40</v>
      </c>
      <c r="C441" s="24">
        <v>0.40521376737798082</v>
      </c>
      <c r="D441" s="24">
        <v>1.8751540306172774</v>
      </c>
      <c r="E441" s="24">
        <v>198.07089597775982</v>
      </c>
      <c r="F441" s="24">
        <v>0.95901572194058682</v>
      </c>
      <c r="G441" s="24">
        <v>2.6733186410570093</v>
      </c>
      <c r="H441" s="24">
        <v>2.7688168112112437</v>
      </c>
      <c r="I441" s="24">
        <v>37.813449859619141</v>
      </c>
      <c r="J441" s="24">
        <v>24.778059727598954</v>
      </c>
      <c r="K441" s="29">
        <f t="shared" si="80"/>
        <v>4.3146385367246953</v>
      </c>
      <c r="L441" s="24">
        <f t="shared" si="84"/>
        <v>352.21451764252726</v>
      </c>
      <c r="M441" s="24">
        <f t="shared" si="86"/>
        <v>7.5900296755235909E-3</v>
      </c>
      <c r="N441" s="24">
        <f t="shared" si="85"/>
        <v>0.19807089597775981</v>
      </c>
      <c r="O441">
        <v>0.18533396618605408</v>
      </c>
    </row>
    <row r="442" spans="1:21" ht="15">
      <c r="A442" s="24">
        <v>40</v>
      </c>
      <c r="C442" s="24">
        <v>0.34535045238653778</v>
      </c>
      <c r="D442" s="24">
        <v>1.5993960849382649</v>
      </c>
      <c r="E442" s="24">
        <v>168.15527116967644</v>
      </c>
      <c r="F442" s="24">
        <v>0.96350725301237661</v>
      </c>
      <c r="G442" s="24">
        <v>1.3540080497299161</v>
      </c>
      <c r="H442" s="24">
        <v>1.396244847605125</v>
      </c>
      <c r="I442" s="24">
        <v>38.695068359375</v>
      </c>
      <c r="J442" s="24">
        <v>24.80250568069988</v>
      </c>
      <c r="K442" s="29">
        <f t="shared" si="80"/>
        <v>4.3200481642004736</v>
      </c>
      <c r="L442" s="24">
        <f t="shared" si="84"/>
        <v>352.16112461934131</v>
      </c>
      <c r="M442" s="24">
        <f t="shared" si="86"/>
        <v>3.8448538327264066E-3</v>
      </c>
      <c r="N442" s="24">
        <f t="shared" si="85"/>
        <v>0.16815527116967643</v>
      </c>
      <c r="O442">
        <v>0.17301361534791229</v>
      </c>
    </row>
    <row r="443" spans="1:21" ht="15">
      <c r="A443" s="24">
        <v>40</v>
      </c>
      <c r="C443" s="24">
        <v>0.22605486114630255</v>
      </c>
      <c r="D443" s="24">
        <v>1.0478801935802415</v>
      </c>
      <c r="E443" s="24">
        <v>108.38506963696011</v>
      </c>
      <c r="F443" s="24">
        <v>0.97938086828040793</v>
      </c>
      <c r="G443" s="24">
        <v>5.4898243329516677E-2</v>
      </c>
      <c r="H443" s="24">
        <v>5.6388198560408893E-2</v>
      </c>
      <c r="I443" s="24">
        <v>39.918682098388672</v>
      </c>
      <c r="J443" s="24">
        <v>24.888656791921616</v>
      </c>
      <c r="K443" s="29">
        <f t="shared" si="80"/>
        <v>4.3391594981585904</v>
      </c>
      <c r="L443" s="24">
        <f t="shared" si="84"/>
        <v>351.97249575317466</v>
      </c>
      <c r="M443" s="24">
        <f t="shared" si="86"/>
        <v>1.559731058304476E-4</v>
      </c>
      <c r="N443" s="24">
        <f t="shared" si="85"/>
        <v>0.10838506963696011</v>
      </c>
      <c r="O443">
        <v>0.16098000099162857</v>
      </c>
    </row>
    <row r="444" spans="1:21" ht="15">
      <c r="K444" s="29"/>
      <c r="L444" s="24"/>
      <c r="M444" s="24"/>
      <c r="N444" s="24"/>
      <c r="O444" s="24"/>
    </row>
    <row r="445" spans="1:21" ht="15">
      <c r="A445" s="19" t="s">
        <v>355</v>
      </c>
      <c r="K445" s="29"/>
      <c r="L445" s="24"/>
      <c r="M445" s="24"/>
      <c r="N445" s="24"/>
      <c r="O445" s="24"/>
    </row>
    <row r="446" spans="1:21" ht="15">
      <c r="K446" s="29"/>
      <c r="L446" s="24"/>
      <c r="M446" s="24"/>
      <c r="N446" s="24"/>
      <c r="O446" s="24"/>
    </row>
    <row r="447" spans="1:21">
      <c r="B447" s="24" t="s">
        <v>267</v>
      </c>
      <c r="C447" s="24"/>
      <c r="D447" s="24"/>
      <c r="E447" s="24"/>
      <c r="F447" s="24"/>
      <c r="G447" s="24"/>
      <c r="H447" s="24"/>
      <c r="I447" s="24"/>
      <c r="J447" s="24"/>
      <c r="K447" s="19" t="s">
        <v>148</v>
      </c>
      <c r="L447" s="19" t="s">
        <v>292</v>
      </c>
      <c r="M447" s="24"/>
      <c r="N447" s="24"/>
      <c r="O447" s="24"/>
    </row>
    <row r="448" spans="1:21">
      <c r="B448" s="25" t="s">
        <v>237</v>
      </c>
      <c r="C448" s="24" t="s">
        <v>154</v>
      </c>
      <c r="D448" s="24" t="s">
        <v>155</v>
      </c>
      <c r="E448" s="24" t="s">
        <v>156</v>
      </c>
      <c r="F448" s="24" t="s">
        <v>159</v>
      </c>
      <c r="G448" s="24" t="s">
        <v>238</v>
      </c>
      <c r="H448" s="24" t="s">
        <v>157</v>
      </c>
      <c r="I448" s="24" t="s">
        <v>160</v>
      </c>
      <c r="J448" s="24" t="s">
        <v>265</v>
      </c>
      <c r="K448" s="27" t="s">
        <v>341</v>
      </c>
      <c r="L448" s="27" t="s">
        <v>342</v>
      </c>
      <c r="M448" s="19" t="s">
        <v>343</v>
      </c>
      <c r="N448" s="19" t="s">
        <v>288</v>
      </c>
      <c r="O448" s="19" t="s">
        <v>344</v>
      </c>
      <c r="T448" s="19" t="s">
        <v>364</v>
      </c>
      <c r="U448" s="19" t="s">
        <v>365</v>
      </c>
    </row>
    <row r="449" spans="1:26" ht="15">
      <c r="A449" s="24">
        <v>40</v>
      </c>
      <c r="B449" s="24">
        <v>0</v>
      </c>
      <c r="C449" s="24">
        <v>0.90009429202363278</v>
      </c>
      <c r="D449" s="24">
        <v>5.7606566953085734</v>
      </c>
      <c r="E449" s="24">
        <v>431.25327869148742</v>
      </c>
      <c r="F449" s="24">
        <v>1.3531596660614014</v>
      </c>
      <c r="G449" s="24">
        <v>26.814830677336008</v>
      </c>
      <c r="H449" s="24">
        <v>31.89832936358599</v>
      </c>
      <c r="I449" s="24">
        <v>28.01202392578125</v>
      </c>
      <c r="J449" s="24">
        <v>0.57818597555160522</v>
      </c>
      <c r="K449" s="29">
        <f>0.1013*42.75*EXP((37830*((G449+273.15)-298))/(298*$H$26*(G449+273.15)))</f>
        <v>4.7860705472244778</v>
      </c>
      <c r="L449" s="24">
        <f t="shared" ref="L449:L465" si="87">(A449-K449)*9.87</f>
        <v>347.56148369889439</v>
      </c>
      <c r="M449" s="24">
        <f>H449/L449</f>
        <v>9.1777515230141882E-2</v>
      </c>
      <c r="N449" s="24">
        <f>E449*0.001</f>
        <v>0.43125327869148744</v>
      </c>
      <c r="O449" s="24">
        <v>0.35561372175583794</v>
      </c>
      <c r="P449" t="s">
        <v>313</v>
      </c>
      <c r="Q449">
        <v>6.8104942929229764E-2</v>
      </c>
      <c r="T449">
        <v>0.43125327869148744</v>
      </c>
      <c r="U449">
        <v>0.35561372175583794</v>
      </c>
      <c r="W449" s="24" t="s">
        <v>313</v>
      </c>
      <c r="X449">
        <f>AVERAGE(Q449,Q470,Q491,Q511,Q523,Q549)</f>
        <v>9.4068735885646904E-2</v>
      </c>
      <c r="Y449">
        <f>STDEV(Q449,Q470,Q491,Q511,Q523,Q549)/SQRT(Z449)</f>
        <v>3.3870943473955986E-2</v>
      </c>
      <c r="Z449">
        <v>6</v>
      </c>
    </row>
    <row r="450" spans="1:26" ht="15">
      <c r="A450" s="24">
        <v>40</v>
      </c>
      <c r="B450" s="24">
        <v>0.25</v>
      </c>
      <c r="C450" s="24">
        <v>1.0347744075807179</v>
      </c>
      <c r="D450" s="24">
        <v>4.9318487004970706</v>
      </c>
      <c r="E450" s="24">
        <v>359.13029819112637</v>
      </c>
      <c r="F450" s="24">
        <v>1.3911281824111938</v>
      </c>
      <c r="G450" s="24">
        <v>27.000289442026475</v>
      </c>
      <c r="H450" s="24">
        <v>30.270646749524936</v>
      </c>
      <c r="I450" s="24">
        <v>26.339439392089844</v>
      </c>
      <c r="J450" s="24">
        <v>0.4409460723400116</v>
      </c>
      <c r="K450" s="29">
        <f t="shared" ref="K450:K465" si="88">0.1013*42.75*EXP((37830*((G450+273.15)-298))/(298*$H$26*(G450+273.15)))</f>
        <v>4.8311373126716539</v>
      </c>
      <c r="L450" s="24">
        <f t="shared" si="87"/>
        <v>347.11667472393071</v>
      </c>
      <c r="M450" s="24">
        <f t="shared" ref="M450:M465" si="89">H450/L450</f>
        <v>8.7205971230278193E-2</v>
      </c>
      <c r="N450" s="24">
        <f t="shared" ref="N450:N465" si="90">E450*0.001</f>
        <v>0.35913029819112635</v>
      </c>
      <c r="O450" s="24">
        <v>0.327648733079062</v>
      </c>
      <c r="P450" t="s">
        <v>314</v>
      </c>
      <c r="Q450">
        <v>85.313306586535944</v>
      </c>
      <c r="T450">
        <v>0.35913029819112635</v>
      </c>
      <c r="U450">
        <v>0.327648733079062</v>
      </c>
      <c r="W450" s="24" t="s">
        <v>314</v>
      </c>
      <c r="X450" s="24">
        <f>AVERAGE(Q450,Q471,Q492,Q512,Q524,Q550)</f>
        <v>256.77119457865723</v>
      </c>
      <c r="Y450" s="24">
        <f t="shared" ref="Y450:Y451" si="91">STDEV(Q450,Q471,Q492,Q512,Q524,Q550)/SQRT(Z450)</f>
        <v>165.0627153899438</v>
      </c>
      <c r="Z450" s="24">
        <v>6</v>
      </c>
    </row>
    <row r="451" spans="1:26" ht="15">
      <c r="A451" s="24">
        <v>40</v>
      </c>
      <c r="B451" s="24">
        <v>0.5</v>
      </c>
      <c r="C451" s="24">
        <v>1.1999602080560583</v>
      </c>
      <c r="D451" s="24">
        <v>4.1954188040427205</v>
      </c>
      <c r="E451" s="24">
        <v>298.20759571953658</v>
      </c>
      <c r="F451" s="24">
        <v>1.4251680374145508</v>
      </c>
      <c r="G451" s="24">
        <v>27.165077160934292</v>
      </c>
      <c r="H451" s="24">
        <v>28.403902529715559</v>
      </c>
      <c r="I451" s="24">
        <v>24.5628662109375</v>
      </c>
      <c r="J451" s="24">
        <v>0.34898000955581665</v>
      </c>
      <c r="K451" s="29">
        <f t="shared" si="88"/>
        <v>4.8714895923402421</v>
      </c>
      <c r="L451" s="24">
        <f t="shared" si="87"/>
        <v>346.71839772360181</v>
      </c>
      <c r="M451" s="24">
        <f t="shared" si="89"/>
        <v>8.1922109458866049E-2</v>
      </c>
      <c r="N451" s="24">
        <f t="shared" si="90"/>
        <v>0.29820759571953659</v>
      </c>
      <c r="O451" s="24">
        <v>0.29917420027288899</v>
      </c>
      <c r="P451" t="s">
        <v>312</v>
      </c>
      <c r="Q451">
        <v>-1.9581036031639524E-2</v>
      </c>
      <c r="T451">
        <v>0.29820759571953659</v>
      </c>
      <c r="U451">
        <v>0.29917420027288899</v>
      </c>
      <c r="W451" s="24" t="s">
        <v>312</v>
      </c>
      <c r="X451" s="24">
        <f>AVERAGE(Q451,Q472,Q493,Q513,Q525,Q551)</f>
        <v>-1.3178071654224549E-2</v>
      </c>
      <c r="Y451" s="24">
        <f t="shared" si="91"/>
        <v>2.1234397053580987E-3</v>
      </c>
      <c r="Z451" s="24">
        <v>6</v>
      </c>
    </row>
    <row r="452" spans="1:26" ht="15">
      <c r="A452" s="24">
        <v>40</v>
      </c>
      <c r="B452" s="24">
        <v>0.75</v>
      </c>
      <c r="C452" s="24">
        <v>1.3498060462116068</v>
      </c>
      <c r="D452" s="24">
        <v>3.3449815148163515</v>
      </c>
      <c r="E452" s="24">
        <v>231.32054007326633</v>
      </c>
      <c r="F452" s="24">
        <v>1.4648358821868896</v>
      </c>
      <c r="G452" s="24">
        <v>27.355375818879189</v>
      </c>
      <c r="H452" s="24">
        <v>25.57347609263477</v>
      </c>
      <c r="I452" s="24">
        <v>22.082283020019531</v>
      </c>
      <c r="J452" s="24">
        <v>0.25675424933433533</v>
      </c>
      <c r="K452" s="29">
        <f t="shared" si="88"/>
        <v>4.9184525505289143</v>
      </c>
      <c r="L452" s="24">
        <f t="shared" si="87"/>
        <v>346.25487332627961</v>
      </c>
      <c r="M452" s="24">
        <f t="shared" si="89"/>
        <v>7.3857375195804431E-2</v>
      </c>
      <c r="N452" s="24">
        <f t="shared" si="90"/>
        <v>0.23132054007326633</v>
      </c>
      <c r="O452" s="24">
        <v>0.26035827337574818</v>
      </c>
      <c r="P452" t="s">
        <v>327</v>
      </c>
      <c r="R452">
        <v>0.10865432033413233</v>
      </c>
      <c r="T452">
        <v>0.23132054007326633</v>
      </c>
      <c r="U452">
        <v>0.26035827337574818</v>
      </c>
      <c r="W452" s="27" t="s">
        <v>315</v>
      </c>
      <c r="X452" s="24">
        <f>AVERAGE(R455,R476,R497,R517,R529,R555)</f>
        <v>0.94161658818688954</v>
      </c>
      <c r="Y452">
        <f>STDEV(R455,R476,R497,R517,R529,R555)/SQRT(6)</f>
        <v>2.6422452795806664E-3</v>
      </c>
      <c r="Z452">
        <v>6</v>
      </c>
    </row>
    <row r="453" spans="1:26" ht="15">
      <c r="A453" s="24">
        <v>40</v>
      </c>
      <c r="B453" s="24">
        <v>1</v>
      </c>
      <c r="C453" s="24">
        <v>1.5448985248697567</v>
      </c>
      <c r="D453" s="24">
        <v>2.6525186748682197</v>
      </c>
      <c r="E453" s="24">
        <v>179.44191059357513</v>
      </c>
      <c r="F453" s="24">
        <v>1.4974212646484375</v>
      </c>
      <c r="G453" s="24">
        <v>27.510325220543734</v>
      </c>
      <c r="H453" s="24">
        <v>22.544223060355332</v>
      </c>
      <c r="I453" s="24">
        <v>19.638696670532227</v>
      </c>
      <c r="J453" s="24">
        <v>0.20178742706775665</v>
      </c>
      <c r="K453" s="29">
        <f t="shared" si="88"/>
        <v>4.9569815591899831</v>
      </c>
      <c r="L453" s="24">
        <f t="shared" si="87"/>
        <v>345.87459201079486</v>
      </c>
      <c r="M453" s="24">
        <f t="shared" si="89"/>
        <v>6.5180338715518371E-2</v>
      </c>
      <c r="N453" s="24">
        <f t="shared" si="90"/>
        <v>0.17944191059357514</v>
      </c>
      <c r="O453" s="24">
        <v>0.22232777045196364</v>
      </c>
      <c r="P453" t="s">
        <v>328</v>
      </c>
      <c r="R453">
        <v>15</v>
      </c>
      <c r="T453">
        <v>0.17944191059357514</v>
      </c>
      <c r="U453">
        <v>0.22232777045196364</v>
      </c>
    </row>
    <row r="454" spans="1:26" ht="15">
      <c r="A454" s="24">
        <v>40</v>
      </c>
      <c r="B454" s="24">
        <v>1.25</v>
      </c>
      <c r="C454" s="24">
        <v>1.7246100963948425</v>
      </c>
      <c r="D454" s="24">
        <v>1.923965293624482</v>
      </c>
      <c r="E454" s="24">
        <v>127.21907631458024</v>
      </c>
      <c r="F454" s="24">
        <v>1.5319846868515015</v>
      </c>
      <c r="G454" s="24">
        <v>27.673350445858137</v>
      </c>
      <c r="H454" s="24">
        <v>18.40130821595389</v>
      </c>
      <c r="I454" s="24">
        <v>16.557060241699219</v>
      </c>
      <c r="J454" s="24">
        <v>0.15498341619968414</v>
      </c>
      <c r="K454" s="29">
        <f t="shared" si="88"/>
        <v>4.9978011645182221</v>
      </c>
      <c r="L454" s="24">
        <f t="shared" si="87"/>
        <v>345.47170250620513</v>
      </c>
      <c r="M454" s="24">
        <f t="shared" si="89"/>
        <v>5.3264299456258296E-2</v>
      </c>
      <c r="N454" s="24">
        <f t="shared" si="90"/>
        <v>0.12721907631458024</v>
      </c>
      <c r="O454" s="24">
        <v>0.17383270134589715</v>
      </c>
      <c r="P454" t="s">
        <v>329</v>
      </c>
      <c r="R454">
        <v>3.2341429013754017E-2</v>
      </c>
      <c r="T454">
        <v>0.12721907631458024</v>
      </c>
      <c r="U454">
        <v>0.17383270134589715</v>
      </c>
    </row>
    <row r="455" spans="1:26" ht="15">
      <c r="A455" s="24">
        <v>40</v>
      </c>
      <c r="B455" s="24">
        <v>1.5</v>
      </c>
      <c r="C455" s="24">
        <v>1.9300879418599042</v>
      </c>
      <c r="D455" s="24">
        <v>1.3689054350947183</v>
      </c>
      <c r="E455" s="24">
        <v>88.976008585155341</v>
      </c>
      <c r="F455" s="24">
        <v>1.5585113763809204</v>
      </c>
      <c r="G455" s="24">
        <v>27.797553779243703</v>
      </c>
      <c r="H455" s="24">
        <v>14.388386245793052</v>
      </c>
      <c r="I455" s="24">
        <v>13.791353225708008</v>
      </c>
      <c r="J455" s="24">
        <v>0.12508746981620789</v>
      </c>
      <c r="K455" s="29">
        <f t="shared" si="88"/>
        <v>5.0290956874300248</v>
      </c>
      <c r="L455" s="24">
        <f t="shared" si="87"/>
        <v>345.16282556506565</v>
      </c>
      <c r="M455" s="24">
        <f t="shared" si="89"/>
        <v>4.1685793428761754E-2</v>
      </c>
      <c r="N455" s="24">
        <f t="shared" si="90"/>
        <v>8.897600858515535E-2</v>
      </c>
      <c r="O455" s="24">
        <v>0.12932021788974699</v>
      </c>
      <c r="P455" t="s">
        <v>315</v>
      </c>
      <c r="R455">
        <v>0.95068655023425941</v>
      </c>
      <c r="T455">
        <v>8.897600858515535E-2</v>
      </c>
      <c r="U455">
        <v>0.12932021788974699</v>
      </c>
    </row>
    <row r="456" spans="1:26" ht="15">
      <c r="A456" s="24">
        <v>40</v>
      </c>
      <c r="B456" s="24">
        <v>1.75</v>
      </c>
      <c r="C456" s="24">
        <v>2.140203142525559</v>
      </c>
      <c r="D456" s="24">
        <v>0.90808442026827019</v>
      </c>
      <c r="E456" s="24">
        <v>58.196452559616652</v>
      </c>
      <c r="F456" s="24">
        <v>1.5806624889373779</v>
      </c>
      <c r="G456" s="24">
        <v>27.900669695943513</v>
      </c>
      <c r="H456" s="24">
        <v>10.349291608880094</v>
      </c>
      <c r="I456" s="24">
        <v>11.180599212646484</v>
      </c>
      <c r="J456" s="24">
        <v>0.10318185389041901</v>
      </c>
      <c r="K456" s="29">
        <f t="shared" si="88"/>
        <v>5.0552060233877123</v>
      </c>
      <c r="L456" s="24">
        <f t="shared" si="87"/>
        <v>344.90511654916327</v>
      </c>
      <c r="M456" s="24">
        <f t="shared" si="89"/>
        <v>3.0006199132174633E-2</v>
      </c>
      <c r="N456" s="24">
        <f t="shared" si="90"/>
        <v>5.8196452559616654E-2</v>
      </c>
      <c r="O456" s="24">
        <v>8.6160836031275931E-2</v>
      </c>
      <c r="T456">
        <v>5.8196452559616654E-2</v>
      </c>
      <c r="U456">
        <v>8.6160836031275931E-2</v>
      </c>
    </row>
    <row r="457" spans="1:26" ht="15">
      <c r="A457" s="24">
        <v>40</v>
      </c>
      <c r="B457" s="24">
        <v>2</v>
      </c>
      <c r="C457" s="24">
        <v>2.344786423187696</v>
      </c>
      <c r="D457" s="24">
        <v>0.55763377945822901</v>
      </c>
      <c r="E457" s="24">
        <v>35.358522268206436</v>
      </c>
      <c r="F457" s="24">
        <v>1.5975866317749023</v>
      </c>
      <c r="G457" s="24">
        <v>27.979088513494126</v>
      </c>
      <c r="H457" s="24">
        <v>6.7664871779483233</v>
      </c>
      <c r="I457" s="24">
        <v>8.9867315292358398</v>
      </c>
      <c r="J457" s="24">
        <v>9.3345090746879578E-2</v>
      </c>
      <c r="K457" s="29">
        <f t="shared" si="88"/>
        <v>5.0751413827354011</v>
      </c>
      <c r="L457" s="24">
        <f t="shared" si="87"/>
        <v>344.70835455240154</v>
      </c>
      <c r="M457" s="24">
        <f t="shared" si="89"/>
        <v>1.962960017819847E-2</v>
      </c>
      <c r="N457" s="24">
        <f t="shared" si="90"/>
        <v>3.535852226820644E-2</v>
      </c>
      <c r="O457" s="24">
        <v>4.8890847223157452E-2</v>
      </c>
      <c r="T457">
        <v>3.535852226820644E-2</v>
      </c>
      <c r="U457">
        <v>4.8890847223157452E-2</v>
      </c>
    </row>
    <row r="458" spans="1:26" ht="15">
      <c r="A458" s="24">
        <v>40</v>
      </c>
      <c r="B458" s="24">
        <v>2.25</v>
      </c>
      <c r="C458" s="24">
        <v>2.5500266303290262</v>
      </c>
      <c r="D458" s="24">
        <v>0.3134995240122796</v>
      </c>
      <c r="E458" s="24">
        <v>19.73230691002043</v>
      </c>
      <c r="F458" s="24">
        <v>1.6094166040420532</v>
      </c>
      <c r="G458" s="24">
        <v>28.033717375325907</v>
      </c>
      <c r="H458" s="24">
        <v>3.9760978036623147</v>
      </c>
      <c r="I458" s="24">
        <v>7.3478226661682129</v>
      </c>
      <c r="J458" s="24">
        <v>8.8288888335227966E-2</v>
      </c>
      <c r="K458" s="29">
        <f t="shared" si="88"/>
        <v>5.0890692187363245</v>
      </c>
      <c r="L458" s="24">
        <f t="shared" si="87"/>
        <v>344.5708868110724</v>
      </c>
      <c r="M458" s="24">
        <f t="shared" si="89"/>
        <v>1.1539273791991609E-2</v>
      </c>
      <c r="N458" s="24">
        <f t="shared" si="90"/>
        <v>1.9732306910020432E-2</v>
      </c>
      <c r="O458" s="24">
        <v>2.0386353094518413E-2</v>
      </c>
      <c r="T458">
        <v>1.9732306910020432E-2</v>
      </c>
      <c r="U458">
        <v>2.0386353094518413E-2</v>
      </c>
    </row>
    <row r="459" spans="1:26" ht="15">
      <c r="A459" s="24">
        <v>40</v>
      </c>
      <c r="B459" s="24">
        <v>2.5</v>
      </c>
      <c r="C459" s="24">
        <v>2.7748775982878611</v>
      </c>
      <c r="D459" s="24">
        <v>0.16730860014127602</v>
      </c>
      <c r="E459" s="24">
        <v>10.484497295352579</v>
      </c>
      <c r="F459" s="24">
        <v>1.6165163516998291</v>
      </c>
      <c r="G459" s="24">
        <v>28.066429883313042</v>
      </c>
      <c r="H459" s="24">
        <v>2.1791488335004363</v>
      </c>
      <c r="I459" s="24">
        <v>6.3219685554504395</v>
      </c>
      <c r="J459" s="24">
        <v>8.9026480913162231E-2</v>
      </c>
      <c r="K459" s="29">
        <f t="shared" si="88"/>
        <v>5.0974252616198807</v>
      </c>
      <c r="L459" s="24">
        <f t="shared" si="87"/>
        <v>344.48841266781176</v>
      </c>
      <c r="M459" s="24">
        <f t="shared" si="89"/>
        <v>6.3257536490836262E-3</v>
      </c>
      <c r="N459" s="24">
        <f t="shared" si="90"/>
        <v>1.048449729535258E-2</v>
      </c>
      <c r="O459" s="24">
        <v>2.2364846654706096E-3</v>
      </c>
      <c r="T459">
        <v>1.048449729535258E-2</v>
      </c>
      <c r="U459">
        <v>2.2364846654706096E-3</v>
      </c>
    </row>
    <row r="460" spans="1:26" ht="15">
      <c r="A460" s="24">
        <v>40</v>
      </c>
      <c r="B460" s="24">
        <v>2.75</v>
      </c>
      <c r="C460" s="24">
        <v>3.0000235763038345</v>
      </c>
      <c r="D460" s="24">
        <v>7.9550504218115686E-2</v>
      </c>
      <c r="E460" s="24">
        <v>4.9719555391527592</v>
      </c>
      <c r="F460" s="24">
        <v>1.6207840442657471</v>
      </c>
      <c r="G460" s="24">
        <v>28.08606713122014</v>
      </c>
      <c r="H460" s="24">
        <v>1.0542547716629738</v>
      </c>
      <c r="I460" s="24">
        <v>5.6909270286560059</v>
      </c>
      <c r="J460" s="24">
        <v>5.4863683879375458E-2</v>
      </c>
      <c r="K460" s="29">
        <f t="shared" si="88"/>
        <v>5.1024470916172779</v>
      </c>
      <c r="L460" s="24">
        <f t="shared" si="87"/>
        <v>344.43884720573743</v>
      </c>
      <c r="M460" s="24">
        <f t="shared" si="89"/>
        <v>3.0607893976408963E-3</v>
      </c>
      <c r="N460" s="24">
        <f t="shared" si="90"/>
        <v>4.971955539152759E-3</v>
      </c>
      <c r="O460" s="24">
        <v>-9.0510510297787203E-3</v>
      </c>
      <c r="T460">
        <v>4.971955539152759E-3</v>
      </c>
      <c r="U460">
        <v>-9.0510510297787203E-3</v>
      </c>
    </row>
    <row r="461" spans="1:26" ht="15">
      <c r="A461" s="24">
        <v>40</v>
      </c>
      <c r="B461" s="24">
        <v>3</v>
      </c>
      <c r="C461" s="24">
        <v>3.1997104875823239</v>
      </c>
      <c r="D461" s="24">
        <v>3.072024409805765E-2</v>
      </c>
      <c r="E461" s="24">
        <v>1.9172230635185588</v>
      </c>
      <c r="F461" s="24">
        <v>1.6231604814529419</v>
      </c>
      <c r="G461" s="24">
        <v>28.096993666410523</v>
      </c>
      <c r="H461" s="24">
        <v>0.46151525117914816</v>
      </c>
      <c r="I461" s="24">
        <v>5.3619709014892578</v>
      </c>
      <c r="J461" s="24">
        <v>6.6741622984409332E-2</v>
      </c>
      <c r="K461" s="29">
        <f t="shared" si="88"/>
        <v>5.1052431907169202</v>
      </c>
      <c r="L461" s="24">
        <f t="shared" si="87"/>
        <v>344.41124970762399</v>
      </c>
      <c r="M461" s="24">
        <f t="shared" si="89"/>
        <v>1.340012126697184E-3</v>
      </c>
      <c r="N461" s="24">
        <f t="shared" si="90"/>
        <v>1.9172230635185587E-3</v>
      </c>
      <c r="O461" s="24">
        <v>-1.4977491312357446E-2</v>
      </c>
      <c r="T461">
        <v>1.9172230635185587E-3</v>
      </c>
      <c r="U461">
        <v>-1.4977491312357446E-2</v>
      </c>
    </row>
    <row r="462" spans="1:26" ht="15">
      <c r="A462" s="24">
        <v>40</v>
      </c>
      <c r="B462" s="24">
        <v>3.25</v>
      </c>
      <c r="C462" s="24">
        <v>3.4294459648388735</v>
      </c>
      <c r="D462" s="24">
        <v>1.1120326791678606E-2</v>
      </c>
      <c r="E462" s="24">
        <v>0.69360191603003585</v>
      </c>
      <c r="F462" s="24">
        <v>1.6241147518157959</v>
      </c>
      <c r="G462" s="24">
        <v>28.10137945476492</v>
      </c>
      <c r="H462" s="24">
        <v>0.46303139880369404</v>
      </c>
      <c r="I462" s="24">
        <v>5.3639793395996094</v>
      </c>
      <c r="J462" s="24">
        <v>2.3992085829377174E-2</v>
      </c>
      <c r="K462" s="29">
        <f t="shared" si="88"/>
        <v>5.1063658872745492</v>
      </c>
      <c r="L462" s="24">
        <f t="shared" si="87"/>
        <v>344.40016869260018</v>
      </c>
      <c r="M462" s="24">
        <f t="shared" si="89"/>
        <v>1.3444575261430259E-3</v>
      </c>
      <c r="N462" s="24">
        <f t="shared" si="90"/>
        <v>6.9360191603003586E-4</v>
      </c>
      <c r="O462" s="24">
        <v>-1.4964823990898034E-2</v>
      </c>
      <c r="T462">
        <v>6.9360191603003586E-4</v>
      </c>
      <c r="U462">
        <v>-1.4964823990898034E-2</v>
      </c>
    </row>
    <row r="463" spans="1:26" ht="15">
      <c r="A463" s="24">
        <v>40</v>
      </c>
      <c r="B463" s="24">
        <v>3.5</v>
      </c>
      <c r="C463" s="24">
        <v>3.6150436474362828</v>
      </c>
      <c r="D463" s="24">
        <v>2.7094901316365482E-3</v>
      </c>
      <c r="E463" s="24">
        <v>0.16895490422377829</v>
      </c>
      <c r="F463" s="24">
        <v>1.6245243549346924</v>
      </c>
      <c r="G463" s="24">
        <v>28.103261511148002</v>
      </c>
      <c r="H463" s="24">
        <v>0.37250093547979363</v>
      </c>
      <c r="I463" s="24">
        <v>5.3139863014221191</v>
      </c>
      <c r="J463" s="24">
        <v>7.2559062391519547E-3</v>
      </c>
      <c r="K463" s="29">
        <f t="shared" si="88"/>
        <v>5.1068477313809462</v>
      </c>
      <c r="L463" s="24">
        <f t="shared" si="87"/>
        <v>344.39541289127004</v>
      </c>
      <c r="M463" s="24">
        <f t="shared" si="89"/>
        <v>1.0816082953967708E-3</v>
      </c>
      <c r="N463" s="24">
        <f t="shared" si="90"/>
        <v>1.6895490422377829E-4</v>
      </c>
      <c r="O463" s="24">
        <v>-1.5868218862988667E-2</v>
      </c>
      <c r="T463">
        <v>1.6895490422377829E-4</v>
      </c>
      <c r="U463">
        <v>-1.5868218862988667E-2</v>
      </c>
    </row>
    <row r="464" spans="1:26" ht="15">
      <c r="A464" s="24">
        <v>40</v>
      </c>
      <c r="B464" s="24">
        <v>3.75</v>
      </c>
      <c r="C464" s="24">
        <v>3.8547124226996345</v>
      </c>
      <c r="D464" s="24">
        <v>7.1963594735560959E-4</v>
      </c>
      <c r="E464" s="24">
        <v>4.4871457207819862E-2</v>
      </c>
      <c r="F464" s="24">
        <v>1.6246212720870972</v>
      </c>
      <c r="G464" s="24">
        <v>28.103706772174974</v>
      </c>
      <c r="H464" s="24">
        <v>0.40457591213252742</v>
      </c>
      <c r="I464" s="24">
        <v>5.3319864273071289</v>
      </c>
      <c r="J464" s="24">
        <v>1.7754555447027087E-3</v>
      </c>
      <c r="K464" s="29">
        <f t="shared" si="88"/>
        <v>5.1069617328864041</v>
      </c>
      <c r="L464" s="24">
        <f t="shared" si="87"/>
        <v>344.39428769641114</v>
      </c>
      <c r="M464" s="24">
        <f t="shared" si="89"/>
        <v>1.1747462910568578E-3</v>
      </c>
      <c r="N464" s="24">
        <f t="shared" si="90"/>
        <v>4.487145720781986E-5</v>
      </c>
      <c r="O464" s="24">
        <v>-1.5548736638166485E-2</v>
      </c>
      <c r="T464">
        <v>4.487145720781986E-5</v>
      </c>
      <c r="U464">
        <v>-1.5548736638166485E-2</v>
      </c>
    </row>
    <row r="465" spans="1:21" ht="15">
      <c r="A465" s="24">
        <v>40</v>
      </c>
      <c r="B465" s="24">
        <v>4</v>
      </c>
      <c r="C465" s="24">
        <v>4.054796860078647</v>
      </c>
      <c r="D465" s="24">
        <v>1.0186705111240259E-4</v>
      </c>
      <c r="E465" s="24">
        <v>6.3515981932578723E-3</v>
      </c>
      <c r="F465" s="24">
        <v>1.624651312828064</v>
      </c>
      <c r="G465" s="24">
        <v>28.103845007637322</v>
      </c>
      <c r="H465" s="24">
        <v>0.43678053532920058</v>
      </c>
      <c r="I465" s="24">
        <v>5.3499855995178223</v>
      </c>
      <c r="J465" s="24">
        <v>2.3291785328183323E-4</v>
      </c>
      <c r="K465" s="29">
        <f t="shared" si="88"/>
        <v>5.1069971261722378</v>
      </c>
      <c r="L465" s="24">
        <f t="shared" si="87"/>
        <v>344.39393836467997</v>
      </c>
      <c r="M465" s="24">
        <f t="shared" si="89"/>
        <v>1.2682584873683E-3</v>
      </c>
      <c r="N465" s="24">
        <f t="shared" si="90"/>
        <v>6.3515981932578724E-6</v>
      </c>
      <c r="O465" s="24">
        <v>-1.5227834653590542E-2</v>
      </c>
      <c r="T465">
        <v>6.3515981932578724E-6</v>
      </c>
      <c r="U465">
        <v>-1.5227834653590542E-2</v>
      </c>
    </row>
    <row r="466" spans="1:21" ht="15">
      <c r="K466" s="29"/>
      <c r="L466" s="24"/>
      <c r="M466" s="24"/>
      <c r="N466" s="24"/>
      <c r="T466">
        <v>7.2430451228824966E-2</v>
      </c>
      <c r="U466">
        <v>5.7496868924018917E-2</v>
      </c>
    </row>
    <row r="467" spans="1:21" ht="15">
      <c r="K467" s="29"/>
      <c r="L467" s="24"/>
      <c r="M467" s="24"/>
      <c r="N467" s="24"/>
      <c r="T467">
        <v>6.1395304449198822E-2</v>
      </c>
      <c r="U467">
        <v>5.4317804704602332E-2</v>
      </c>
    </row>
    <row r="468" spans="1:21">
      <c r="B468" s="24" t="s">
        <v>256</v>
      </c>
      <c r="C468" s="24"/>
      <c r="D468" s="24"/>
      <c r="E468" s="24"/>
      <c r="F468" s="24"/>
      <c r="G468" s="24"/>
      <c r="H468" s="24"/>
      <c r="I468" s="24"/>
      <c r="J468" s="24"/>
      <c r="K468" s="19" t="s">
        <v>148</v>
      </c>
      <c r="L468" s="19" t="s">
        <v>292</v>
      </c>
      <c r="M468" s="24"/>
      <c r="N468" s="24"/>
      <c r="O468" s="24"/>
      <c r="T468">
        <v>5.1794153063736387E-2</v>
      </c>
      <c r="U468">
        <v>5.082121366768734E-2</v>
      </c>
    </row>
    <row r="469" spans="1:21">
      <c r="B469" s="25" t="s">
        <v>237</v>
      </c>
      <c r="C469" s="24" t="s">
        <v>154</v>
      </c>
      <c r="D469" s="24" t="s">
        <v>155</v>
      </c>
      <c r="E469" s="24" t="s">
        <v>156</v>
      </c>
      <c r="F469" s="24" t="s">
        <v>159</v>
      </c>
      <c r="G469" s="24" t="s">
        <v>238</v>
      </c>
      <c r="H469" s="24" t="s">
        <v>157</v>
      </c>
      <c r="I469" s="24" t="s">
        <v>160</v>
      </c>
      <c r="J469" s="24" t="s">
        <v>265</v>
      </c>
      <c r="K469" s="27" t="s">
        <v>341</v>
      </c>
      <c r="L469" s="27" t="s">
        <v>342</v>
      </c>
      <c r="M469" s="19" t="s">
        <v>343</v>
      </c>
      <c r="N469" s="19" t="s">
        <v>288</v>
      </c>
      <c r="O469" s="19" t="s">
        <v>344</v>
      </c>
      <c r="T469">
        <v>4.0956337076875612E-2</v>
      </c>
      <c r="U469">
        <v>4.5676487088968036E-2</v>
      </c>
    </row>
    <row r="470" spans="1:21" ht="15">
      <c r="A470" s="24">
        <v>40</v>
      </c>
      <c r="B470" s="24">
        <v>0</v>
      </c>
      <c r="C470" s="24">
        <v>0.86553007526798342</v>
      </c>
      <c r="D470" s="24">
        <v>1.1227985027160596</v>
      </c>
      <c r="E470" s="24">
        <v>72.430451228824964</v>
      </c>
      <c r="F470" s="24">
        <v>1.5703269243240356</v>
      </c>
      <c r="G470" s="24">
        <v>27.852624058423487</v>
      </c>
      <c r="H470" s="24">
        <v>5.333463576870912</v>
      </c>
      <c r="I470" s="24">
        <v>28.065397262573242</v>
      </c>
      <c r="J470" s="24">
        <v>0.74518746137619019</v>
      </c>
      <c r="K470" s="29">
        <f t="shared" ref="K470:K486" si="92">0.1013*42.75*EXP((37830*((G470+273.15)-298))/(298*$H$26*(G470+273.15)))</f>
        <v>5.0430256246044909</v>
      </c>
      <c r="L470" s="24">
        <f t="shared" ref="L470:L486" si="93">(A470-K470)*9.87</f>
        <v>345.02533708515364</v>
      </c>
      <c r="M470" s="24">
        <f t="shared" ref="M470:M486" si="94">H470/L470</f>
        <v>1.5458179454092068E-2</v>
      </c>
      <c r="N470" s="24">
        <f t="shared" ref="N470:N486" si="95">E470*0.001</f>
        <v>7.2430451228824966E-2</v>
      </c>
      <c r="O470">
        <v>5.7496868924018917E-2</v>
      </c>
      <c r="P470" t="s">
        <v>313</v>
      </c>
      <c r="Q470">
        <v>7.4297985615772125E-2</v>
      </c>
      <c r="T470">
        <v>3.2948677660849642E-2</v>
      </c>
      <c r="U470">
        <v>4.0689114821624253E-2</v>
      </c>
    </row>
    <row r="471" spans="1:21" ht="15">
      <c r="A471" s="24">
        <v>40</v>
      </c>
      <c r="B471" s="24">
        <v>0.25</v>
      </c>
      <c r="C471" s="24">
        <v>0.99975628914359405</v>
      </c>
      <c r="D471" s="24">
        <v>0.95658235053828244</v>
      </c>
      <c r="E471" s="24">
        <v>61.395304449198818</v>
      </c>
      <c r="F471" s="24">
        <v>1.5783257484436035</v>
      </c>
      <c r="G471" s="24">
        <v>27.889817524760044</v>
      </c>
      <c r="H471" s="24">
        <v>5.080217785162092</v>
      </c>
      <c r="I471" s="24">
        <v>26.589485168457031</v>
      </c>
      <c r="J471" s="24">
        <v>0.57048994302749634</v>
      </c>
      <c r="K471" s="29">
        <f t="shared" si="92"/>
        <v>5.0524525812280707</v>
      </c>
      <c r="L471" s="24">
        <f t="shared" si="93"/>
        <v>344.93229302327893</v>
      </c>
      <c r="M471" s="24">
        <f t="shared" si="94"/>
        <v>1.4728159374800074E-2</v>
      </c>
      <c r="N471" s="24">
        <f t="shared" si="95"/>
        <v>6.1395304449198822E-2</v>
      </c>
      <c r="O471">
        <v>5.4317804704602332E-2</v>
      </c>
      <c r="P471" t="s">
        <v>314</v>
      </c>
      <c r="Q471">
        <v>87.819509927572696</v>
      </c>
      <c r="T471">
        <v>2.4012086360338046E-2</v>
      </c>
      <c r="U471">
        <v>3.3374310526816657E-2</v>
      </c>
    </row>
    <row r="472" spans="1:21" ht="15">
      <c r="A472" s="24">
        <v>40</v>
      </c>
      <c r="B472" s="24">
        <v>0.5</v>
      </c>
      <c r="C472" s="24">
        <v>1.1647802733946786</v>
      </c>
      <c r="D472" s="24">
        <v>0.81058823079155407</v>
      </c>
      <c r="E472" s="24">
        <v>51.794153063736388</v>
      </c>
      <c r="F472" s="24">
        <v>1.5853639841079712</v>
      </c>
      <c r="G472" s="24">
        <v>27.922485994743202</v>
      </c>
      <c r="H472" s="24">
        <v>4.7939334334902659</v>
      </c>
      <c r="I472" s="24">
        <v>24.999570846557617</v>
      </c>
      <c r="J472" s="24">
        <v>0.44406715035438538</v>
      </c>
      <c r="K472" s="29">
        <f t="shared" si="92"/>
        <v>5.0607452534114188</v>
      </c>
      <c r="L472" s="24">
        <f t="shared" si="93"/>
        <v>344.85044434882928</v>
      </c>
      <c r="M472" s="24">
        <f t="shared" si="94"/>
        <v>1.3901485446952246E-2</v>
      </c>
      <c r="N472" s="24">
        <f t="shared" si="95"/>
        <v>5.1794153063736387E-2</v>
      </c>
      <c r="O472">
        <v>5.082121366768734E-2</v>
      </c>
      <c r="P472" t="s">
        <v>312</v>
      </c>
      <c r="Q472">
        <v>-3.8312337852350431E-3</v>
      </c>
      <c r="T472">
        <v>1.6538389068881817E-2</v>
      </c>
      <c r="U472">
        <v>2.5222501729369629E-2</v>
      </c>
    </row>
    <row r="473" spans="1:21" ht="15">
      <c r="A473" s="24">
        <v>40</v>
      </c>
      <c r="B473" s="24">
        <v>0.75</v>
      </c>
      <c r="C473" s="24">
        <v>1.3197704812152653</v>
      </c>
      <c r="D473" s="24">
        <v>0.64422285095870468</v>
      </c>
      <c r="E473" s="24">
        <v>40.956337076875613</v>
      </c>
      <c r="F473" s="24">
        <v>1.5933986902236938</v>
      </c>
      <c r="G473" s="24">
        <v>27.959712853103898</v>
      </c>
      <c r="H473" s="24">
        <v>4.362496411124499</v>
      </c>
      <c r="I473" s="24">
        <v>22.737661361694336</v>
      </c>
      <c r="J473" s="24">
        <v>0.32644358277320862</v>
      </c>
      <c r="K473" s="29">
        <f t="shared" si="92"/>
        <v>5.0702094359481436</v>
      </c>
      <c r="L473" s="24">
        <f t="shared" si="93"/>
        <v>344.75703286719181</v>
      </c>
      <c r="M473" s="24">
        <f t="shared" si="94"/>
        <v>1.2653828624882704E-2</v>
      </c>
      <c r="N473" s="24">
        <f t="shared" si="95"/>
        <v>4.0956337076875612E-2</v>
      </c>
      <c r="O473">
        <v>4.5676487088968036E-2</v>
      </c>
      <c r="P473" t="s">
        <v>327</v>
      </c>
      <c r="R473">
        <v>1.9171587016971879E-2</v>
      </c>
      <c r="T473">
        <v>1.1328849500530282E-2</v>
      </c>
      <c r="U473">
        <v>1.8022677187263719E-2</v>
      </c>
    </row>
    <row r="474" spans="1:21" ht="15">
      <c r="A474" s="24">
        <v>40</v>
      </c>
      <c r="B474" s="24">
        <v>1</v>
      </c>
      <c r="C474" s="24">
        <v>1.5250578960738308</v>
      </c>
      <c r="D474" s="24">
        <v>0.52021751345021616</v>
      </c>
      <c r="E474" s="24">
        <v>32.94867766084964</v>
      </c>
      <c r="F474" s="24">
        <v>1.5993975400924683</v>
      </c>
      <c r="G474" s="24">
        <v>27.987460988803988</v>
      </c>
      <c r="H474" s="24">
        <v>3.9363368361587137</v>
      </c>
      <c r="I474" s="24">
        <v>20.636739730834961</v>
      </c>
      <c r="J474" s="24">
        <v>0.25751021504402161</v>
      </c>
      <c r="K474" s="29">
        <f t="shared" si="92"/>
        <v>5.0772738287930519</v>
      </c>
      <c r="L474" s="24">
        <f t="shared" si="93"/>
        <v>344.68730730981252</v>
      </c>
      <c r="M474" s="24">
        <f t="shared" si="94"/>
        <v>1.1420022590563938E-2</v>
      </c>
      <c r="N474" s="24">
        <f t="shared" si="95"/>
        <v>3.2948677660849642E-2</v>
      </c>
      <c r="O474">
        <v>4.0689114821624253E-2</v>
      </c>
      <c r="P474" t="s">
        <v>328</v>
      </c>
      <c r="R474">
        <v>15</v>
      </c>
      <c r="T474">
        <v>7.0550246714535542E-3</v>
      </c>
      <c r="U474">
        <v>1.0916518881846899E-2</v>
      </c>
    </row>
    <row r="475" spans="1:21" ht="15">
      <c r="A475" s="24">
        <v>40</v>
      </c>
      <c r="B475" s="24">
        <v>1.25</v>
      </c>
      <c r="C475" s="24">
        <v>1.7094837042806965</v>
      </c>
      <c r="D475" s="24">
        <v>0.38072215058430886</v>
      </c>
      <c r="E475" s="24">
        <v>24.012086360338046</v>
      </c>
      <c r="F475" s="24">
        <v>1.6061558723449707</v>
      </c>
      <c r="G475" s="24">
        <v>28.01867526019026</v>
      </c>
      <c r="H475" s="24">
        <v>3.3021175817737318</v>
      </c>
      <c r="I475" s="24">
        <v>17.711814880371094</v>
      </c>
      <c r="J475" s="24">
        <v>0.19017809629440308</v>
      </c>
      <c r="K475" s="29">
        <f t="shared" si="92"/>
        <v>5.0852308698206246</v>
      </c>
      <c r="L475" s="24">
        <f t="shared" si="93"/>
        <v>344.60877131487041</v>
      </c>
      <c r="M475" s="24">
        <f t="shared" si="94"/>
        <v>9.5822215121639312E-3</v>
      </c>
      <c r="N475" s="24">
        <f t="shared" si="95"/>
        <v>2.4012086360338046E-2</v>
      </c>
      <c r="O475">
        <v>3.3374310526816657E-2</v>
      </c>
      <c r="P475" t="s">
        <v>329</v>
      </c>
      <c r="R475">
        <v>6.5211419218703355E-3</v>
      </c>
      <c r="T475">
        <v>3.9449326697636377E-3</v>
      </c>
      <c r="U475">
        <v>4.9293454828092682E-3</v>
      </c>
    </row>
    <row r="476" spans="1:21" ht="15">
      <c r="A476" s="24">
        <v>40</v>
      </c>
      <c r="B476" s="24">
        <v>1.5</v>
      </c>
      <c r="C476" s="24">
        <v>1.9050095534436253</v>
      </c>
      <c r="D476" s="24">
        <v>0.26315470519480771</v>
      </c>
      <c r="E476" s="24">
        <v>16.538389068881816</v>
      </c>
      <c r="F476" s="24">
        <v>1.6118602752685547</v>
      </c>
      <c r="G476" s="24">
        <v>28.044982816736827</v>
      </c>
      <c r="H476" s="24">
        <v>2.5868727306328112</v>
      </c>
      <c r="I476" s="24">
        <v>14.650869369506836</v>
      </c>
      <c r="J476" s="24">
        <v>0.1423671692609787</v>
      </c>
      <c r="K476" s="29">
        <f t="shared" si="92"/>
        <v>5.091945506624282</v>
      </c>
      <c r="L476" s="24">
        <f t="shared" si="93"/>
        <v>344.54249784961826</v>
      </c>
      <c r="M476" s="24">
        <f t="shared" si="94"/>
        <v>7.5081383190119498E-3</v>
      </c>
      <c r="N476" s="24">
        <f t="shared" si="95"/>
        <v>1.6538389068881817E-2</v>
      </c>
      <c r="O476">
        <v>2.5222501729369629E-2</v>
      </c>
      <c r="P476" t="s">
        <v>315</v>
      </c>
      <c r="R476">
        <v>0.93112968996993506</v>
      </c>
      <c r="T476">
        <v>2.111731942410656E-3</v>
      </c>
      <c r="U476">
        <v>1.0316202555758027E-3</v>
      </c>
    </row>
    <row r="477" spans="1:21" ht="15">
      <c r="A477" s="24">
        <v>40</v>
      </c>
      <c r="B477" s="24">
        <v>1.75</v>
      </c>
      <c r="C477" s="24">
        <v>2.1297755482873479</v>
      </c>
      <c r="D477" s="24">
        <v>0.18070969043694984</v>
      </c>
      <c r="E477" s="24">
        <v>11.328849500530282</v>
      </c>
      <c r="F477" s="24">
        <v>1.6158649921417236</v>
      </c>
      <c r="G477" s="24">
        <v>28.063431179551376</v>
      </c>
      <c r="H477" s="24">
        <v>1.9501762413520394</v>
      </c>
      <c r="I477" s="24">
        <v>12.101934432983398</v>
      </c>
      <c r="J477" s="24">
        <v>0.11845871806144714</v>
      </c>
      <c r="K477" s="29">
        <f t="shared" si="92"/>
        <v>5.0966587811541704</v>
      </c>
      <c r="L477" s="24">
        <f t="shared" si="93"/>
        <v>344.49597783000831</v>
      </c>
      <c r="M477" s="24">
        <f t="shared" si="94"/>
        <v>5.6609550382453371E-3</v>
      </c>
      <c r="N477" s="24">
        <f t="shared" si="95"/>
        <v>1.1328849500530282E-2</v>
      </c>
      <c r="O477">
        <v>1.8022677187263719E-2</v>
      </c>
      <c r="T477">
        <v>8.9198290355677805E-4</v>
      </c>
      <c r="U477">
        <v>-1.7255403245874713E-3</v>
      </c>
    </row>
    <row r="478" spans="1:21" ht="15">
      <c r="A478" s="24">
        <v>40</v>
      </c>
      <c r="B478" s="24">
        <v>2</v>
      </c>
      <c r="C478" s="24">
        <v>2.3448563223590426</v>
      </c>
      <c r="D478" s="24">
        <v>0.11276674879628304</v>
      </c>
      <c r="E478" s="24">
        <v>7.0550246714535545</v>
      </c>
      <c r="F478" s="24">
        <v>1.6191681623458862</v>
      </c>
      <c r="G478" s="24">
        <v>28.078634476460909</v>
      </c>
      <c r="H478" s="24">
        <v>1.3184695489125804</v>
      </c>
      <c r="I478" s="24">
        <v>9.7129678726196289</v>
      </c>
      <c r="J478" s="24">
        <v>0.10170669853687286</v>
      </c>
      <c r="K478" s="29">
        <f t="shared" si="92"/>
        <v>5.1005458354886573</v>
      </c>
      <c r="L478" s="24">
        <f t="shared" si="93"/>
        <v>344.45761260372689</v>
      </c>
      <c r="M478" s="24">
        <f t="shared" si="94"/>
        <v>3.8276684871220499E-3</v>
      </c>
      <c r="N478" s="24">
        <f t="shared" si="95"/>
        <v>7.0550246714535542E-3</v>
      </c>
      <c r="O478">
        <v>1.0916518881846899E-2</v>
      </c>
      <c r="T478">
        <v>3.2360228669421777E-4</v>
      </c>
      <c r="U478">
        <v>-3.0571143869565394E-3</v>
      </c>
    </row>
    <row r="479" spans="1:21" ht="15">
      <c r="A479" s="24">
        <v>40</v>
      </c>
      <c r="B479" s="24">
        <v>2.25</v>
      </c>
      <c r="C479" s="24">
        <v>2.55008917336581</v>
      </c>
      <c r="D479" s="24">
        <v>6.3149379325918187E-2</v>
      </c>
      <c r="E479" s="24">
        <v>3.9449326697636375</v>
      </c>
      <c r="F479" s="24">
        <v>1.62158203125</v>
      </c>
      <c r="G479" s="24">
        <v>28.08973713969144</v>
      </c>
      <c r="H479" s="24">
        <v>0.78426049472853587</v>
      </c>
      <c r="I479" s="24">
        <v>7.7890229225158691</v>
      </c>
      <c r="J479" s="24">
        <v>8.7273910641670227E-2</v>
      </c>
      <c r="K479" s="29">
        <f t="shared" si="92"/>
        <v>5.1033860981421553</v>
      </c>
      <c r="L479" s="24">
        <f t="shared" si="93"/>
        <v>344.42957921133694</v>
      </c>
      <c r="M479" s="24">
        <f t="shared" si="94"/>
        <v>2.2769835753488673E-3</v>
      </c>
      <c r="N479" s="24">
        <f t="shared" si="95"/>
        <v>3.9449326697636377E-3</v>
      </c>
      <c r="O479">
        <v>4.9293454828092682E-3</v>
      </c>
      <c r="T479">
        <v>1.4076897177475343E-4</v>
      </c>
      <c r="U479">
        <v>-2.9676554325892366E-3</v>
      </c>
    </row>
    <row r="480" spans="1:21" ht="15">
      <c r="A480" s="24">
        <v>40</v>
      </c>
      <c r="B480" s="24">
        <v>2.5</v>
      </c>
      <c r="C480" s="24">
        <v>2.7749363057477496</v>
      </c>
      <c r="D480" s="24">
        <v>3.3833758962592067E-2</v>
      </c>
      <c r="E480" s="24">
        <v>2.111731942410656</v>
      </c>
      <c r="F480" s="24">
        <v>1.6230089664459229</v>
      </c>
      <c r="G480" s="24">
        <v>28.09629696871427</v>
      </c>
      <c r="H480" s="24">
        <v>0.43567548567680681</v>
      </c>
      <c r="I480" s="24">
        <v>6.5770082473754883</v>
      </c>
      <c r="J480" s="24">
        <v>7.2996474802494049E-2</v>
      </c>
      <c r="K480" s="29">
        <f t="shared" si="92"/>
        <v>5.1050648661865168</v>
      </c>
      <c r="L480" s="24">
        <f t="shared" si="93"/>
        <v>344.41300977073905</v>
      </c>
      <c r="M480" s="24">
        <f t="shared" si="94"/>
        <v>1.2649797577821385E-3</v>
      </c>
      <c r="N480" s="24">
        <f t="shared" si="95"/>
        <v>2.111731942410656E-3</v>
      </c>
      <c r="O480">
        <v>1.0316202555758027E-3</v>
      </c>
      <c r="T480">
        <v>3.4328721830305428E-5</v>
      </c>
      <c r="U480">
        <v>-3.1349033162752461E-3</v>
      </c>
    </row>
    <row r="481" spans="1:21" ht="15">
      <c r="A481" s="24">
        <v>40</v>
      </c>
      <c r="B481" s="24">
        <v>2.75</v>
      </c>
      <c r="C481" s="24">
        <v>2.9591747193143192</v>
      </c>
      <c r="D481" s="24">
        <v>1.4299550957774815E-2</v>
      </c>
      <c r="E481" s="24">
        <v>0.89198290355677801</v>
      </c>
      <c r="F481" s="24">
        <v>1.6239598989486694</v>
      </c>
      <c r="G481" s="24">
        <v>28.100668053583696</v>
      </c>
      <c r="H481" s="24">
        <v>0.18875408605212562</v>
      </c>
      <c r="I481" s="24">
        <v>5.7379508018493652</v>
      </c>
      <c r="J481" s="24">
        <v>6.6871784627437592E-2</v>
      </c>
      <c r="K481" s="29">
        <f t="shared" si="92"/>
        <v>5.106183764604916</v>
      </c>
      <c r="L481" s="24">
        <f t="shared" si="93"/>
        <v>344.40196624334948</v>
      </c>
      <c r="M481" s="24">
        <f t="shared" si="94"/>
        <v>5.4806332295662531E-4</v>
      </c>
      <c r="N481" s="24">
        <f t="shared" si="95"/>
        <v>8.9198290355677805E-4</v>
      </c>
      <c r="O481">
        <v>-1.7255403245874713E-3</v>
      </c>
      <c r="T481">
        <v>9.0739145528604643E-6</v>
      </c>
      <c r="U481">
        <v>-3.0782337181860771E-3</v>
      </c>
    </row>
    <row r="482" spans="1:21" ht="15">
      <c r="A482" s="24">
        <v>40</v>
      </c>
      <c r="B482" s="24">
        <v>3</v>
      </c>
      <c r="C482" s="24">
        <v>3.1552090011135485</v>
      </c>
      <c r="D482" s="24">
        <v>5.1891481586769476E-3</v>
      </c>
      <c r="E482" s="24">
        <v>0.32360228669421776</v>
      </c>
      <c r="F482" s="24">
        <v>1.6244035959243774</v>
      </c>
      <c r="G482" s="24">
        <v>28.102706648842826</v>
      </c>
      <c r="H482" s="24">
        <v>6.940905307412927E-2</v>
      </c>
      <c r="I482" s="24">
        <v>5.3379836082458496</v>
      </c>
      <c r="J482" s="24">
        <v>8.1278964877128601E-2</v>
      </c>
      <c r="K482" s="29">
        <f t="shared" si="92"/>
        <v>5.1067056714240833</v>
      </c>
      <c r="L482" s="24">
        <f t="shared" si="93"/>
        <v>344.39681502304427</v>
      </c>
      <c r="M482" s="24">
        <f t="shared" si="94"/>
        <v>2.0153802255542047E-4</v>
      </c>
      <c r="N482" s="24">
        <f t="shared" si="95"/>
        <v>3.2360228669421777E-4</v>
      </c>
      <c r="O482">
        <v>-3.0571143869565394E-3</v>
      </c>
      <c r="T482">
        <v>1.284797249640051E-6</v>
      </c>
      <c r="U482">
        <v>-3.0315349691410294E-3</v>
      </c>
    </row>
    <row r="483" spans="1:21" ht="15">
      <c r="A483" s="24">
        <v>40</v>
      </c>
      <c r="B483" s="24">
        <v>3.25</v>
      </c>
      <c r="C483" s="24">
        <v>3.4294847578400312</v>
      </c>
      <c r="D483" s="24">
        <v>2.2575095364493424E-3</v>
      </c>
      <c r="E483" s="24">
        <v>0.14076897177475342</v>
      </c>
      <c r="F483" s="24">
        <v>1.6245462894439697</v>
      </c>
      <c r="G483" s="24">
        <v>28.103362648882403</v>
      </c>
      <c r="H483" s="24">
        <v>7.7436248686833992E-2</v>
      </c>
      <c r="I483" s="24">
        <v>5.3649835586547852</v>
      </c>
      <c r="J483" s="24">
        <v>2.912505716085434E-2</v>
      </c>
      <c r="K483" s="29">
        <f t="shared" si="92"/>
        <v>5.1068736257821961</v>
      </c>
      <c r="L483" s="24">
        <f t="shared" si="93"/>
        <v>344.39515731352964</v>
      </c>
      <c r="M483" s="24">
        <f t="shared" si="94"/>
        <v>2.2484708928801158E-4</v>
      </c>
      <c r="N483" s="24">
        <f t="shared" si="95"/>
        <v>1.4076897177475343E-4</v>
      </c>
      <c r="O483">
        <v>-2.9676554325892366E-3</v>
      </c>
      <c r="T483">
        <v>0.2890145490934139</v>
      </c>
      <c r="U483">
        <v>0.23526528485836226</v>
      </c>
    </row>
    <row r="484" spans="1:21" ht="15">
      <c r="A484" s="24">
        <v>40</v>
      </c>
      <c r="B484" s="24">
        <v>3.5</v>
      </c>
      <c r="C484" s="24">
        <v>3.6150662422864466</v>
      </c>
      <c r="D484" s="24">
        <v>5.5055728068671163E-4</v>
      </c>
      <c r="E484" s="24">
        <v>3.4328721830305428E-2</v>
      </c>
      <c r="F484" s="24">
        <v>1.6246294975280762</v>
      </c>
      <c r="G484" s="24">
        <v>28.103744606173741</v>
      </c>
      <c r="H484" s="24">
        <v>6.2442173412902403E-2</v>
      </c>
      <c r="I484" s="24">
        <v>5.3149876594543457</v>
      </c>
      <c r="J484" s="24">
        <v>8.7955230847001076E-3</v>
      </c>
      <c r="K484" s="29">
        <f t="shared" si="92"/>
        <v>5.1069714197394411</v>
      </c>
      <c r="L484" s="24">
        <f t="shared" si="93"/>
        <v>344.39419208717175</v>
      </c>
      <c r="M484" s="24">
        <f t="shared" si="94"/>
        <v>1.8131018132006498E-4</v>
      </c>
      <c r="N484" s="24">
        <f t="shared" si="95"/>
        <v>3.4328721830305428E-5</v>
      </c>
      <c r="O484">
        <v>-3.1349033162752461E-3</v>
      </c>
      <c r="T484">
        <v>0.2415641907633001</v>
      </c>
      <c r="U484">
        <v>0.21826270731530631</v>
      </c>
    </row>
    <row r="485" spans="1:21" ht="15">
      <c r="A485" s="24">
        <v>40</v>
      </c>
      <c r="B485" s="24">
        <v>3.75</v>
      </c>
      <c r="C485" s="24">
        <v>3.8547327476100071</v>
      </c>
      <c r="D485" s="24">
        <v>1.4552742156163397E-4</v>
      </c>
      <c r="E485" s="24">
        <v>9.0739145528604646E-3</v>
      </c>
      <c r="F485" s="24">
        <v>1.6246491670608521</v>
      </c>
      <c r="G485" s="24">
        <v>28.103835237945887</v>
      </c>
      <c r="H485" s="24">
        <v>6.7524653825422387E-2</v>
      </c>
      <c r="I485" s="24">
        <v>5.3319864273071289</v>
      </c>
      <c r="J485" s="24">
        <v>2.1511050872504711E-3</v>
      </c>
      <c r="K485" s="29">
        <f t="shared" si="92"/>
        <v>5.1069946247703326</v>
      </c>
      <c r="L485" s="24">
        <f t="shared" si="93"/>
        <v>344.39396305351681</v>
      </c>
      <c r="M485" s="24">
        <f t="shared" si="94"/>
        <v>1.9606805307132938E-4</v>
      </c>
      <c r="N485" s="24">
        <f t="shared" si="95"/>
        <v>9.0739145528604643E-6</v>
      </c>
      <c r="O485">
        <v>-3.0782337181860771E-3</v>
      </c>
      <c r="T485">
        <v>0.19720765556813885</v>
      </c>
      <c r="U485">
        <v>0.19868189970651445</v>
      </c>
    </row>
    <row r="486" spans="1:21" ht="15">
      <c r="A486" s="24">
        <v>40</v>
      </c>
      <c r="B486" s="24">
        <v>4</v>
      </c>
      <c r="C486" s="24">
        <v>4.0548283188548258</v>
      </c>
      <c r="D486" s="24">
        <v>2.0605652610496974E-5</v>
      </c>
      <c r="E486" s="24">
        <v>1.2847972496400509E-3</v>
      </c>
      <c r="F486" s="24">
        <v>1.6246552467346191</v>
      </c>
      <c r="G486" s="24">
        <v>28.103863191147468</v>
      </c>
      <c r="H486" s="24">
        <v>7.171256716273032E-2</v>
      </c>
      <c r="I486" s="24">
        <v>5.3459858894348145</v>
      </c>
      <c r="J486" s="24">
        <v>2.8691496117971838E-4</v>
      </c>
      <c r="K486" s="29">
        <f t="shared" si="92"/>
        <v>5.1070017818253488</v>
      </c>
      <c r="L486" s="24">
        <f t="shared" si="93"/>
        <v>344.39389241338381</v>
      </c>
      <c r="M486" s="24">
        <f t="shared" si="94"/>
        <v>2.0822833604915413E-4</v>
      </c>
      <c r="N486" s="24">
        <f t="shared" si="95"/>
        <v>1.284797249640051E-6</v>
      </c>
      <c r="O486">
        <v>-3.0315349691410294E-3</v>
      </c>
      <c r="T486">
        <v>0.15689973515351213</v>
      </c>
      <c r="U486">
        <v>0.17630119960412999</v>
      </c>
    </row>
    <row r="487" spans="1:21" ht="15">
      <c r="K487" s="29"/>
      <c r="L487" s="24"/>
      <c r="M487" s="24"/>
      <c r="N487" s="24"/>
      <c r="T487">
        <v>0.12014992958708036</v>
      </c>
      <c r="U487">
        <v>0.15029374487525643</v>
      </c>
    </row>
    <row r="488" spans="1:21" ht="15">
      <c r="K488" s="29"/>
      <c r="L488" s="24"/>
      <c r="M488" s="24"/>
      <c r="N488" s="24"/>
      <c r="T488">
        <v>8.8593522004339786E-2</v>
      </c>
      <c r="U488">
        <v>0.12177344691412997</v>
      </c>
    </row>
    <row r="489" spans="1:21">
      <c r="B489" s="24" t="s">
        <v>268</v>
      </c>
      <c r="C489" s="24"/>
      <c r="D489" s="24"/>
      <c r="E489" s="24"/>
      <c r="F489" s="24"/>
      <c r="G489" s="24"/>
      <c r="H489" s="24"/>
      <c r="I489" s="24"/>
      <c r="J489" s="24"/>
      <c r="K489" s="19" t="s">
        <v>148</v>
      </c>
      <c r="L489" s="19" t="s">
        <v>292</v>
      </c>
      <c r="M489" s="24"/>
      <c r="N489" s="24"/>
      <c r="O489" s="24"/>
      <c r="T489">
        <v>6.2807275087476508E-2</v>
      </c>
      <c r="U489">
        <v>9.253367970273077E-2</v>
      </c>
    </row>
    <row r="490" spans="1:21">
      <c r="B490" s="25" t="s">
        <v>237</v>
      </c>
      <c r="C490" s="24" t="s">
        <v>154</v>
      </c>
      <c r="D490" s="24" t="s">
        <v>155</v>
      </c>
      <c r="E490" s="24" t="s">
        <v>156</v>
      </c>
      <c r="F490" s="24" t="s">
        <v>159</v>
      </c>
      <c r="G490" s="24" t="s">
        <v>238</v>
      </c>
      <c r="H490" s="24" t="s">
        <v>157</v>
      </c>
      <c r="I490" s="24" t="s">
        <v>160</v>
      </c>
      <c r="J490" s="24" t="s">
        <v>265</v>
      </c>
      <c r="K490" s="27" t="s">
        <v>341</v>
      </c>
      <c r="L490" s="27" t="s">
        <v>342</v>
      </c>
      <c r="M490" s="19" t="s">
        <v>343</v>
      </c>
      <c r="N490" s="19" t="s">
        <v>288</v>
      </c>
      <c r="O490" s="19" t="s">
        <v>344</v>
      </c>
      <c r="T490">
        <v>4.0241088836952474E-2</v>
      </c>
      <c r="U490">
        <v>6.1101378920994688E-2</v>
      </c>
    </row>
    <row r="491" spans="1:21" ht="15">
      <c r="A491" s="24">
        <v>40</v>
      </c>
      <c r="B491" s="24">
        <v>0</v>
      </c>
      <c r="C491" s="24">
        <v>0.90009528567253816</v>
      </c>
      <c r="D491" s="24">
        <v>4.0812175960493775</v>
      </c>
      <c r="E491" s="24">
        <v>289.0145490934139</v>
      </c>
      <c r="F491" s="24">
        <v>1.4304723739624023</v>
      </c>
      <c r="G491" s="24">
        <v>27.19063146916152</v>
      </c>
      <c r="H491" s="24">
        <v>21.370198112557944</v>
      </c>
      <c r="I491" s="24">
        <v>28.015892028808594</v>
      </c>
      <c r="J491" s="24">
        <v>0.62432634830474854</v>
      </c>
      <c r="K491" s="29">
        <f t="shared" ref="K491:K507" si="96">0.1013*42.75*EXP((37830*((G491+273.15)-298))/(298*$H$26*(G491+273.15)))</f>
        <v>4.8777733139010611</v>
      </c>
      <c r="L491" s="24">
        <f t="shared" ref="L491:L507" si="97">(A491-K491)*9.87</f>
        <v>346.65637739179652</v>
      </c>
      <c r="M491" s="24">
        <f t="shared" ref="M491:M507" si="98">H491/L491</f>
        <v>6.164663195682394E-2</v>
      </c>
      <c r="N491" s="24">
        <f t="shared" ref="N491:N507" si="99">E491*0.001</f>
        <v>0.2890145490934139</v>
      </c>
      <c r="O491">
        <v>0.23526528485836226</v>
      </c>
      <c r="P491" t="s">
        <v>313</v>
      </c>
      <c r="Q491">
        <v>2.5443006783671188E-2</v>
      </c>
      <c r="T491">
        <v>2.4931036527691006E-2</v>
      </c>
      <c r="U491">
        <v>3.5847089088051357E-2</v>
      </c>
    </row>
    <row r="492" spans="1:21" ht="15">
      <c r="A492" s="24">
        <v>40</v>
      </c>
      <c r="B492" s="24">
        <v>0.25</v>
      </c>
      <c r="C492" s="24">
        <v>1.0308610487470646</v>
      </c>
      <c r="D492" s="24">
        <v>3.4782268881645675</v>
      </c>
      <c r="E492" s="24">
        <v>241.5641907633001</v>
      </c>
      <c r="F492" s="24">
        <v>1.4585952758789062</v>
      </c>
      <c r="G492" s="24">
        <v>27.325560080497588</v>
      </c>
      <c r="H492" s="24">
        <v>20.27625822625782</v>
      </c>
      <c r="I492" s="24">
        <v>26.396194458007813</v>
      </c>
      <c r="J492" s="24">
        <v>0.48244553804397583</v>
      </c>
      <c r="K492" s="29">
        <f t="shared" si="96"/>
        <v>4.9110686003516353</v>
      </c>
      <c r="L492" s="24">
        <f t="shared" si="97"/>
        <v>346.32775291452936</v>
      </c>
      <c r="M492" s="24">
        <f t="shared" si="98"/>
        <v>5.8546443522422019E-2</v>
      </c>
      <c r="N492" s="24">
        <f t="shared" si="99"/>
        <v>0.2415641907633001</v>
      </c>
      <c r="O492">
        <v>0.21826270731530631</v>
      </c>
      <c r="P492" t="s">
        <v>314</v>
      </c>
      <c r="Q492">
        <v>231.11897875039111</v>
      </c>
      <c r="T492">
        <v>1.3723929084668766E-2</v>
      </c>
      <c r="U492">
        <v>1.4985384074465672E-2</v>
      </c>
    </row>
    <row r="493" spans="1:21" ht="15">
      <c r="A493" s="24">
        <v>40</v>
      </c>
      <c r="B493" s="24">
        <v>0.5</v>
      </c>
      <c r="C493" s="24">
        <v>1.1752672454917545</v>
      </c>
      <c r="D493" s="24">
        <v>2.8930415644345731</v>
      </c>
      <c r="E493" s="24">
        <v>197.20765556813885</v>
      </c>
      <c r="F493" s="24">
        <v>1.4860737323760986</v>
      </c>
      <c r="G493" s="24">
        <v>27.456504458367203</v>
      </c>
      <c r="H493" s="24">
        <v>18.891061611901979</v>
      </c>
      <c r="I493" s="24">
        <v>24.475484848022461</v>
      </c>
      <c r="J493" s="24">
        <v>0.36160415410995483</v>
      </c>
      <c r="K493" s="29">
        <f t="shared" si="96"/>
        <v>4.9435691516251019</v>
      </c>
      <c r="L493" s="24">
        <f t="shared" si="97"/>
        <v>346.00697247346028</v>
      </c>
      <c r="M493" s="24">
        <f t="shared" si="98"/>
        <v>5.4597343738068682E-2</v>
      </c>
      <c r="N493" s="24">
        <f t="shared" si="99"/>
        <v>0.19720765556813885</v>
      </c>
      <c r="O493">
        <v>0.19868189970651445</v>
      </c>
      <c r="P493" t="s">
        <v>312</v>
      </c>
      <c r="Q493">
        <v>-1.3722053973632636E-2</v>
      </c>
      <c r="T493">
        <v>7.3899943748021255E-3</v>
      </c>
      <c r="U493">
        <v>2.1960791186321025E-3</v>
      </c>
    </row>
    <row r="494" spans="1:21" ht="15">
      <c r="A494" s="24">
        <v>40</v>
      </c>
      <c r="B494" s="24">
        <v>0.75</v>
      </c>
      <c r="C494" s="24">
        <v>1.3447266815273917</v>
      </c>
      <c r="D494" s="24">
        <v>2.342057321685981</v>
      </c>
      <c r="E494" s="24">
        <v>156.89973515351213</v>
      </c>
      <c r="F494" s="24">
        <v>1.5121147632598877</v>
      </c>
      <c r="G494" s="24">
        <v>27.579795808913726</v>
      </c>
      <c r="H494" s="24">
        <v>17.176616551132135</v>
      </c>
      <c r="I494" s="24">
        <v>22.256792068481445</v>
      </c>
      <c r="J494" s="24">
        <v>0.28168445825576782</v>
      </c>
      <c r="K494" s="29">
        <f t="shared" si="96"/>
        <v>4.9743406643119528</v>
      </c>
      <c r="L494" s="24">
        <f t="shared" si="97"/>
        <v>345.70325764324099</v>
      </c>
      <c r="M494" s="24">
        <f t="shared" si="98"/>
        <v>4.9686012993427064E-2</v>
      </c>
      <c r="N494" s="24">
        <f t="shared" si="99"/>
        <v>0.15689973515351213</v>
      </c>
      <c r="O494">
        <v>0.17630119960412999</v>
      </c>
      <c r="P494" t="s">
        <v>327</v>
      </c>
      <c r="R494">
        <v>7.3394110154984774E-2</v>
      </c>
      <c r="T494">
        <v>3.3899097982648951E-3</v>
      </c>
      <c r="U494">
        <v>-6.2792620540999926E-3</v>
      </c>
    </row>
    <row r="495" spans="1:21" ht="15">
      <c r="A495" s="24">
        <v>40</v>
      </c>
      <c r="B495" s="24">
        <v>1</v>
      </c>
      <c r="C495" s="24">
        <v>1.525058262809335</v>
      </c>
      <c r="D495" s="24">
        <v>1.8227776440271113</v>
      </c>
      <c r="E495" s="24">
        <v>120.14992958708035</v>
      </c>
      <c r="F495" s="24">
        <v>1.5368080139160156</v>
      </c>
      <c r="G495" s="24">
        <v>27.695992766653472</v>
      </c>
      <c r="H495" s="24">
        <v>15.051310068862149</v>
      </c>
      <c r="I495" s="24">
        <v>19.69708251953125</v>
      </c>
      <c r="J495" s="24">
        <v>0.21380375325679779</v>
      </c>
      <c r="K495" s="29">
        <f t="shared" si="96"/>
        <v>5.0034935414459598</v>
      </c>
      <c r="L495" s="24">
        <f t="shared" si="97"/>
        <v>345.4155187459283</v>
      </c>
      <c r="M495" s="24">
        <f t="shared" si="98"/>
        <v>4.3574504479438857E-2</v>
      </c>
      <c r="N495" s="24">
        <f t="shared" si="99"/>
        <v>0.12014992958708036</v>
      </c>
      <c r="O495">
        <v>0.15029374487525643</v>
      </c>
      <c r="P495" t="s">
        <v>328</v>
      </c>
      <c r="R495">
        <v>15</v>
      </c>
      <c r="T495">
        <v>1.1396323416889068E-3</v>
      </c>
      <c r="U495">
        <v>-1.1051056568573416E-2</v>
      </c>
    </row>
    <row r="496" spans="1:21" ht="15">
      <c r="A496" s="24">
        <v>40</v>
      </c>
      <c r="B496" s="24">
        <v>1.25</v>
      </c>
      <c r="C496" s="24">
        <v>1.7246968179567701</v>
      </c>
      <c r="D496" s="24">
        <v>1.3632576503106477</v>
      </c>
      <c r="E496" s="24">
        <v>88.593522004339789</v>
      </c>
      <c r="F496" s="24">
        <v>1.5587821006774902</v>
      </c>
      <c r="G496" s="24">
        <v>27.798817559511086</v>
      </c>
      <c r="H496" s="24">
        <v>12.599629464250677</v>
      </c>
      <c r="I496" s="24">
        <v>16.950334548950195</v>
      </c>
      <c r="J496" s="24">
        <v>0.16644734144210815</v>
      </c>
      <c r="K496" s="29">
        <f t="shared" si="96"/>
        <v>5.0294149838872251</v>
      </c>
      <c r="L496" s="24">
        <f t="shared" si="97"/>
        <v>345.15967410903312</v>
      </c>
      <c r="M496" s="24">
        <f t="shared" si="98"/>
        <v>3.6503770310869391E-2</v>
      </c>
      <c r="N496" s="24">
        <f t="shared" si="99"/>
        <v>8.8593522004339786E-2</v>
      </c>
      <c r="O496">
        <v>0.12177344691412997</v>
      </c>
      <c r="P496" t="s">
        <v>329</v>
      </c>
      <c r="R496">
        <v>2.3112903921811503E-2</v>
      </c>
      <c r="T496">
        <v>4.9141544034444638E-4</v>
      </c>
      <c r="U496">
        <v>-1.0527003000665568E-2</v>
      </c>
    </row>
    <row r="497" spans="1:21" ht="15">
      <c r="A497" s="24">
        <v>40</v>
      </c>
      <c r="B497" s="24">
        <v>1.5</v>
      </c>
      <c r="C497" s="24">
        <v>1.934840754555309</v>
      </c>
      <c r="D497" s="24">
        <v>0.97794395963868042</v>
      </c>
      <c r="E497" s="24">
        <v>62.807275087476512</v>
      </c>
      <c r="F497" s="24">
        <v>1.5772969722747803</v>
      </c>
      <c r="G497" s="24">
        <v>27.885037530285619</v>
      </c>
      <c r="H497" s="24">
        <v>9.989881175581818</v>
      </c>
      <c r="I497" s="24">
        <v>14.220538139343262</v>
      </c>
      <c r="J497" s="24">
        <v>0.13463509082794189</v>
      </c>
      <c r="K497" s="29">
        <f t="shared" si="96"/>
        <v>5.0512402010019821</v>
      </c>
      <c r="L497" s="24">
        <f t="shared" si="97"/>
        <v>344.94425921611042</v>
      </c>
      <c r="M497" s="24">
        <f t="shared" si="98"/>
        <v>2.8960856453398968E-2</v>
      </c>
      <c r="N497" s="24">
        <f t="shared" si="99"/>
        <v>6.2807275087476508E-2</v>
      </c>
      <c r="O497">
        <v>9.253367970273077E-2</v>
      </c>
      <c r="P497" t="s">
        <v>315</v>
      </c>
      <c r="R497">
        <v>0.9437849985644019</v>
      </c>
      <c r="T497">
        <v>1.1971297748473123E-4</v>
      </c>
      <c r="U497">
        <v>-1.1150800573871612E-2</v>
      </c>
    </row>
    <row r="498" spans="1:21" ht="15">
      <c r="A498" s="24">
        <v>40</v>
      </c>
      <c r="B498" s="24">
        <v>1.75</v>
      </c>
      <c r="C498" s="24">
        <v>2.1297758232999011</v>
      </c>
      <c r="D498" s="24">
        <v>0.63318434168605986</v>
      </c>
      <c r="E498" s="24">
        <v>40.241088836952471</v>
      </c>
      <c r="F498" s="24">
        <v>1.5939323902130127</v>
      </c>
      <c r="G498" s="24">
        <v>27.962182892373001</v>
      </c>
      <c r="H498" s="24">
        <v>7.1037299432914915</v>
      </c>
      <c r="I498" s="24">
        <v>11.39268684387207</v>
      </c>
      <c r="J498" s="24">
        <v>0.10576100647449493</v>
      </c>
      <c r="K498" s="29">
        <f t="shared" si="96"/>
        <v>5.0708379368200474</v>
      </c>
      <c r="L498" s="24">
        <f t="shared" si="97"/>
        <v>344.75082956358608</v>
      </c>
      <c r="M498" s="24">
        <f t="shared" si="98"/>
        <v>2.0605403480200402E-2</v>
      </c>
      <c r="N498" s="24">
        <f t="shared" si="99"/>
        <v>4.0241088836952474E-2</v>
      </c>
      <c r="O498">
        <v>6.1101378920994688E-2</v>
      </c>
      <c r="T498">
        <v>3.1794218412228849E-5</v>
      </c>
      <c r="U498">
        <v>-1.0929035873861088E-2</v>
      </c>
    </row>
    <row r="499" spans="1:21" ht="15">
      <c r="A499" s="24">
        <v>40</v>
      </c>
      <c r="B499" s="24">
        <v>2</v>
      </c>
      <c r="C499" s="24">
        <v>2.3448565705971971</v>
      </c>
      <c r="D499" s="24">
        <v>0.39512070120868137</v>
      </c>
      <c r="E499" s="24">
        <v>24.931036527691006</v>
      </c>
      <c r="F499" s="24">
        <v>1.6054577827453613</v>
      </c>
      <c r="G499" s="24">
        <v>28.01545335906377</v>
      </c>
      <c r="H499" s="24">
        <v>4.7377425785952552</v>
      </c>
      <c r="I499" s="24">
        <v>9.2018356323242187</v>
      </c>
      <c r="J499" s="24">
        <v>9.3361452221870422E-2</v>
      </c>
      <c r="K499" s="29">
        <f t="shared" si="96"/>
        <v>5.084409052783454</v>
      </c>
      <c r="L499" s="24">
        <f t="shared" si="97"/>
        <v>344.61688264902727</v>
      </c>
      <c r="M499" s="24">
        <f t="shared" si="98"/>
        <v>1.3747853970986027E-2</v>
      </c>
      <c r="N499" s="24">
        <f t="shared" si="99"/>
        <v>2.4931036527691006E-2</v>
      </c>
      <c r="O499">
        <v>3.5847089088051357E-2</v>
      </c>
      <c r="T499">
        <v>4.5017771701230025E-6</v>
      </c>
      <c r="U499">
        <v>-1.0756096906911086E-2</v>
      </c>
    </row>
    <row r="500" spans="1:21" ht="15">
      <c r="A500" s="24">
        <v>40</v>
      </c>
      <c r="B500" s="24">
        <v>2.25</v>
      </c>
      <c r="C500" s="24">
        <v>2.5450865811651049</v>
      </c>
      <c r="D500" s="24">
        <v>0.21866444452772113</v>
      </c>
      <c r="E500" s="24">
        <v>13.723929084668766</v>
      </c>
      <c r="F500" s="24">
        <v>1.6140209436416626</v>
      </c>
      <c r="G500" s="24">
        <v>28.054938209102403</v>
      </c>
      <c r="H500" s="24">
        <v>2.7574231894197738</v>
      </c>
      <c r="I500" s="24">
        <v>7.4458880424499512</v>
      </c>
      <c r="J500" s="24">
        <v>8.3876319229602814E-2</v>
      </c>
      <c r="K500" s="29">
        <f t="shared" si="96"/>
        <v>5.09448848714998</v>
      </c>
      <c r="L500" s="24">
        <f t="shared" si="97"/>
        <v>344.51739863182968</v>
      </c>
      <c r="M500" s="24">
        <f t="shared" si="98"/>
        <v>8.00372695361754E-3</v>
      </c>
      <c r="N500" s="24">
        <f t="shared" si="99"/>
        <v>1.3723929084668766E-2</v>
      </c>
      <c r="O500">
        <v>1.4985384074465672E-2</v>
      </c>
      <c r="T500">
        <v>0.28897487702424146</v>
      </c>
      <c r="U500">
        <v>0.24006330641932447</v>
      </c>
    </row>
    <row r="501" spans="1:21" ht="15">
      <c r="A501" s="24">
        <v>40</v>
      </c>
      <c r="B501" s="24">
        <v>2.5</v>
      </c>
      <c r="C501" s="24">
        <v>2.774936530041844</v>
      </c>
      <c r="D501" s="24">
        <v>0.11810193913962869</v>
      </c>
      <c r="E501" s="24">
        <v>7.3899943748021251</v>
      </c>
      <c r="F501" s="24">
        <v>1.6189087629318237</v>
      </c>
      <c r="G501" s="24">
        <v>28.077440644093631</v>
      </c>
      <c r="H501" s="24">
        <v>1.5332832972598667</v>
      </c>
      <c r="I501" s="24">
        <v>6.3929839134216309</v>
      </c>
      <c r="J501" s="24">
        <v>7.6104030013084412E-2</v>
      </c>
      <c r="K501" s="29">
        <f t="shared" si="96"/>
        <v>5.1002405131898403</v>
      </c>
      <c r="L501" s="24">
        <f t="shared" si="97"/>
        <v>344.46062613481627</v>
      </c>
      <c r="M501" s="24">
        <f t="shared" si="98"/>
        <v>4.4512585210820721E-3</v>
      </c>
      <c r="N501" s="24">
        <f t="shared" si="99"/>
        <v>7.3899943748021255E-3</v>
      </c>
      <c r="O501">
        <v>2.1960791186321025E-3</v>
      </c>
      <c r="T501">
        <v>0.19198487881257276</v>
      </c>
      <c r="U501">
        <v>0.20094984874827462</v>
      </c>
    </row>
    <row r="502" spans="1:21" ht="15">
      <c r="A502" s="24">
        <v>40</v>
      </c>
      <c r="B502" s="24">
        <v>2.75</v>
      </c>
      <c r="C502" s="24">
        <v>2.9849180617040791</v>
      </c>
      <c r="D502" s="24">
        <v>5.4279174049021384E-2</v>
      </c>
      <c r="E502" s="24">
        <v>3.3899097982648949</v>
      </c>
      <c r="F502" s="24">
        <v>1.6220138072967529</v>
      </c>
      <c r="G502" s="24">
        <v>28.091721986994436</v>
      </c>
      <c r="H502" s="24">
        <v>0.71819105702717001</v>
      </c>
      <c r="I502" s="24">
        <v>5.7049360275268555</v>
      </c>
      <c r="J502" s="24">
        <v>5.8390222489833832E-2</v>
      </c>
      <c r="K502" s="29">
        <f t="shared" si="96"/>
        <v>5.1038940026413746</v>
      </c>
      <c r="L502" s="24">
        <f t="shared" si="97"/>
        <v>344.42456619392959</v>
      </c>
      <c r="M502" s="24">
        <f t="shared" si="98"/>
        <v>2.0851911492944719E-3</v>
      </c>
      <c r="N502" s="24">
        <f t="shared" si="99"/>
        <v>3.3899097982648951E-3</v>
      </c>
      <c r="O502">
        <v>-6.2792620540999926E-3</v>
      </c>
      <c r="T502">
        <v>0.12053736720927119</v>
      </c>
      <c r="U502">
        <v>0.15490836922637552</v>
      </c>
    </row>
    <row r="503" spans="1:21" ht="15">
      <c r="A503" s="24">
        <v>40</v>
      </c>
      <c r="B503" s="24">
        <v>3</v>
      </c>
      <c r="C503" s="24">
        <v>3.1552091256537369</v>
      </c>
      <c r="D503" s="24">
        <v>1.8267493652600546E-2</v>
      </c>
      <c r="E503" s="24">
        <v>1.1396323416889067</v>
      </c>
      <c r="F503" s="24">
        <v>1.6237667798995972</v>
      </c>
      <c r="G503" s="24">
        <v>28.099780164283459</v>
      </c>
      <c r="H503" s="24">
        <v>0.25799647786803565</v>
      </c>
      <c r="I503" s="24">
        <v>5.3209776878356934</v>
      </c>
      <c r="J503" s="24">
        <v>7.096584141254425E-2</v>
      </c>
      <c r="K503" s="29">
        <f t="shared" si="96"/>
        <v>5.1059564678985296</v>
      </c>
      <c r="L503" s="24">
        <f t="shared" si="97"/>
        <v>344.40420966184149</v>
      </c>
      <c r="M503" s="24">
        <f t="shared" si="98"/>
        <v>7.4910953649885237E-4</v>
      </c>
      <c r="N503" s="24">
        <f t="shared" si="99"/>
        <v>1.1396323416889068E-3</v>
      </c>
      <c r="O503">
        <v>-1.1051056568573416E-2</v>
      </c>
      <c r="T503">
        <v>5.858311033805972E-2</v>
      </c>
      <c r="U503">
        <v>8.9993302904320324E-2</v>
      </c>
    </row>
    <row r="504" spans="1:21" ht="15">
      <c r="A504" s="24">
        <v>40</v>
      </c>
      <c r="B504" s="24">
        <v>3.25</v>
      </c>
      <c r="C504" s="24">
        <v>3.4294849487738759</v>
      </c>
      <c r="D504" s="24">
        <v>7.8794927449815418E-3</v>
      </c>
      <c r="E504" s="24">
        <v>0.4914154403444464</v>
      </c>
      <c r="F504" s="24">
        <v>1.6242725849151611</v>
      </c>
      <c r="G504" s="24">
        <v>28.102104642121496</v>
      </c>
      <c r="H504" s="24">
        <v>0.30870514764679041</v>
      </c>
      <c r="I504" s="24">
        <v>5.363980770111084</v>
      </c>
      <c r="J504" s="24">
        <v>2.54985261708498E-2</v>
      </c>
      <c r="K504" s="29">
        <f t="shared" si="96"/>
        <v>5.1065515450824135</v>
      </c>
      <c r="L504" s="24">
        <f t="shared" si="97"/>
        <v>344.39833625003655</v>
      </c>
      <c r="M504" s="24">
        <f t="shared" si="98"/>
        <v>8.9636074032212361E-4</v>
      </c>
      <c r="N504" s="24">
        <f t="shared" si="99"/>
        <v>4.9141544034444638E-4</v>
      </c>
      <c r="O504">
        <v>-1.0527003000665568E-2</v>
      </c>
      <c r="T504">
        <v>2.4081614887324819E-2</v>
      </c>
      <c r="U504">
        <v>3.5755058371982493E-2</v>
      </c>
    </row>
    <row r="505" spans="1:21" ht="15">
      <c r="A505" s="24">
        <v>40</v>
      </c>
      <c r="B505" s="24">
        <v>3.5</v>
      </c>
      <c r="C505" s="24">
        <v>3.6150663255895497</v>
      </c>
      <c r="D505" s="24">
        <v>1.9198543563310705E-3</v>
      </c>
      <c r="E505" s="24">
        <v>0.11971297748473123</v>
      </c>
      <c r="F505" s="24">
        <v>1.6245627403259277</v>
      </c>
      <c r="G505" s="24">
        <v>28.1034382045153</v>
      </c>
      <c r="H505" s="24">
        <v>0.24847522214848347</v>
      </c>
      <c r="I505" s="24">
        <v>5.3139867782592773</v>
      </c>
      <c r="J505" s="24">
        <v>7.707446813583374E-3</v>
      </c>
      <c r="K505" s="29">
        <f t="shared" si="96"/>
        <v>5.1068929704452426</v>
      </c>
      <c r="L505" s="24">
        <f t="shared" si="97"/>
        <v>344.39496638170539</v>
      </c>
      <c r="M505" s="24">
        <f t="shared" si="98"/>
        <v>7.2148331538937009E-4</v>
      </c>
      <c r="N505" s="24">
        <f t="shared" si="99"/>
        <v>1.1971297748473123E-4</v>
      </c>
      <c r="O505">
        <v>-1.1150800573871612E-2</v>
      </c>
      <c r="T505">
        <v>6.9284073769385456E-3</v>
      </c>
      <c r="U505">
        <v>1.6283506690703345E-3</v>
      </c>
    </row>
    <row r="506" spans="1:21" ht="15">
      <c r="A506" s="24">
        <v>40</v>
      </c>
      <c r="B506" s="24">
        <v>3.75</v>
      </c>
      <c r="C506" s="24">
        <v>3.8547328141844952</v>
      </c>
      <c r="D506" s="24">
        <v>5.0991003523920937E-4</v>
      </c>
      <c r="E506" s="24">
        <v>3.1794218412228847E-2</v>
      </c>
      <c r="F506" s="24">
        <v>1.624631404876709</v>
      </c>
      <c r="G506" s="24">
        <v>28.103753701631287</v>
      </c>
      <c r="H506" s="24">
        <v>0.26991624654463775</v>
      </c>
      <c r="I506" s="24">
        <v>5.3319864273071289</v>
      </c>
      <c r="J506" s="24">
        <v>1.8856110982596874E-3</v>
      </c>
      <c r="K506" s="29">
        <f t="shared" si="96"/>
        <v>5.1069737485033357</v>
      </c>
      <c r="L506" s="24">
        <f t="shared" si="97"/>
        <v>344.39416910227203</v>
      </c>
      <c r="M506" s="24">
        <f t="shared" si="98"/>
        <v>7.8374220808739316E-4</v>
      </c>
      <c r="N506" s="24">
        <f t="shared" si="99"/>
        <v>3.1794218412228849E-5</v>
      </c>
      <c r="O506">
        <v>-1.0929035873861088E-2</v>
      </c>
      <c r="T506">
        <v>9.9425927368852166E-4</v>
      </c>
      <c r="U506">
        <v>-1.1397327537346935E-2</v>
      </c>
    </row>
    <row r="507" spans="1:21" ht="15">
      <c r="A507" s="24">
        <v>40</v>
      </c>
      <c r="B507" s="24">
        <v>4</v>
      </c>
      <c r="C507" s="24">
        <v>4.054828373331941</v>
      </c>
      <c r="D507" s="24">
        <v>7.219965100732188E-5</v>
      </c>
      <c r="E507" s="24">
        <v>4.5017771701230027E-3</v>
      </c>
      <c r="F507" s="24">
        <v>1.6246527433395386</v>
      </c>
      <c r="G507" s="24">
        <v>28.103851646182569</v>
      </c>
      <c r="H507" s="24">
        <v>0.28663250562522935</v>
      </c>
      <c r="I507" s="24">
        <v>5.3459858894348145</v>
      </c>
      <c r="J507" s="24">
        <v>2.5152525631710887E-4</v>
      </c>
      <c r="K507" s="29">
        <f t="shared" si="96"/>
        <v>5.1069988258856505</v>
      </c>
      <c r="L507" s="24">
        <f t="shared" si="97"/>
        <v>344.39392158850859</v>
      </c>
      <c r="M507" s="24">
        <f t="shared" si="98"/>
        <v>8.3228096565451525E-4</v>
      </c>
      <c r="N507" s="24">
        <f t="shared" si="99"/>
        <v>4.5017771701230025E-6</v>
      </c>
      <c r="O507">
        <v>-1.0756096906911086E-2</v>
      </c>
      <c r="T507">
        <v>9.8029509195862347E-5</v>
      </c>
      <c r="U507">
        <v>-1.1600705968105796E-2</v>
      </c>
    </row>
    <row r="508" spans="1:21" ht="15">
      <c r="K508" s="29"/>
      <c r="L508" s="24"/>
      <c r="M508" s="24"/>
      <c r="N508" s="24"/>
      <c r="T508">
        <v>9.3085692700445294E-7</v>
      </c>
      <c r="U508">
        <v>-1.3177323355572994E-2</v>
      </c>
    </row>
    <row r="509" spans="1:21">
      <c r="B509" s="24" t="s">
        <v>269</v>
      </c>
      <c r="C509" s="24"/>
      <c r="D509" s="24"/>
      <c r="E509" s="24"/>
      <c r="F509" s="24"/>
      <c r="G509" s="24"/>
      <c r="H509" s="24"/>
      <c r="I509" s="24"/>
      <c r="J509" s="24"/>
      <c r="K509" s="19" t="s">
        <v>148</v>
      </c>
      <c r="L509" s="19" t="s">
        <v>292</v>
      </c>
      <c r="M509" s="24"/>
      <c r="N509" s="24"/>
      <c r="O509" s="24"/>
      <c r="T509">
        <v>0.28850517538710652</v>
      </c>
      <c r="U509">
        <v>0.23120993090714581</v>
      </c>
    </row>
    <row r="510" spans="1:21">
      <c r="B510" s="25" t="s">
        <v>237</v>
      </c>
      <c r="C510" s="24" t="s">
        <v>154</v>
      </c>
      <c r="D510" s="24" t="s">
        <v>155</v>
      </c>
      <c r="E510" s="24" t="s">
        <v>156</v>
      </c>
      <c r="F510" s="24" t="s">
        <v>159</v>
      </c>
      <c r="G510" s="24" t="s">
        <v>238</v>
      </c>
      <c r="H510" s="24" t="s">
        <v>157</v>
      </c>
      <c r="I510" s="24" t="s">
        <v>160</v>
      </c>
      <c r="J510" s="24" t="s">
        <v>265</v>
      </c>
      <c r="K510" s="27" t="s">
        <v>341</v>
      </c>
      <c r="L510" s="27" t="s">
        <v>342</v>
      </c>
      <c r="M510" s="19" t="s">
        <v>343</v>
      </c>
      <c r="N510" s="19" t="s">
        <v>288</v>
      </c>
      <c r="O510" s="19" t="s">
        <v>344</v>
      </c>
      <c r="T510">
        <v>0.25639848081697886</v>
      </c>
      <c r="U510">
        <v>0.22046782636926054</v>
      </c>
    </row>
    <row r="511" spans="1:21" ht="15">
      <c r="A511" s="24">
        <v>40</v>
      </c>
      <c r="B511" s="24">
        <v>0</v>
      </c>
      <c r="C511" s="24">
        <v>0.44998927597080646</v>
      </c>
      <c r="D511" s="24">
        <v>4.0807229629629544</v>
      </c>
      <c r="E511" s="24">
        <v>288.97487702424144</v>
      </c>
      <c r="F511" s="24">
        <v>1.4304953813552856</v>
      </c>
      <c r="G511" s="24">
        <v>27.190742151058604</v>
      </c>
      <c r="H511" s="24">
        <v>21.369530555170325</v>
      </c>
      <c r="I511" s="24">
        <v>28.01487922668457</v>
      </c>
      <c r="J511" s="24">
        <v>0.62966090440750122</v>
      </c>
      <c r="K511" s="29">
        <f>0.1013*42.75*EXP((37830*((G511+273.15)-298))/(298*$H$26*(G511+273.15)))</f>
        <v>4.8778005455151723</v>
      </c>
      <c r="L511" s="24">
        <f>(A511-K511)*9.87</f>
        <v>346.65610861576522</v>
      </c>
      <c r="M511" s="24">
        <f>H511/L511</f>
        <v>6.1644754048907825E-2</v>
      </c>
      <c r="N511" s="24">
        <f>E511*0.001</f>
        <v>0.28897487702424146</v>
      </c>
      <c r="O511">
        <v>0.24006330641932447</v>
      </c>
      <c r="P511" t="s">
        <v>313</v>
      </c>
      <c r="Q511">
        <v>0.18901312725356223</v>
      </c>
      <c r="T511">
        <v>0.22553541968741764</v>
      </c>
      <c r="U511">
        <v>0.20858231559768706</v>
      </c>
    </row>
    <row r="512" spans="1:21" ht="15">
      <c r="A512" s="24">
        <v>40</v>
      </c>
      <c r="B512" s="24">
        <v>0.25</v>
      </c>
      <c r="C512" s="24">
        <v>0.58009289206597081</v>
      </c>
      <c r="D512" s="24">
        <v>2.8227061465020649</v>
      </c>
      <c r="E512" s="24">
        <v>191.98487881257276</v>
      </c>
      <c r="F512" s="24">
        <v>1.4893888235092163</v>
      </c>
      <c r="G512" s="24">
        <v>27.47224310930374</v>
      </c>
      <c r="H512" s="24">
        <v>18.697176153193016</v>
      </c>
      <c r="I512" s="24">
        <v>24.21649169921875</v>
      </c>
      <c r="J512" s="24">
        <v>0.35075810551643372</v>
      </c>
      <c r="K512" s="29">
        <f t="shared" ref="K512:K519" si="100">0.1013*42.75*EXP((37830*((G512+273.15)-298))/(298*$H$26*(G512+273.15)))</f>
        <v>4.9474880411163866</v>
      </c>
      <c r="L512" s="24">
        <f t="shared" ref="L512:L519" si="101">(A512-K512)*9.87</f>
        <v>345.96829303418122</v>
      </c>
      <c r="M512" s="24">
        <f t="shared" ref="M512:M519" si="102">H512/L512</f>
        <v>5.4043033797162909E-2</v>
      </c>
      <c r="N512" s="24">
        <f t="shared" ref="N512:N519" si="103">E512*0.001</f>
        <v>0.19198487881257276</v>
      </c>
      <c r="O512">
        <v>0.20094984874827462</v>
      </c>
      <c r="P512" t="s">
        <v>314</v>
      </c>
      <c r="Q512">
        <v>35.284474880725213</v>
      </c>
      <c r="T512">
        <v>0.19906523433482945</v>
      </c>
      <c r="U512">
        <v>0.19681275552873687</v>
      </c>
    </row>
    <row r="513" spans="1:21" ht="15">
      <c r="A513" s="24">
        <v>40</v>
      </c>
      <c r="B513" s="24">
        <v>0.5</v>
      </c>
      <c r="C513" s="24">
        <v>0.76479153023637769</v>
      </c>
      <c r="D513" s="24">
        <v>1.8283397569492594</v>
      </c>
      <c r="E513" s="24">
        <v>120.53736720927118</v>
      </c>
      <c r="F513" s="24">
        <v>1.5365427732467651</v>
      </c>
      <c r="G513" s="24">
        <v>27.694748156806476</v>
      </c>
      <c r="H513" s="24">
        <v>15.077126773176373</v>
      </c>
      <c r="I513" s="24">
        <v>19.727088928222656</v>
      </c>
      <c r="J513" s="24">
        <v>0.21369744837284088</v>
      </c>
      <c r="K513" s="29">
        <f t="shared" si="100"/>
        <v>5.0031804951079497</v>
      </c>
      <c r="L513" s="24">
        <f t="shared" si="101"/>
        <v>345.41860851328454</v>
      </c>
      <c r="M513" s="24">
        <f t="shared" si="102"/>
        <v>4.3648855045968139E-2</v>
      </c>
      <c r="N513" s="24">
        <f t="shared" si="103"/>
        <v>0.12053736720927119</v>
      </c>
      <c r="O513">
        <v>0.15490836922637552</v>
      </c>
      <c r="P513" t="s">
        <v>312</v>
      </c>
      <c r="Q513">
        <v>-1.3793326972994102E-2</v>
      </c>
      <c r="T513">
        <v>0.1734062018399451</v>
      </c>
      <c r="U513">
        <v>0.18361488754274805</v>
      </c>
    </row>
    <row r="514" spans="1:21" ht="15">
      <c r="A514" s="24">
        <v>40</v>
      </c>
      <c r="B514" s="24">
        <v>0.75</v>
      </c>
      <c r="C514" s="24">
        <v>0.94994434491564583</v>
      </c>
      <c r="D514" s="24">
        <v>0.91395414516997775</v>
      </c>
      <c r="E514" s="24">
        <v>58.583110338059718</v>
      </c>
      <c r="F514" s="24">
        <v>1.5803796052932739</v>
      </c>
      <c r="G514" s="24">
        <v>27.899356253100105</v>
      </c>
      <c r="H514" s="24">
        <v>9.4971610453058268</v>
      </c>
      <c r="I514" s="24">
        <v>13.724536895751953</v>
      </c>
      <c r="J514" s="24">
        <v>0.12878550589084625</v>
      </c>
      <c r="K514" s="29">
        <f t="shared" si="100"/>
        <v>5.054872703886657</v>
      </c>
      <c r="L514" s="24">
        <f t="shared" si="101"/>
        <v>344.90840641263867</v>
      </c>
      <c r="M514" s="24">
        <f t="shared" si="102"/>
        <v>2.753531334328712E-2</v>
      </c>
      <c r="N514" s="24">
        <f t="shared" si="103"/>
        <v>5.858311033805972E-2</v>
      </c>
      <c r="O514">
        <v>8.9993302904320324E-2</v>
      </c>
      <c r="P514" t="s">
        <v>327</v>
      </c>
      <c r="R514">
        <v>7.6909275032024438E-2</v>
      </c>
      <c r="T514">
        <v>0.14862449574795827</v>
      </c>
      <c r="U514">
        <v>0.16873902574943261</v>
      </c>
    </row>
    <row r="515" spans="1:21" ht="15">
      <c r="A515" s="24">
        <v>40</v>
      </c>
      <c r="B515" s="24">
        <v>1</v>
      </c>
      <c r="C515" s="24">
        <v>1.1649632529933054</v>
      </c>
      <c r="D515" s="24">
        <v>0.38181199368818541</v>
      </c>
      <c r="E515" s="24">
        <v>24.081614887324818</v>
      </c>
      <c r="F515" s="24">
        <v>1.6061030626296997</v>
      </c>
      <c r="G515" s="24">
        <v>28.018431390733141</v>
      </c>
      <c r="H515" s="24">
        <v>4.5959314807345457</v>
      </c>
      <c r="I515" s="24">
        <v>9.0738334655761719</v>
      </c>
      <c r="J515" s="24">
        <v>9.3249768018722534E-2</v>
      </c>
      <c r="K515" s="29">
        <f t="shared" si="100"/>
        <v>5.0851686614985248</v>
      </c>
      <c r="L515" s="24">
        <f t="shared" si="101"/>
        <v>344.60938531100948</v>
      </c>
      <c r="M515" s="24">
        <f t="shared" si="102"/>
        <v>1.3336640488147831E-2</v>
      </c>
      <c r="N515" s="24">
        <f t="shared" si="103"/>
        <v>2.4081614887324819E-2</v>
      </c>
      <c r="O515">
        <v>3.5755058371982493E-2</v>
      </c>
      <c r="P515" t="s">
        <v>328</v>
      </c>
      <c r="R515">
        <v>7</v>
      </c>
      <c r="T515">
        <v>0.12322223020509038</v>
      </c>
      <c r="U515">
        <v>0.15070678055631531</v>
      </c>
    </row>
    <row r="516" spans="1:21" ht="15">
      <c r="A516" s="24">
        <v>40</v>
      </c>
      <c r="B516" s="24">
        <v>1.25</v>
      </c>
      <c r="C516" s="24">
        <v>1.3750206417218254</v>
      </c>
      <c r="D516" s="24">
        <v>0.11074962165607648</v>
      </c>
      <c r="E516" s="24">
        <v>6.9284073769385452</v>
      </c>
      <c r="F516" s="24">
        <v>1.6192662715911865</v>
      </c>
      <c r="G516" s="24">
        <v>28.079085840238754</v>
      </c>
      <c r="H516" s="24">
        <v>1.4403096815808103</v>
      </c>
      <c r="I516" s="24">
        <v>6.3139815330505371</v>
      </c>
      <c r="J516" s="24">
        <v>7.6144784688949585E-2</v>
      </c>
      <c r="K516" s="29">
        <f t="shared" si="100"/>
        <v>5.1006612757814542</v>
      </c>
      <c r="L516" s="24">
        <f t="shared" si="101"/>
        <v>344.45647320803704</v>
      </c>
      <c r="M516" s="24">
        <f t="shared" si="102"/>
        <v>4.1813982131522452E-3</v>
      </c>
      <c r="N516" s="24">
        <f t="shared" si="103"/>
        <v>6.9284073769385456E-3</v>
      </c>
      <c r="O516">
        <v>1.6283506690703345E-3</v>
      </c>
      <c r="P516" t="s">
        <v>329</v>
      </c>
      <c r="R516">
        <v>2.7435942289386627E-2</v>
      </c>
      <c r="T516">
        <v>0.10067087144754211</v>
      </c>
      <c r="U516">
        <v>0.13165042180618367</v>
      </c>
    </row>
    <row r="517" spans="1:21" ht="15">
      <c r="A517" s="24">
        <v>40</v>
      </c>
      <c r="B517" s="24">
        <v>1.5</v>
      </c>
      <c r="C517" s="24">
        <v>1.5648318432288821</v>
      </c>
      <c r="D517" s="24">
        <v>1.5938380099060779E-2</v>
      </c>
      <c r="E517" s="24">
        <v>0.99425927368852174</v>
      </c>
      <c r="F517" s="24">
        <v>1.62388014793396</v>
      </c>
      <c r="G517" s="24">
        <v>28.100301339905759</v>
      </c>
      <c r="H517" s="24">
        <v>0.22431076369409267</v>
      </c>
      <c r="I517" s="24">
        <v>5.2929797172546387</v>
      </c>
      <c r="J517" s="24">
        <v>7.1193933486938477E-2</v>
      </c>
      <c r="K517" s="29">
        <f t="shared" si="100"/>
        <v>5.1060898860595296</v>
      </c>
      <c r="L517" s="24">
        <f t="shared" si="101"/>
        <v>344.40289282459241</v>
      </c>
      <c r="M517" s="24">
        <f t="shared" si="102"/>
        <v>6.5130336697937147E-4</v>
      </c>
      <c r="N517" s="24">
        <f t="shared" si="103"/>
        <v>9.9425927368852166E-4</v>
      </c>
      <c r="O517">
        <v>-1.1397327537346935E-2</v>
      </c>
      <c r="P517" t="s">
        <v>315</v>
      </c>
      <c r="R517">
        <v>0.9385307183985061</v>
      </c>
      <c r="T517">
        <v>8.10803356826168E-2</v>
      </c>
      <c r="U517">
        <v>0.11214389506767752</v>
      </c>
    </row>
    <row r="518" spans="1:21" ht="15">
      <c r="A518" s="24">
        <v>40</v>
      </c>
      <c r="B518" s="24">
        <v>1.75</v>
      </c>
      <c r="C518" s="24">
        <v>1.7944913516198462</v>
      </c>
      <c r="D518" s="24">
        <v>1.5721298219575309E-3</v>
      </c>
      <c r="E518" s="24">
        <v>9.8029509195862341E-2</v>
      </c>
      <c r="F518" s="24">
        <v>1.6245796680450439</v>
      </c>
      <c r="G518" s="24">
        <v>28.103516013323855</v>
      </c>
      <c r="H518" s="24">
        <v>0.20534506653827497</v>
      </c>
      <c r="I518" s="24">
        <v>5.277989387512207</v>
      </c>
      <c r="J518" s="24">
        <v>7.6262606307864189E-3</v>
      </c>
      <c r="K518" s="29">
        <f t="shared" si="100"/>
        <v>5.1069128920598956</v>
      </c>
      <c r="L518" s="24">
        <f t="shared" si="101"/>
        <v>344.39476975536883</v>
      </c>
      <c r="M518" s="24">
        <f t="shared" si="102"/>
        <v>5.9624908555996968E-4</v>
      </c>
      <c r="N518" s="24">
        <f t="shared" si="103"/>
        <v>9.8029509195862347E-5</v>
      </c>
      <c r="O518">
        <v>-1.1600705968105796E-2</v>
      </c>
      <c r="T518">
        <v>6.3118094110117762E-2</v>
      </c>
      <c r="U518">
        <v>9.1244550457562107E-2</v>
      </c>
    </row>
    <row r="519" spans="1:21" ht="15">
      <c r="A519" s="24">
        <v>40</v>
      </c>
      <c r="B519" s="24">
        <v>2</v>
      </c>
      <c r="C519" s="24">
        <v>2.0049494246339838</v>
      </c>
      <c r="D519" s="24">
        <v>1.4929139782154837E-5</v>
      </c>
      <c r="E519" s="24">
        <v>9.3085692700445289E-4</v>
      </c>
      <c r="F519" s="24">
        <v>1.6246554851531982</v>
      </c>
      <c r="G519" s="24">
        <v>28.103864461356086</v>
      </c>
      <c r="H519" s="24">
        <v>5.7692719414433602E-2</v>
      </c>
      <c r="I519" s="24">
        <v>5.1549997329711914</v>
      </c>
      <c r="J519" s="24">
        <v>2.5362719316035509E-4</v>
      </c>
      <c r="K519" s="29">
        <f t="shared" si="100"/>
        <v>5.1070021070460063</v>
      </c>
      <c r="L519" s="24">
        <f t="shared" si="101"/>
        <v>344.3938892034559</v>
      </c>
      <c r="M519" s="24">
        <f t="shared" si="102"/>
        <v>1.6751957924651431E-4</v>
      </c>
      <c r="N519" s="24">
        <f t="shared" si="103"/>
        <v>9.3085692700445294E-7</v>
      </c>
      <c r="O519">
        <v>-1.3177323355572994E-2</v>
      </c>
      <c r="T519">
        <v>4.7110256339502693E-2</v>
      </c>
      <c r="U519">
        <v>6.9683849270738271E-2</v>
      </c>
    </row>
    <row r="520" spans="1:21" ht="15">
      <c r="A520" s="24">
        <v>40</v>
      </c>
      <c r="K520" s="29"/>
      <c r="L520" s="24"/>
      <c r="M520" s="24"/>
      <c r="N520" s="24"/>
      <c r="T520">
        <v>3.5399886730810515E-2</v>
      </c>
      <c r="U520">
        <v>5.1822581207992227E-2</v>
      </c>
    </row>
    <row r="521" spans="1:21">
      <c r="A521" s="24">
        <v>40</v>
      </c>
      <c r="B521" s="24" t="s">
        <v>270</v>
      </c>
      <c r="K521" s="19" t="s">
        <v>148</v>
      </c>
      <c r="L521" s="19" t="s">
        <v>292</v>
      </c>
      <c r="M521" s="24"/>
      <c r="N521" s="24"/>
      <c r="O521" s="24"/>
      <c r="T521">
        <v>2.5368012507698282E-2</v>
      </c>
      <c r="U521">
        <v>3.4924673699053499E-2</v>
      </c>
    </row>
    <row r="522" spans="1:21">
      <c r="A522" s="24">
        <v>40</v>
      </c>
      <c r="B522" s="25" t="s">
        <v>237</v>
      </c>
      <c r="C522" s="24" t="s">
        <v>154</v>
      </c>
      <c r="D522" s="24" t="s">
        <v>155</v>
      </c>
      <c r="E522" s="24" t="s">
        <v>156</v>
      </c>
      <c r="F522" s="24" t="s">
        <v>159</v>
      </c>
      <c r="G522" s="24" t="s">
        <v>238</v>
      </c>
      <c r="H522" s="24" t="s">
        <v>157</v>
      </c>
      <c r="I522" s="24" t="s">
        <v>160</v>
      </c>
      <c r="J522" s="24" t="s">
        <v>265</v>
      </c>
      <c r="K522" s="27" t="s">
        <v>341</v>
      </c>
      <c r="L522" s="27" t="s">
        <v>342</v>
      </c>
      <c r="M522" s="19" t="s">
        <v>343</v>
      </c>
      <c r="N522" s="19" t="s">
        <v>288</v>
      </c>
      <c r="O522" s="19" t="s">
        <v>344</v>
      </c>
      <c r="T522">
        <v>1.7353314442152143E-2</v>
      </c>
      <c r="U522">
        <v>2.0242148020199181E-2</v>
      </c>
    </row>
    <row r="523" spans="1:21" ht="15">
      <c r="A523" s="24">
        <v>40</v>
      </c>
      <c r="B523" s="24">
        <v>0</v>
      </c>
      <c r="C523" s="24">
        <v>1.3446985640058151</v>
      </c>
      <c r="D523" s="24">
        <v>4.074865518683203</v>
      </c>
      <c r="E523" s="24">
        <v>288.50517538710653</v>
      </c>
      <c r="F523" s="24">
        <v>1.4307676553726196</v>
      </c>
      <c r="G523" s="24">
        <v>27.192052845920582</v>
      </c>
      <c r="H523" s="24">
        <v>21.360372410704468</v>
      </c>
      <c r="I523" s="24">
        <v>28.000888824462891</v>
      </c>
      <c r="J523" s="24">
        <v>0.62566179037094116</v>
      </c>
      <c r="K523" s="29">
        <f t="shared" ref="K523:K545" si="104">0.1013*42.75*EXP((37830*((G523+273.15)-298))/(298*$H$26*(G523+273.15)))</f>
        <v>4.8781230322831988</v>
      </c>
      <c r="L523" s="24">
        <f t="shared" ref="L523:L545" si="105">(A523-K523)*9.87</f>
        <v>346.65292567136481</v>
      </c>
      <c r="M523" s="24">
        <f t="shared" ref="M523:M545" si="106">H523/L523</f>
        <v>6.1618901295397134E-2</v>
      </c>
      <c r="N523" s="24">
        <f t="shared" ref="N523:N545" si="107">E523*0.001</f>
        <v>0.28850517538710652</v>
      </c>
      <c r="O523">
        <v>0.23120993090714581</v>
      </c>
      <c r="P523" t="s">
        <v>313</v>
      </c>
      <c r="Q523">
        <v>0.20236624701055522</v>
      </c>
      <c r="T523">
        <v>1.1326086244582726E-2</v>
      </c>
      <c r="U523">
        <v>8.4525467877073455E-3</v>
      </c>
    </row>
    <row r="524" spans="1:21" ht="15">
      <c r="A524" s="24">
        <v>40</v>
      </c>
      <c r="B524" s="24">
        <v>0.25</v>
      </c>
      <c r="C524" s="24">
        <v>1.4702858140309023</v>
      </c>
      <c r="D524" s="24">
        <v>3.6692227973663258</v>
      </c>
      <c r="E524" s="24">
        <v>256.39848081697886</v>
      </c>
      <c r="F524" s="24">
        <v>1.4496663808822632</v>
      </c>
      <c r="G524" s="24">
        <v>27.282821755574037</v>
      </c>
      <c r="H524" s="24">
        <v>20.653921419994472</v>
      </c>
      <c r="I524" s="24">
        <v>26.943889617919922</v>
      </c>
      <c r="J524" s="24">
        <v>0.5291290283203125</v>
      </c>
      <c r="K524" s="29">
        <f t="shared" si="104"/>
        <v>4.9005011163195027</v>
      </c>
      <c r="L524" s="24">
        <f t="shared" si="105"/>
        <v>346.43205398192646</v>
      </c>
      <c r="M524" s="24">
        <f t="shared" si="106"/>
        <v>5.9618967652086831E-2</v>
      </c>
      <c r="N524" s="24">
        <f t="shared" si="107"/>
        <v>0.25639848081697886</v>
      </c>
      <c r="O524">
        <v>0.22046782636926054</v>
      </c>
      <c r="P524" t="s">
        <v>314</v>
      </c>
      <c r="Q524">
        <v>32.32373291304787</v>
      </c>
      <c r="T524">
        <v>7.2941117236383834E-3</v>
      </c>
      <c r="U524">
        <v>1.8415129031926561E-4</v>
      </c>
    </row>
    <row r="525" spans="1:21" ht="15">
      <c r="A525" s="24">
        <v>40</v>
      </c>
      <c r="B525" s="24">
        <v>0.5</v>
      </c>
      <c r="C525" s="24">
        <v>1.6050031857556277</v>
      </c>
      <c r="D525" s="24">
        <v>3.2692344897405357</v>
      </c>
      <c r="E525" s="24">
        <v>225.53541968741763</v>
      </c>
      <c r="F525" s="24">
        <v>1.4683877229690552</v>
      </c>
      <c r="G525" s="24">
        <v>27.372325401638385</v>
      </c>
      <c r="H525" s="24">
        <v>19.823765540218687</v>
      </c>
      <c r="I525" s="24">
        <v>25.754281997680664</v>
      </c>
      <c r="J525" s="24">
        <v>0.43776628375053406</v>
      </c>
      <c r="K525" s="29">
        <f t="shared" si="104"/>
        <v>4.9226544558354108</v>
      </c>
      <c r="L525" s="24">
        <f t="shared" si="105"/>
        <v>346.21340052090443</v>
      </c>
      <c r="M525" s="24">
        <f t="shared" si="106"/>
        <v>5.7258804859639523E-2</v>
      </c>
      <c r="N525" s="24">
        <f t="shared" si="107"/>
        <v>0.22553541968741764</v>
      </c>
      <c r="O525">
        <v>0.20858231559768706</v>
      </c>
      <c r="P525" t="s">
        <v>312</v>
      </c>
      <c r="Q525">
        <v>-1.5593812710818274E-2</v>
      </c>
      <c r="T525">
        <v>4.4190060807614093E-3</v>
      </c>
      <c r="U525">
        <v>-5.9064751509566825E-3</v>
      </c>
    </row>
    <row r="526" spans="1:21" ht="15">
      <c r="A526" s="24">
        <v>40</v>
      </c>
      <c r="B526" s="24">
        <v>0.75</v>
      </c>
      <c r="C526" s="24">
        <v>1.7648743364042174</v>
      </c>
      <c r="D526" s="24">
        <v>2.917983403890716</v>
      </c>
      <c r="E526" s="24">
        <v>199.06523433482946</v>
      </c>
      <c r="F526" s="24">
        <v>1.4848988056182861</v>
      </c>
      <c r="G526" s="24">
        <v>27.450923331298448</v>
      </c>
      <c r="H526" s="24">
        <v>18.958052632247668</v>
      </c>
      <c r="I526" s="24">
        <v>24.565485000610352</v>
      </c>
      <c r="J526" s="24">
        <v>0.37155342102050781</v>
      </c>
      <c r="K526" s="29">
        <f t="shared" si="104"/>
        <v>4.9421801104404945</v>
      </c>
      <c r="L526" s="24">
        <f t="shared" si="105"/>
        <v>346.02068230995229</v>
      </c>
      <c r="M526" s="24">
        <f t="shared" si="106"/>
        <v>5.4788784605845492E-2</v>
      </c>
      <c r="N526" s="24">
        <f t="shared" si="107"/>
        <v>0.19906523433482945</v>
      </c>
      <c r="O526">
        <v>0.19681275552873687</v>
      </c>
      <c r="P526" t="s">
        <v>327</v>
      </c>
      <c r="R526">
        <v>7.8823383547057577E-2</v>
      </c>
      <c r="T526">
        <v>2.5016122029731377E-3</v>
      </c>
      <c r="U526">
        <v>-1.0048105727480543E-2</v>
      </c>
    </row>
    <row r="527" spans="1:21" ht="15">
      <c r="A527" s="24">
        <v>40</v>
      </c>
      <c r="B527" s="24">
        <v>1</v>
      </c>
      <c r="C527" s="24">
        <v>1.9392899208072205</v>
      </c>
      <c r="D527" s="24">
        <v>2.5699770397519828</v>
      </c>
      <c r="E527" s="24">
        <v>173.40620183994508</v>
      </c>
      <c r="F527" s="24">
        <v>1.5013227462768555</v>
      </c>
      <c r="G527" s="24">
        <v>27.528795203676161</v>
      </c>
      <c r="H527" s="24">
        <v>17.943227143035674</v>
      </c>
      <c r="I527" s="24">
        <v>23.229682922363281</v>
      </c>
      <c r="J527" s="24">
        <v>0.31564229726791382</v>
      </c>
      <c r="K527" s="29">
        <f t="shared" si="104"/>
        <v>4.9615916454757159</v>
      </c>
      <c r="L527" s="24">
        <f t="shared" si="105"/>
        <v>345.82909045915466</v>
      </c>
      <c r="M527" s="24">
        <f t="shared" si="106"/>
        <v>5.1884666842840169E-2</v>
      </c>
      <c r="N527" s="24">
        <f t="shared" si="107"/>
        <v>0.1734062018399451</v>
      </c>
      <c r="O527">
        <v>0.18361488754274805</v>
      </c>
      <c r="P527" t="s">
        <v>328</v>
      </c>
      <c r="R527">
        <v>21</v>
      </c>
      <c r="T527">
        <v>1.2379078287191982E-3</v>
      </c>
      <c r="U527">
        <v>-1.2697650883738998E-2</v>
      </c>
    </row>
    <row r="528" spans="1:21" ht="15">
      <c r="A528" s="24">
        <v>40</v>
      </c>
      <c r="B528" s="24">
        <v>1.25</v>
      </c>
      <c r="C528" s="24">
        <v>2.1221606083785227</v>
      </c>
      <c r="D528" s="24">
        <v>2.2265707405388975</v>
      </c>
      <c r="E528" s="24">
        <v>148.62449574795826</v>
      </c>
      <c r="F528" s="24">
        <v>1.5175938606262207</v>
      </c>
      <c r="G528" s="24">
        <v>27.605637739507955</v>
      </c>
      <c r="H528" s="24">
        <v>16.752696831180359</v>
      </c>
      <c r="I528" s="24">
        <v>21.73088264465332</v>
      </c>
      <c r="J528" s="24">
        <v>0.26801195740699768</v>
      </c>
      <c r="K528" s="29">
        <f t="shared" si="104"/>
        <v>4.9808114179457901</v>
      </c>
      <c r="L528" s="24">
        <f t="shared" si="105"/>
        <v>345.63939130487506</v>
      </c>
      <c r="M528" s="24">
        <f t="shared" si="106"/>
        <v>4.8468714077798659E-2</v>
      </c>
      <c r="N528" s="24">
        <f t="shared" si="107"/>
        <v>0.14862449574795827</v>
      </c>
      <c r="O528">
        <v>0.16873902574943261</v>
      </c>
      <c r="P528" t="s">
        <v>329</v>
      </c>
      <c r="R528">
        <v>2.2776918068759484E-2</v>
      </c>
      <c r="T528">
        <v>7.1469870223716571E-4</v>
      </c>
      <c r="U528">
        <v>-1.2343719586963172E-2</v>
      </c>
    </row>
    <row r="529" spans="1:21" ht="15">
      <c r="A529" s="24">
        <v>40</v>
      </c>
      <c r="B529" s="24">
        <v>1.5</v>
      </c>
      <c r="C529" s="24">
        <v>2.2952042548947231</v>
      </c>
      <c r="D529" s="24">
        <v>1.8668318907899695</v>
      </c>
      <c r="E529" s="24">
        <v>123.22223020509037</v>
      </c>
      <c r="F529" s="24">
        <v>1.5347074270248413</v>
      </c>
      <c r="G529" s="24">
        <v>27.686134939225219</v>
      </c>
      <c r="H529" s="24">
        <v>15.255451226345437</v>
      </c>
      <c r="I529" s="24">
        <v>19.935079574584961</v>
      </c>
      <c r="J529" s="24">
        <v>0.21660657227039337</v>
      </c>
      <c r="K529" s="29">
        <f t="shared" si="104"/>
        <v>5.0010145500562757</v>
      </c>
      <c r="L529" s="24">
        <f t="shared" si="105"/>
        <v>345.43998639094451</v>
      </c>
      <c r="M529" s="24">
        <f t="shared" si="106"/>
        <v>4.416237791614662E-2</v>
      </c>
      <c r="N529" s="24">
        <f t="shared" si="107"/>
        <v>0.12322223020509038</v>
      </c>
      <c r="O529">
        <v>0.15070678055631531</v>
      </c>
      <c r="P529" t="s">
        <v>315</v>
      </c>
      <c r="R529">
        <v>0.94242653222184547</v>
      </c>
      <c r="T529">
        <v>3.9841819449754577E-4</v>
      </c>
      <c r="U529">
        <v>-1.1788778560811775E-2</v>
      </c>
    </row>
    <row r="530" spans="1:21" ht="15">
      <c r="A530" s="24">
        <v>40</v>
      </c>
      <c r="B530" s="24">
        <v>1.75</v>
      </c>
      <c r="C530" s="24">
        <v>2.4905070335276553</v>
      </c>
      <c r="D530" s="24">
        <v>1.5406571387892587</v>
      </c>
      <c r="E530" s="24">
        <v>100.67087144754211</v>
      </c>
      <c r="F530" s="24">
        <v>1.5502852201461792</v>
      </c>
      <c r="G530" s="24">
        <v>27.759121646590451</v>
      </c>
      <c r="H530" s="24">
        <v>13.62130608482828</v>
      </c>
      <c r="I530" s="24">
        <v>18.071245193481445</v>
      </c>
      <c r="J530" s="24">
        <v>0.18385475873947144</v>
      </c>
      <c r="K530" s="29">
        <f t="shared" si="104"/>
        <v>5.0193941339079524</v>
      </c>
      <c r="L530" s="24">
        <f t="shared" si="105"/>
        <v>345.25857989832849</v>
      </c>
      <c r="M530" s="24">
        <f t="shared" si="106"/>
        <v>3.9452476717130314E-2</v>
      </c>
      <c r="N530" s="24">
        <f t="shared" si="107"/>
        <v>0.10067087144754211</v>
      </c>
      <c r="O530">
        <v>0.13165042180618367</v>
      </c>
      <c r="T530">
        <v>1.4047346045592597E-4</v>
      </c>
      <c r="U530">
        <v>-1.2562532742427555E-2</v>
      </c>
    </row>
    <row r="531" spans="1:21" ht="15">
      <c r="A531" s="24">
        <v>40</v>
      </c>
      <c r="B531" s="24">
        <v>2</v>
      </c>
      <c r="C531" s="24">
        <v>2.6952145413847215</v>
      </c>
      <c r="D531" s="24">
        <v>1.2519216807329043</v>
      </c>
      <c r="E531" s="24">
        <v>81.080335682616791</v>
      </c>
      <c r="F531" s="24">
        <v>1.5641236305236816</v>
      </c>
      <c r="G531" s="24">
        <v>27.823730725784536</v>
      </c>
      <c r="H531" s="24">
        <v>11.904537146879042</v>
      </c>
      <c r="I531" s="24">
        <v>16.205390930175781</v>
      </c>
      <c r="J531" s="24">
        <v>0.15382517874240875</v>
      </c>
      <c r="K531" s="29">
        <f t="shared" si="104"/>
        <v>5.0357129343956162</v>
      </c>
      <c r="L531" s="24">
        <f t="shared" si="105"/>
        <v>345.09751333751524</v>
      </c>
      <c r="M531" s="24">
        <f t="shared" si="106"/>
        <v>3.449615452672377E-2</v>
      </c>
      <c r="N531" s="24">
        <f t="shared" si="107"/>
        <v>8.10803356826168E-2</v>
      </c>
      <c r="O531">
        <v>0.11214389506767752</v>
      </c>
      <c r="T531">
        <v>4.74978646921761E-5</v>
      </c>
      <c r="U531">
        <v>-1.3061261628526636E-2</v>
      </c>
    </row>
    <row r="532" spans="1:21" ht="15">
      <c r="A532" s="24">
        <v>40</v>
      </c>
      <c r="B532" s="24">
        <v>2.25</v>
      </c>
      <c r="C532" s="24">
        <v>2.8998616388929803</v>
      </c>
      <c r="D532" s="24">
        <v>0.98264260070118725</v>
      </c>
      <c r="E532" s="24">
        <v>63.118094110117759</v>
      </c>
      <c r="F532" s="24">
        <v>1.5770707130432129</v>
      </c>
      <c r="G532" s="24">
        <v>27.883986135785769</v>
      </c>
      <c r="H532" s="24">
        <v>10.025417798788567</v>
      </c>
      <c r="I532" s="24">
        <v>14.256536483764648</v>
      </c>
      <c r="J532" s="24">
        <v>0.13539038598537445</v>
      </c>
      <c r="K532" s="29">
        <f t="shared" si="104"/>
        <v>5.0509735630364796</v>
      </c>
      <c r="L532" s="24">
        <f t="shared" si="105"/>
        <v>344.94689093282994</v>
      </c>
      <c r="M532" s="24">
        <f t="shared" si="106"/>
        <v>2.9063656065074592E-2</v>
      </c>
      <c r="N532" s="24">
        <f t="shared" si="107"/>
        <v>6.3118094110117762E-2</v>
      </c>
      <c r="O532">
        <v>9.1244550457562107E-2</v>
      </c>
      <c r="T532">
        <v>0.28939294471041899</v>
      </c>
      <c r="U532">
        <v>0.22562400444240602</v>
      </c>
    </row>
    <row r="533" spans="1:21" ht="15">
      <c r="A533" s="24">
        <v>40</v>
      </c>
      <c r="B533" s="24">
        <v>2.5</v>
      </c>
      <c r="C533" s="24">
        <v>3.0950464261554291</v>
      </c>
      <c r="D533" s="24">
        <v>0.73889375857895523</v>
      </c>
      <c r="E533" s="24">
        <v>47.110256339502691</v>
      </c>
      <c r="F533" s="24">
        <v>1.5888246297836304</v>
      </c>
      <c r="G533" s="24">
        <v>27.938528755352319</v>
      </c>
      <c r="H533" s="24">
        <v>8.0518871680409489</v>
      </c>
      <c r="I533" s="24">
        <v>12.301676750183105</v>
      </c>
      <c r="J533" s="24">
        <v>0.11190531402826309</v>
      </c>
      <c r="K533" s="29">
        <f t="shared" si="104"/>
        <v>5.0648219225756259</v>
      </c>
      <c r="L533" s="24">
        <f t="shared" si="105"/>
        <v>344.81020762417853</v>
      </c>
      <c r="M533" s="24">
        <f t="shared" si="106"/>
        <v>2.3351649661186944E-2</v>
      </c>
      <c r="N533" s="24">
        <f t="shared" si="107"/>
        <v>4.7110256339502693E-2</v>
      </c>
      <c r="O533">
        <v>6.9683849270738271E-2</v>
      </c>
      <c r="T533">
        <v>0.26609026560084509</v>
      </c>
      <c r="U533">
        <v>0.21801325249966969</v>
      </c>
    </row>
    <row r="534" spans="1:21" ht="15">
      <c r="A534" s="24">
        <v>40</v>
      </c>
      <c r="B534" s="24">
        <v>2.75</v>
      </c>
      <c r="C534" s="24">
        <v>3.3199420780693982</v>
      </c>
      <c r="D534" s="24">
        <v>0.55827528425964912</v>
      </c>
      <c r="E534" s="24">
        <v>35.399886730810515</v>
      </c>
      <c r="F534" s="24">
        <v>1.5975555181503296</v>
      </c>
      <c r="G534" s="24">
        <v>27.978944966751381</v>
      </c>
      <c r="H534" s="24">
        <v>6.3945770389717804</v>
      </c>
      <c r="I534" s="24">
        <v>10.724764823913574</v>
      </c>
      <c r="J534" s="24">
        <v>0.10232087969779968</v>
      </c>
      <c r="K534" s="29">
        <f t="shared" si="104"/>
        <v>5.0751048285580378</v>
      </c>
      <c r="L534" s="24">
        <f t="shared" si="105"/>
        <v>344.70871534213211</v>
      </c>
      <c r="M534" s="24">
        <f t="shared" si="106"/>
        <v>1.8550668301568766E-2</v>
      </c>
      <c r="N534" s="24">
        <f t="shared" si="107"/>
        <v>3.5399886730810515E-2</v>
      </c>
      <c r="O534">
        <v>5.1822581207992227E-2</v>
      </c>
      <c r="T534">
        <v>0.24203596183912413</v>
      </c>
      <c r="U534">
        <v>0.20936267574168355</v>
      </c>
    </row>
    <row r="535" spans="1:21" ht="15">
      <c r="A535" s="24">
        <v>40</v>
      </c>
      <c r="B535" s="24">
        <v>3</v>
      </c>
      <c r="C535" s="24">
        <v>3.5299403120702637</v>
      </c>
      <c r="D535" s="24">
        <v>0.40196306981103735</v>
      </c>
      <c r="E535" s="24">
        <v>25.368012507698282</v>
      </c>
      <c r="F535" s="24">
        <v>1.6051261425018311</v>
      </c>
      <c r="G535" s="24">
        <v>28.013922271964592</v>
      </c>
      <c r="H535" s="24">
        <v>4.8107039029555567</v>
      </c>
      <c r="I535" s="24">
        <v>9.2678365707397461</v>
      </c>
      <c r="J535" s="24">
        <v>9.3647778034210205E-2</v>
      </c>
      <c r="K535" s="29">
        <f t="shared" si="104"/>
        <v>5.0840185555973862</v>
      </c>
      <c r="L535" s="24">
        <f t="shared" si="105"/>
        <v>344.62073685625376</v>
      </c>
      <c r="M535" s="24">
        <f t="shared" si="106"/>
        <v>1.3959415056796685E-2</v>
      </c>
      <c r="N535" s="24">
        <f t="shared" si="107"/>
        <v>2.5368012507698282E-2</v>
      </c>
      <c r="O535">
        <v>3.4924673699053499E-2</v>
      </c>
      <c r="T535">
        <v>0.22367015487388098</v>
      </c>
      <c r="U535">
        <v>0.20210411770939446</v>
      </c>
    </row>
    <row r="536" spans="1:21" ht="15">
      <c r="A536" s="24">
        <v>40</v>
      </c>
      <c r="B536" s="24">
        <v>3.25</v>
      </c>
      <c r="C536" s="24">
        <v>3.7299336839711299</v>
      </c>
      <c r="D536" s="24">
        <v>0.27601464127024483</v>
      </c>
      <c r="E536" s="24">
        <v>17.353314442152143</v>
      </c>
      <c r="F536" s="24">
        <v>1.6112358570098877</v>
      </c>
      <c r="G536" s="24">
        <v>28.042105204704271</v>
      </c>
      <c r="H536" s="24">
        <v>3.423366653492983</v>
      </c>
      <c r="I536" s="24">
        <v>8.0289154052734375</v>
      </c>
      <c r="J536" s="24">
        <v>8.536268025636673E-2</v>
      </c>
      <c r="K536" s="29">
        <f t="shared" si="104"/>
        <v>5.0912106618085273</v>
      </c>
      <c r="L536" s="24">
        <f t="shared" si="105"/>
        <v>344.54975076794983</v>
      </c>
      <c r="M536" s="24">
        <f t="shared" si="106"/>
        <v>9.9357687702945983E-3</v>
      </c>
      <c r="N536" s="24">
        <f t="shared" si="107"/>
        <v>1.7353314442152143E-2</v>
      </c>
      <c r="O536">
        <v>2.0242148020199181E-2</v>
      </c>
      <c r="T536">
        <v>0.20780112082610538</v>
      </c>
      <c r="U536">
        <v>0.19528291868878025</v>
      </c>
    </row>
    <row r="537" spans="1:21" ht="15">
      <c r="A537" s="24">
        <v>40</v>
      </c>
      <c r="B537" s="24">
        <v>3.5</v>
      </c>
      <c r="C537" s="24">
        <v>3.929814265746622</v>
      </c>
      <c r="D537" s="24">
        <v>0.18066585116451717</v>
      </c>
      <c r="E537" s="24">
        <v>11.326086244582726</v>
      </c>
      <c r="F537" s="24">
        <v>1.6158671379089355</v>
      </c>
      <c r="G537" s="24">
        <v>28.06344098927493</v>
      </c>
      <c r="H537" s="24">
        <v>2.3026265113782323</v>
      </c>
      <c r="I537" s="24">
        <v>7.051903247833252</v>
      </c>
      <c r="J537" s="24">
        <v>8.6928673088550568E-2</v>
      </c>
      <c r="K537" s="29">
        <f t="shared" si="104"/>
        <v>5.0966612883950209</v>
      </c>
      <c r="L537" s="24">
        <f t="shared" si="105"/>
        <v>344.49595308354111</v>
      </c>
      <c r="M537" s="24">
        <f t="shared" si="106"/>
        <v>6.684045170248603E-3</v>
      </c>
      <c r="N537" s="24">
        <f t="shared" si="107"/>
        <v>1.1326086244582726E-2</v>
      </c>
      <c r="O537">
        <v>8.4525467877073455E-3</v>
      </c>
      <c r="T537">
        <v>0.18913771669580698</v>
      </c>
      <c r="U537">
        <v>0.18651577593220647</v>
      </c>
    </row>
    <row r="538" spans="1:21" ht="15">
      <c r="A538" s="24">
        <v>40</v>
      </c>
      <c r="B538" s="24">
        <v>3.75</v>
      </c>
      <c r="C538" s="24">
        <v>4.1502128458384453</v>
      </c>
      <c r="D538" s="24">
        <v>0.11657495411989548</v>
      </c>
      <c r="E538" s="24">
        <v>7.294111723638383</v>
      </c>
      <c r="F538" s="24">
        <v>1.6189830303192139</v>
      </c>
      <c r="G538" s="24">
        <v>28.077782330898334</v>
      </c>
      <c r="H538" s="24">
        <v>1.5132933051142494</v>
      </c>
      <c r="I538" s="24">
        <v>6.3759827613830566</v>
      </c>
      <c r="J538" s="24">
        <v>9.553101658821106E-2</v>
      </c>
      <c r="K538" s="29">
        <f t="shared" si="104"/>
        <v>5.1003278978761806</v>
      </c>
      <c r="L538" s="24">
        <f t="shared" si="105"/>
        <v>344.45976364796206</v>
      </c>
      <c r="M538" s="24">
        <f t="shared" si="106"/>
        <v>4.3932367864620483E-3</v>
      </c>
      <c r="N538" s="24">
        <f t="shared" si="107"/>
        <v>7.2941117236383834E-3</v>
      </c>
      <c r="O538">
        <v>1.8415129031926561E-4</v>
      </c>
      <c r="T538">
        <v>0.17195953701319358</v>
      </c>
      <c r="U538">
        <v>0.17759638110074694</v>
      </c>
    </row>
    <row r="539" spans="1:21" ht="15">
      <c r="A539" s="24">
        <v>40</v>
      </c>
      <c r="B539" s="24">
        <v>4</v>
      </c>
      <c r="C539" s="24">
        <v>4.3647586945721537</v>
      </c>
      <c r="D539" s="24">
        <v>7.0722138832736217E-2</v>
      </c>
      <c r="E539" s="24">
        <v>4.4190060807614095</v>
      </c>
      <c r="F539" s="24">
        <v>1.6212135553359985</v>
      </c>
      <c r="G539" s="24">
        <v>28.088042616192361</v>
      </c>
      <c r="H539" s="24">
        <v>0.93019811794059604</v>
      </c>
      <c r="I539" s="24">
        <v>5.8829164505004883</v>
      </c>
      <c r="J539" s="24">
        <v>0.11452957987785339</v>
      </c>
      <c r="K539" s="29">
        <f t="shared" si="104"/>
        <v>5.1029525195814749</v>
      </c>
      <c r="L539" s="24">
        <f t="shared" si="105"/>
        <v>344.4338586317308</v>
      </c>
      <c r="M539" s="24">
        <f t="shared" si="106"/>
        <v>2.7006581804582845E-3</v>
      </c>
      <c r="N539" s="24">
        <f t="shared" si="107"/>
        <v>4.4190060807614093E-3</v>
      </c>
      <c r="O539">
        <v>-5.9064751509566825E-3</v>
      </c>
      <c r="T539">
        <v>0.15681364370763981</v>
      </c>
      <c r="U539">
        <v>0.16893959539777029</v>
      </c>
    </row>
    <row r="540" spans="1:21" ht="15">
      <c r="A540" s="24">
        <v>40</v>
      </c>
      <c r="B540" s="24">
        <v>4.25</v>
      </c>
      <c r="C540" s="24">
        <v>4.5750437585900583</v>
      </c>
      <c r="D540" s="24">
        <v>4.0072844689094049E-2</v>
      </c>
      <c r="E540" s="24">
        <v>2.5016122029731376</v>
      </c>
      <c r="F540" s="24">
        <v>1.6227052211761475</v>
      </c>
      <c r="G540" s="24">
        <v>28.094900875603585</v>
      </c>
      <c r="H540" s="24">
        <v>0.53291899833348222</v>
      </c>
      <c r="I540" s="24">
        <v>5.5499529838562012</v>
      </c>
      <c r="J540" s="24">
        <v>6.593099981546402E-2</v>
      </c>
      <c r="K540" s="29">
        <f t="shared" si="104"/>
        <v>5.1047075428906306</v>
      </c>
      <c r="L540" s="24">
        <f t="shared" si="105"/>
        <v>344.41653655166948</v>
      </c>
      <c r="M540" s="24">
        <f t="shared" si="106"/>
        <v>1.5473095562400022E-3</v>
      </c>
      <c r="N540" s="24">
        <f t="shared" si="107"/>
        <v>2.5016122029731377E-3</v>
      </c>
      <c r="O540">
        <v>-1.0048105727480543E-2</v>
      </c>
      <c r="T540">
        <v>0.14096702928396795</v>
      </c>
      <c r="U540">
        <v>0.1589528839478597</v>
      </c>
    </row>
    <row r="541" spans="1:21" ht="15">
      <c r="A541" s="24">
        <v>40</v>
      </c>
      <c r="B541" s="24">
        <v>4.5</v>
      </c>
      <c r="C541" s="24">
        <v>4.7597742651499395</v>
      </c>
      <c r="D541" s="24">
        <v>1.9841842914954243E-2</v>
      </c>
      <c r="E541" s="24">
        <v>1.2379078287191982</v>
      </c>
      <c r="F541" s="24">
        <v>1.623690128326416</v>
      </c>
      <c r="G541" s="24">
        <v>28.099427878987932</v>
      </c>
      <c r="H541" s="24">
        <v>0.27844985287598562</v>
      </c>
      <c r="I541" s="24">
        <v>5.3379764556884766</v>
      </c>
      <c r="J541" s="24">
        <v>7.1433261036872864E-2</v>
      </c>
      <c r="K541" s="29">
        <f t="shared" si="104"/>
        <v>5.1058662864675064</v>
      </c>
      <c r="L541" s="24">
        <f t="shared" si="105"/>
        <v>344.40509975256572</v>
      </c>
      <c r="M541" s="24">
        <f t="shared" si="106"/>
        <v>8.0849515026355605E-4</v>
      </c>
      <c r="N541" s="24">
        <f t="shared" si="107"/>
        <v>1.2379078287191982E-3</v>
      </c>
      <c r="O541">
        <v>-1.2697650883738998E-2</v>
      </c>
      <c r="T541">
        <v>0.12905642387755359</v>
      </c>
      <c r="U541">
        <v>0.15072696063767757</v>
      </c>
    </row>
    <row r="542" spans="1:21" ht="15">
      <c r="A542" s="24">
        <v>40</v>
      </c>
      <c r="B542" s="24">
        <v>4.75</v>
      </c>
      <c r="C542" s="24">
        <v>5.0358621092154907</v>
      </c>
      <c r="D542" s="24">
        <v>1.1458449544826355E-2</v>
      </c>
      <c r="E542" s="24">
        <v>0.7146987022371657</v>
      </c>
      <c r="F542" s="24">
        <v>1.6240983009338379</v>
      </c>
      <c r="G542" s="24">
        <v>28.101303794505242</v>
      </c>
      <c r="H542" s="24">
        <v>0.31254392455107621</v>
      </c>
      <c r="I542" s="24">
        <v>5.3669791221618652</v>
      </c>
      <c r="J542" s="24">
        <v>3.6626696586608887E-2</v>
      </c>
      <c r="K542" s="29">
        <f t="shared" si="104"/>
        <v>5.1063465175583387</v>
      </c>
      <c r="L542" s="24">
        <f t="shared" si="105"/>
        <v>344.40035987169921</v>
      </c>
      <c r="M542" s="24">
        <f t="shared" si="106"/>
        <v>9.0750173625692317E-4</v>
      </c>
      <c r="N542" s="24">
        <f t="shared" si="107"/>
        <v>7.1469870223716571E-4</v>
      </c>
      <c r="O542">
        <v>-1.2343719586963172E-2</v>
      </c>
      <c r="T542">
        <v>0.11381755999953684</v>
      </c>
      <c r="U542">
        <v>0.13915073606805978</v>
      </c>
    </row>
    <row r="543" spans="1:21" ht="15">
      <c r="A543" s="24">
        <v>40</v>
      </c>
      <c r="B543" s="24">
        <v>5</v>
      </c>
      <c r="C543" s="24">
        <v>5.3347849150893216</v>
      </c>
      <c r="D543" s="24">
        <v>6.3886343975598815E-3</v>
      </c>
      <c r="E543" s="24">
        <v>0.39841819449754579</v>
      </c>
      <c r="F543" s="24">
        <v>1.6243451833724976</v>
      </c>
      <c r="G543" s="24">
        <v>28.102438245017673</v>
      </c>
      <c r="H543" s="24">
        <v>0.36595602345212935</v>
      </c>
      <c r="I543" s="24">
        <v>5.4119787216186523</v>
      </c>
      <c r="J543" s="24">
        <v>1.746024563908577E-2</v>
      </c>
      <c r="K543" s="29">
        <f t="shared" si="104"/>
        <v>5.1066369539192182</v>
      </c>
      <c r="L543" s="24">
        <f t="shared" si="105"/>
        <v>344.39749326481729</v>
      </c>
      <c r="M543" s="24">
        <f t="shared" si="106"/>
        <v>1.0625978138892407E-3</v>
      </c>
      <c r="N543" s="24">
        <f t="shared" si="107"/>
        <v>3.9841819449754577E-4</v>
      </c>
      <c r="O543">
        <v>-1.1788778560811775E-2</v>
      </c>
      <c r="T543">
        <v>0.10282327231322839</v>
      </c>
      <c r="U543">
        <v>0.12995063111209743</v>
      </c>
    </row>
    <row r="544" spans="1:21" ht="15">
      <c r="A544" s="24">
        <v>40</v>
      </c>
      <c r="B544" s="24">
        <v>5.25</v>
      </c>
      <c r="C544" s="24">
        <v>5.4646845654824832</v>
      </c>
      <c r="D544" s="24">
        <v>2.2527707466079593E-3</v>
      </c>
      <c r="E544" s="24">
        <v>0.14047346045592596</v>
      </c>
      <c r="F544" s="24">
        <v>1.6245465278625488</v>
      </c>
      <c r="G544" s="24">
        <v>28.103363709260819</v>
      </c>
      <c r="H544" s="24">
        <v>0.29156897341622173</v>
      </c>
      <c r="I544" s="24">
        <v>5.3499841690063477</v>
      </c>
      <c r="J544" s="24">
        <v>7.7159418724477291E-3</v>
      </c>
      <c r="K544" s="29">
        <f t="shared" si="104"/>
        <v>5.1068738972726022</v>
      </c>
      <c r="L544" s="24">
        <f t="shared" si="105"/>
        <v>344.39515463391939</v>
      </c>
      <c r="M544" s="24">
        <f t="shared" si="106"/>
        <v>8.4661171765366408E-4</v>
      </c>
      <c r="N544" s="24">
        <f t="shared" si="107"/>
        <v>1.4047346045592597E-4</v>
      </c>
      <c r="O544">
        <v>-1.2562532742427555E-2</v>
      </c>
      <c r="T544">
        <v>9.3346167157563414E-2</v>
      </c>
      <c r="U544">
        <v>0.12138547531332133</v>
      </c>
    </row>
    <row r="545" spans="1:21" ht="15">
      <c r="A545" s="24">
        <v>40</v>
      </c>
      <c r="B545" s="24">
        <v>5.5</v>
      </c>
      <c r="C545" s="24">
        <v>5.6488970933674274</v>
      </c>
      <c r="D545" s="24">
        <v>7.6175657814262551E-4</v>
      </c>
      <c r="E545" s="24">
        <v>4.7497864692176102E-2</v>
      </c>
      <c r="F545" s="24">
        <v>1.6246191263198853</v>
      </c>
      <c r="G545" s="24">
        <v>28.103697347024394</v>
      </c>
      <c r="H545" s="24">
        <v>0.24360694571414765</v>
      </c>
      <c r="I545" s="24">
        <v>5.3099880218505859</v>
      </c>
      <c r="J545" s="24">
        <v>3.1188591383397579E-3</v>
      </c>
      <c r="K545" s="29">
        <f t="shared" si="104"/>
        <v>5.1069593197141945</v>
      </c>
      <c r="L545" s="24">
        <f t="shared" si="105"/>
        <v>344.39431151442091</v>
      </c>
      <c r="M545" s="24">
        <f t="shared" si="106"/>
        <v>7.073489240949528E-4</v>
      </c>
      <c r="N545" s="24">
        <f t="shared" si="107"/>
        <v>4.74978646921761E-5</v>
      </c>
      <c r="O545">
        <v>-1.3061261628526636E-2</v>
      </c>
      <c r="T545">
        <v>8.4201753740546947E-2</v>
      </c>
      <c r="U545">
        <v>0.11249714626962151</v>
      </c>
    </row>
    <row r="546" spans="1:21" ht="15">
      <c r="A546" s="24">
        <v>40</v>
      </c>
      <c r="K546" s="29"/>
      <c r="L546" s="24"/>
      <c r="M546" s="24"/>
      <c r="N546" s="24"/>
      <c r="T546">
        <v>7.5515148775893243E-2</v>
      </c>
      <c r="U546">
        <v>0.10342482370332291</v>
      </c>
    </row>
    <row r="547" spans="1:21">
      <c r="A547" s="24">
        <v>40</v>
      </c>
      <c r="B547" s="24" t="s">
        <v>273</v>
      </c>
      <c r="C547" s="24"/>
      <c r="D547" s="24"/>
      <c r="E547" s="24"/>
      <c r="F547" s="24"/>
      <c r="G547" s="24"/>
      <c r="H547" s="24"/>
      <c r="I547" s="24"/>
      <c r="J547" s="24"/>
      <c r="K547" s="19" t="s">
        <v>148</v>
      </c>
      <c r="L547" s="19" t="s">
        <v>292</v>
      </c>
      <c r="M547" s="24"/>
      <c r="N547" s="24"/>
      <c r="O547" s="24"/>
      <c r="T547">
        <v>6.6338436390267999E-2</v>
      </c>
      <c r="U547">
        <v>9.3103428647259387E-2</v>
      </c>
    </row>
    <row r="548" spans="1:21">
      <c r="A548" s="24">
        <v>40</v>
      </c>
      <c r="B548" s="25" t="s">
        <v>237</v>
      </c>
      <c r="C548" s="24" t="s">
        <v>154</v>
      </c>
      <c r="D548" s="24" t="s">
        <v>155</v>
      </c>
      <c r="E548" s="24" t="s">
        <v>156</v>
      </c>
      <c r="F548" s="24" t="s">
        <v>159</v>
      </c>
      <c r="G548" s="24" t="s">
        <v>238</v>
      </c>
      <c r="H548" s="24" t="s">
        <v>157</v>
      </c>
      <c r="I548" s="24" t="s">
        <v>160</v>
      </c>
      <c r="J548" s="24" t="s">
        <v>265</v>
      </c>
      <c r="K548" s="27" t="s">
        <v>341</v>
      </c>
      <c r="L548" s="27" t="s">
        <v>342</v>
      </c>
      <c r="M548" s="19" t="s">
        <v>343</v>
      </c>
      <c r="N548" s="19" t="s">
        <v>288</v>
      </c>
      <c r="O548" s="19" t="s">
        <v>344</v>
      </c>
      <c r="T548">
        <v>5.8304873280658268E-2</v>
      </c>
      <c r="U548">
        <v>8.3381406266687941E-2</v>
      </c>
    </row>
    <row r="549" spans="1:21" ht="15">
      <c r="A549" s="24">
        <v>40</v>
      </c>
      <c r="B549" s="24">
        <v>0</v>
      </c>
      <c r="C549" s="24">
        <v>0.58954791666722173</v>
      </c>
      <c r="D549" s="24">
        <v>4.0859346666665681</v>
      </c>
      <c r="E549" s="24">
        <v>289.39294471041899</v>
      </c>
      <c r="F549" s="24">
        <v>1.4302531480789185</v>
      </c>
      <c r="G549" s="24">
        <v>27.189575950760279</v>
      </c>
      <c r="H549" s="24">
        <v>21.378053081452098</v>
      </c>
      <c r="I549" s="24">
        <v>28.027933120727539</v>
      </c>
      <c r="J549" s="24">
        <v>0.62386232614517212</v>
      </c>
      <c r="K549" s="29">
        <f t="shared" ref="K549:K600" si="108">0.1013*42.75*EXP((37830*((G549+273.15)-298))/(298*$H$26*(G549+273.15)))</f>
        <v>4.877513626122111</v>
      </c>
      <c r="L549" s="24">
        <f t="shared" ref="L549:L600" si="109">(A549-K549)*9.87</f>
        <v>346.65894051017477</v>
      </c>
      <c r="M549" s="24">
        <f t="shared" ref="M549:M600" si="110">H549/L549</f>
        <v>6.1668835224587645E-2</v>
      </c>
      <c r="N549" s="24">
        <f t="shared" ref="N549:N600" si="111">E549*0.001</f>
        <v>0.28939294471041899</v>
      </c>
      <c r="O549">
        <v>0.22562400444240602</v>
      </c>
      <c r="P549" t="s">
        <v>313</v>
      </c>
      <c r="Q549">
        <v>5.1871057210908025E-3</v>
      </c>
      <c r="T549">
        <v>4.9706839596633481E-2</v>
      </c>
      <c r="U549">
        <v>7.2207111253507802E-2</v>
      </c>
    </row>
    <row r="550" spans="1:21" ht="15">
      <c r="A550" s="24">
        <v>40</v>
      </c>
      <c r="B550" s="24">
        <v>0.25</v>
      </c>
      <c r="C550" s="24">
        <v>0.86940474410505098</v>
      </c>
      <c r="D550" s="24">
        <v>3.792773789036938</v>
      </c>
      <c r="E550" s="24">
        <v>266.0902656008451</v>
      </c>
      <c r="F550" s="24">
        <v>1.4439009428024292</v>
      </c>
      <c r="G550" s="24">
        <v>27.255175286868429</v>
      </c>
      <c r="H550" s="24">
        <v>20.882065828652163</v>
      </c>
      <c r="I550" s="24">
        <v>27.280410766601563</v>
      </c>
      <c r="J550" s="24">
        <v>0.55312043428421021</v>
      </c>
      <c r="K550" s="29">
        <f t="shared" si="108"/>
        <v>4.8936757642248674</v>
      </c>
      <c r="L550" s="24">
        <f t="shared" si="109"/>
        <v>346.49942020710051</v>
      </c>
      <c r="M550" s="24">
        <f t="shared" si="110"/>
        <v>6.0265803088995311E-2</v>
      </c>
      <c r="N550" s="24">
        <f t="shared" si="111"/>
        <v>0.26609026560084509</v>
      </c>
      <c r="O550">
        <v>0.21801325249966969</v>
      </c>
      <c r="P550" t="s">
        <v>314</v>
      </c>
      <c r="Q550">
        <v>1068.7671644136706</v>
      </c>
      <c r="T550">
        <v>4.4639018471427212E-2</v>
      </c>
      <c r="U550">
        <v>6.5216933509265509E-2</v>
      </c>
    </row>
    <row r="551" spans="1:21" ht="15">
      <c r="A551" s="24">
        <v>40</v>
      </c>
      <c r="B551" s="24">
        <v>0.5</v>
      </c>
      <c r="C551" s="24">
        <v>1.1499996477626866</v>
      </c>
      <c r="D551" s="24">
        <v>3.4843366478458608</v>
      </c>
      <c r="E551" s="24">
        <v>242.03596183912413</v>
      </c>
      <c r="F551" s="24">
        <v>1.4583092927932739</v>
      </c>
      <c r="G551" s="24">
        <v>27.324192926114254</v>
      </c>
      <c r="H551" s="24">
        <v>20.288554770916527</v>
      </c>
      <c r="I551" s="24">
        <v>26.413833618164062</v>
      </c>
      <c r="J551" s="24">
        <v>0.48363041877746582</v>
      </c>
      <c r="K551" s="29">
        <f t="shared" si="108"/>
        <v>4.9107302516052167</v>
      </c>
      <c r="L551" s="24">
        <f t="shared" si="109"/>
        <v>346.33109241665647</v>
      </c>
      <c r="M551" s="24">
        <f t="shared" si="110"/>
        <v>5.858138415856759E-2</v>
      </c>
      <c r="N551" s="24">
        <f t="shared" si="111"/>
        <v>0.24203596183912413</v>
      </c>
      <c r="O551">
        <v>0.20936267574168355</v>
      </c>
      <c r="P551" t="s">
        <v>312</v>
      </c>
      <c r="Q551">
        <v>-1.2546966451027703E-2</v>
      </c>
      <c r="T551">
        <v>4.0772031443095789E-2</v>
      </c>
      <c r="U551">
        <v>5.9656139407041155E-2</v>
      </c>
    </row>
    <row r="552" spans="1:21" ht="15">
      <c r="A552" s="24">
        <v>40</v>
      </c>
      <c r="B552" s="24">
        <v>0.75</v>
      </c>
      <c r="C552" s="24">
        <v>1.4441838041955901</v>
      </c>
      <c r="D552" s="24">
        <v>3.2447347326791585</v>
      </c>
      <c r="E552" s="24">
        <v>223.67015487388096</v>
      </c>
      <c r="F552" s="24">
        <v>1.4695372581481934</v>
      </c>
      <c r="G552" s="24">
        <v>27.377807605850052</v>
      </c>
      <c r="H552" s="24">
        <v>19.768002063267296</v>
      </c>
      <c r="I552" s="24">
        <v>25.676206588745117</v>
      </c>
      <c r="J552" s="24">
        <v>0.43129017949104309</v>
      </c>
      <c r="K552" s="29">
        <f t="shared" si="108"/>
        <v>4.9240141944588265</v>
      </c>
      <c r="L552" s="24">
        <f t="shared" si="109"/>
        <v>346.19997990069135</v>
      </c>
      <c r="M552" s="24">
        <f t="shared" si="110"/>
        <v>5.7099951504728033E-2</v>
      </c>
      <c r="N552" s="24">
        <f t="shared" si="111"/>
        <v>0.22367015487388098</v>
      </c>
      <c r="O552">
        <v>0.20210411770939446</v>
      </c>
      <c r="P552" t="s">
        <v>327</v>
      </c>
      <c r="R552">
        <v>5.8318740695645688E-2</v>
      </c>
      <c r="T552">
        <v>3.6492798943988915E-2</v>
      </c>
      <c r="U552">
        <v>5.3289279895547083E-2</v>
      </c>
    </row>
    <row r="553" spans="1:21" ht="15">
      <c r="A553" s="24">
        <v>40</v>
      </c>
      <c r="B553" s="24">
        <v>1</v>
      </c>
      <c r="C553" s="24">
        <v>1.7402228936540725</v>
      </c>
      <c r="D553" s="24">
        <v>3.0347621742887307</v>
      </c>
      <c r="E553" s="24">
        <v>207.80112082610538</v>
      </c>
      <c r="F553" s="24">
        <v>1.4794020652770996</v>
      </c>
      <c r="G553" s="24">
        <v>27.42479225312875</v>
      </c>
      <c r="H553" s="24">
        <v>19.261435214325896</v>
      </c>
      <c r="I553" s="24">
        <v>24.976531982421875</v>
      </c>
      <c r="J553" s="24">
        <v>0.39624544978141785</v>
      </c>
      <c r="K553" s="29">
        <f t="shared" si="108"/>
        <v>4.9356810642059452</v>
      </c>
      <c r="L553" s="24">
        <f t="shared" si="109"/>
        <v>346.08482789628732</v>
      </c>
      <c r="M553" s="24">
        <f t="shared" si="110"/>
        <v>5.5655243055318361E-2</v>
      </c>
      <c r="N553" s="24">
        <f t="shared" si="111"/>
        <v>0.20780112082610538</v>
      </c>
      <c r="O553">
        <v>0.19528291868878025</v>
      </c>
      <c r="P553" t="s">
        <v>328</v>
      </c>
      <c r="R553">
        <v>50</v>
      </c>
      <c r="T553">
        <v>3.212878240294418E-2</v>
      </c>
      <c r="U553">
        <v>4.652671704815297E-2</v>
      </c>
    </row>
    <row r="554" spans="1:21" ht="15">
      <c r="A554" s="24">
        <v>40</v>
      </c>
      <c r="B554" s="24">
        <v>1.25</v>
      </c>
      <c r="C554" s="24">
        <v>2.0293887554477554</v>
      </c>
      <c r="D554" s="24">
        <v>2.7842328713900284</v>
      </c>
      <c r="E554" s="24">
        <v>189.13771669580697</v>
      </c>
      <c r="F554" s="24">
        <v>1.4912033081054688</v>
      </c>
      <c r="G554" s="24">
        <v>27.480852106949207</v>
      </c>
      <c r="H554" s="24">
        <v>18.588160884264983</v>
      </c>
      <c r="I554" s="24">
        <v>24.071832656860352</v>
      </c>
      <c r="J554" s="24">
        <v>0.34783932566642761</v>
      </c>
      <c r="K554" s="29">
        <f t="shared" si="108"/>
        <v>4.9496328031058203</v>
      </c>
      <c r="L554" s="24">
        <f t="shared" si="109"/>
        <v>345.94712423334551</v>
      </c>
      <c r="M554" s="24">
        <f t="shared" si="110"/>
        <v>5.373121954824242E-2</v>
      </c>
      <c r="N554" s="24">
        <f t="shared" si="111"/>
        <v>0.18913771669580698</v>
      </c>
      <c r="O554">
        <v>0.18651577593220647</v>
      </c>
      <c r="P554" t="s">
        <v>329</v>
      </c>
      <c r="R554">
        <v>1.9094686898907042E-2</v>
      </c>
      <c r="T554">
        <v>2.687932637729868E-2</v>
      </c>
      <c r="U554">
        <v>3.8031970272079427E-2</v>
      </c>
    </row>
    <row r="555" spans="1:21" ht="15">
      <c r="A555" s="24">
        <v>40</v>
      </c>
      <c r="B555" s="24">
        <v>1.5</v>
      </c>
      <c r="C555" s="24">
        <v>2.3202714312827175</v>
      </c>
      <c r="D555" s="24">
        <v>2.5501300258772188</v>
      </c>
      <c r="E555" s="24">
        <v>171.95953701319357</v>
      </c>
      <c r="F555" s="24">
        <v>1.5022614002227783</v>
      </c>
      <c r="G555" s="24">
        <v>27.533236283756288</v>
      </c>
      <c r="H555" s="24">
        <v>17.87982216315303</v>
      </c>
      <c r="I555" s="24">
        <v>23.148090362548828</v>
      </c>
      <c r="J555" s="24">
        <v>0.31011343002319336</v>
      </c>
      <c r="K555" s="29">
        <f t="shared" si="108"/>
        <v>4.9627006886198721</v>
      </c>
      <c r="L555" s="24">
        <f t="shared" si="109"/>
        <v>345.81814420332182</v>
      </c>
      <c r="M555" s="24">
        <f t="shared" si="110"/>
        <v>5.1702961405751716E-2</v>
      </c>
      <c r="N555" s="24">
        <f t="shared" si="111"/>
        <v>0.17195953701319358</v>
      </c>
      <c r="O555">
        <v>0.17759638110074694</v>
      </c>
      <c r="P555" t="s">
        <v>315</v>
      </c>
      <c r="R555">
        <v>0.94314103973238872</v>
      </c>
      <c r="T555">
        <v>2.5030177577103602E-2</v>
      </c>
      <c r="U555">
        <v>3.4940059611866296E-2</v>
      </c>
    </row>
    <row r="556" spans="1:21" ht="15">
      <c r="A556" s="24">
        <v>40</v>
      </c>
      <c r="B556" s="24">
        <v>1.75</v>
      </c>
      <c r="C556" s="24">
        <v>2.6102404460939557</v>
      </c>
      <c r="D556" s="24">
        <v>2.340860096375311</v>
      </c>
      <c r="E556" s="24">
        <v>156.81364370763981</v>
      </c>
      <c r="F556" s="24">
        <v>1.5121715068817139</v>
      </c>
      <c r="G556" s="24">
        <v>27.580063706820795</v>
      </c>
      <c r="H556" s="24">
        <v>17.172247761767181</v>
      </c>
      <c r="I556" s="24">
        <v>22.251325607299805</v>
      </c>
      <c r="J556" s="24">
        <v>0.28107264637947083</v>
      </c>
      <c r="K556" s="29">
        <f t="shared" si="108"/>
        <v>4.9744077078259874</v>
      </c>
      <c r="L556" s="24">
        <f t="shared" si="109"/>
        <v>345.70259592375749</v>
      </c>
      <c r="M556" s="24">
        <f t="shared" si="110"/>
        <v>4.9673470677536975E-2</v>
      </c>
      <c r="N556" s="24">
        <f t="shared" si="111"/>
        <v>0.15681364370763981</v>
      </c>
      <c r="O556">
        <v>0.16893959539777029</v>
      </c>
      <c r="T556">
        <v>2.2258373221354232E-2</v>
      </c>
      <c r="U556">
        <v>3.020460803023528E-2</v>
      </c>
    </row>
    <row r="557" spans="1:21" ht="15">
      <c r="A557" s="24">
        <v>40</v>
      </c>
      <c r="B557" s="24">
        <v>2</v>
      </c>
      <c r="C557" s="24">
        <v>2.8947394450218322</v>
      </c>
      <c r="D557" s="24">
        <v>2.1189660664063967</v>
      </c>
      <c r="E557" s="24">
        <v>140.96702928396795</v>
      </c>
      <c r="F557" s="24">
        <v>1.5227054357528687</v>
      </c>
      <c r="G557" s="24">
        <v>27.62971597000822</v>
      </c>
      <c r="H557" s="24">
        <v>16.334157049739186</v>
      </c>
      <c r="I557" s="24">
        <v>21.219528198242188</v>
      </c>
      <c r="J557" s="24">
        <v>0.25092166662216187</v>
      </c>
      <c r="K557" s="29">
        <f t="shared" si="108"/>
        <v>4.9868471180414753</v>
      </c>
      <c r="L557" s="24">
        <f t="shared" si="109"/>
        <v>345.57981894493059</v>
      </c>
      <c r="M557" s="24">
        <f t="shared" si="110"/>
        <v>4.7265945967585841E-2</v>
      </c>
      <c r="N557" s="24">
        <f t="shared" si="111"/>
        <v>0.14096702928396795</v>
      </c>
      <c r="O557">
        <v>0.1589528839478597</v>
      </c>
      <c r="T557">
        <v>1.9429768418407958E-2</v>
      </c>
      <c r="U557">
        <v>2.5255918722684609E-2</v>
      </c>
    </row>
    <row r="558" spans="1:21" ht="15">
      <c r="A558" s="24">
        <v>40</v>
      </c>
      <c r="B558" s="24">
        <v>2.25</v>
      </c>
      <c r="C558" s="24">
        <v>3.1946699692752771</v>
      </c>
      <c r="D558" s="24">
        <v>1.9501622376818866</v>
      </c>
      <c r="E558" s="24">
        <v>129.05642387755358</v>
      </c>
      <c r="F558" s="24">
        <v>1.5307369232177734</v>
      </c>
      <c r="G558" s="24">
        <v>27.66748846948488</v>
      </c>
      <c r="H558" s="24">
        <v>15.628205926198486</v>
      </c>
      <c r="I558" s="24">
        <v>20.373712539672852</v>
      </c>
      <c r="J558" s="24">
        <v>0.22986787557601929</v>
      </c>
      <c r="K558" s="29">
        <f t="shared" si="108"/>
        <v>4.9963283545436799</v>
      </c>
      <c r="L558" s="24">
        <f t="shared" si="109"/>
        <v>345.48623914065388</v>
      </c>
      <c r="M558" s="24">
        <f t="shared" si="110"/>
        <v>4.5235393354801472E-2</v>
      </c>
      <c r="N558" s="24">
        <f t="shared" si="111"/>
        <v>0.12905642387755359</v>
      </c>
      <c r="O558">
        <v>0.15072696063767757</v>
      </c>
      <c r="T558">
        <v>1.5838685821885027E-2</v>
      </c>
      <c r="U558">
        <v>1.8777551130243819E-2</v>
      </c>
    </row>
    <row r="559" spans="1:21" ht="15">
      <c r="A559" s="24">
        <v>40</v>
      </c>
      <c r="B559" s="24">
        <v>2.5</v>
      </c>
      <c r="C559" s="24">
        <v>3.4599845165869065</v>
      </c>
      <c r="D559" s="24">
        <v>1.7315987755910114</v>
      </c>
      <c r="E559" s="24">
        <v>113.81755999953684</v>
      </c>
      <c r="F559" s="24">
        <v>1.5411590337753296</v>
      </c>
      <c r="G559" s="24">
        <v>27.716395465966091</v>
      </c>
      <c r="H559" s="24">
        <v>14.613547096078474</v>
      </c>
      <c r="I559" s="24">
        <v>19.191865921020508</v>
      </c>
      <c r="J559" s="24">
        <v>0.20239466428756714</v>
      </c>
      <c r="K559" s="29">
        <f t="shared" si="108"/>
        <v>5.0086276859044023</v>
      </c>
      <c r="L559" s="24">
        <f t="shared" si="109"/>
        <v>345.36484474012354</v>
      </c>
      <c r="M559" s="24">
        <f t="shared" si="110"/>
        <v>4.2313360258409392E-2</v>
      </c>
      <c r="N559" s="24">
        <f t="shared" si="111"/>
        <v>0.11381755999953684</v>
      </c>
      <c r="O559">
        <v>0.13915073606805978</v>
      </c>
      <c r="T559">
        <v>1.5194110082433465E-2</v>
      </c>
      <c r="U559">
        <v>1.758766731172183E-2</v>
      </c>
    </row>
    <row r="560" spans="1:21" ht="15">
      <c r="A560" s="24">
        <v>40</v>
      </c>
      <c r="B560" s="24">
        <v>2.75</v>
      </c>
      <c r="C560" s="24">
        <v>3.754924418284121</v>
      </c>
      <c r="D560" s="24">
        <v>1.5720718026778164</v>
      </c>
      <c r="E560" s="24">
        <v>102.82327231322839</v>
      </c>
      <c r="F560" s="24">
        <v>1.5487823486328125</v>
      </c>
      <c r="G560" s="24">
        <v>27.752092123716139</v>
      </c>
      <c r="H560" s="24">
        <v>13.791398461003078</v>
      </c>
      <c r="I560" s="24">
        <v>18.261011123657227</v>
      </c>
      <c r="J560" s="24">
        <v>0.18666625022888184</v>
      </c>
      <c r="K560" s="29">
        <f t="shared" si="108"/>
        <v>5.017621405566798</v>
      </c>
      <c r="L560" s="24">
        <f t="shared" si="109"/>
        <v>345.27607672705568</v>
      </c>
      <c r="M560" s="24">
        <f t="shared" si="110"/>
        <v>3.9943104635961561E-2</v>
      </c>
      <c r="N560" s="24">
        <f t="shared" si="111"/>
        <v>0.10282327231322839</v>
      </c>
      <c r="O560">
        <v>0.12995063111209743</v>
      </c>
      <c r="T560">
        <v>1.0655278164843468E-2</v>
      </c>
      <c r="U560">
        <v>9.0263484192880678E-3</v>
      </c>
    </row>
    <row r="561" spans="1:21" ht="15">
      <c r="A561" s="24">
        <v>40</v>
      </c>
      <c r="B561" s="24">
        <v>3</v>
      </c>
      <c r="C561" s="24">
        <v>4.0509806497004615</v>
      </c>
      <c r="D561" s="24">
        <v>1.4332971401701016</v>
      </c>
      <c r="E561" s="24">
        <v>93.346167157563414</v>
      </c>
      <c r="F561" s="24">
        <v>1.5554254055023193</v>
      </c>
      <c r="G561" s="24">
        <v>27.783145127113954</v>
      </c>
      <c r="H561" s="24">
        <v>13.01493115898972</v>
      </c>
      <c r="I561" s="24">
        <v>17.402124404907227</v>
      </c>
      <c r="J561" s="24">
        <v>0.17363055050373077</v>
      </c>
      <c r="K561" s="29">
        <f t="shared" si="108"/>
        <v>5.0254565576943708</v>
      </c>
      <c r="L561" s="24">
        <f t="shared" si="109"/>
        <v>345.19874377555652</v>
      </c>
      <c r="M561" s="24">
        <f t="shared" si="110"/>
        <v>3.7702718777713307E-2</v>
      </c>
      <c r="N561" s="24">
        <f t="shared" si="111"/>
        <v>9.3346167157563414E-2</v>
      </c>
      <c r="O561">
        <v>0.12138547531332133</v>
      </c>
      <c r="T561">
        <v>1.2181905760729379E-2</v>
      </c>
      <c r="U561">
        <v>1.1941149962554928E-2</v>
      </c>
    </row>
    <row r="562" spans="1:21" ht="15">
      <c r="A562" s="24">
        <v>40</v>
      </c>
      <c r="B562" s="24">
        <v>3.25</v>
      </c>
      <c r="C562" s="24">
        <v>4.3402896476337967</v>
      </c>
      <c r="D562" s="24">
        <v>1.2982690289743914</v>
      </c>
      <c r="E562" s="24">
        <v>84.201753740546948</v>
      </c>
      <c r="F562" s="24">
        <v>1.5618991851806641</v>
      </c>
      <c r="G562" s="24">
        <v>27.813359780999548</v>
      </c>
      <c r="H562" s="24">
        <v>12.198947498030119</v>
      </c>
      <c r="I562" s="24">
        <v>16.519233703613281</v>
      </c>
      <c r="J562" s="24">
        <v>0.15905855596065521</v>
      </c>
      <c r="K562" s="29">
        <f t="shared" si="108"/>
        <v>5.0330903694081144</v>
      </c>
      <c r="L562" s="24">
        <f t="shared" si="109"/>
        <v>345.12339805394186</v>
      </c>
      <c r="M562" s="24">
        <f t="shared" si="110"/>
        <v>3.5346625487627632E-2</v>
      </c>
      <c r="N562" s="24">
        <f t="shared" si="111"/>
        <v>8.4201753740546947E-2</v>
      </c>
      <c r="O562">
        <v>0.11249714626962151</v>
      </c>
      <c r="T562">
        <v>9.0823745081211257E-3</v>
      </c>
      <c r="U562">
        <v>5.9712912730976748E-3</v>
      </c>
    </row>
    <row r="563" spans="1:21" ht="15">
      <c r="A563" s="24">
        <v>40</v>
      </c>
      <c r="B563" s="24">
        <v>3.5</v>
      </c>
      <c r="C563" s="24">
        <v>4.6300542010380843</v>
      </c>
      <c r="D563" s="24">
        <v>1.1689626233967139</v>
      </c>
      <c r="E563" s="24">
        <v>75.515148775893238</v>
      </c>
      <c r="F563" s="24">
        <v>1.568108081817627</v>
      </c>
      <c r="G563" s="24">
        <v>27.842294113673855</v>
      </c>
      <c r="H563" s="24">
        <v>11.356326094257927</v>
      </c>
      <c r="I563" s="24">
        <v>15.627326011657715</v>
      </c>
      <c r="J563" s="24">
        <v>0.14638951420783997</v>
      </c>
      <c r="K563" s="29">
        <f t="shared" si="108"/>
        <v>5.0404101339432916</v>
      </c>
      <c r="L563" s="24">
        <f t="shared" si="109"/>
        <v>345.05115197797971</v>
      </c>
      <c r="M563" s="24">
        <f t="shared" si="110"/>
        <v>3.2912007478191695E-2</v>
      </c>
      <c r="N563" s="24">
        <f t="shared" si="111"/>
        <v>7.5515148775893243E-2</v>
      </c>
      <c r="O563">
        <v>0.10342482370332291</v>
      </c>
      <c r="T563">
        <v>8.2238622516694389E-3</v>
      </c>
      <c r="U563">
        <v>4.2933568427572007E-3</v>
      </c>
    </row>
    <row r="564" spans="1:21" ht="15">
      <c r="A564" s="24">
        <v>40</v>
      </c>
      <c r="B564" s="24">
        <v>3.75</v>
      </c>
      <c r="C564" s="24">
        <v>4.8803308271632799</v>
      </c>
      <c r="D564" s="24">
        <v>1.0312456420808391</v>
      </c>
      <c r="E564" s="24">
        <v>66.338436390268001</v>
      </c>
      <c r="F564" s="24">
        <v>1.5747308731079102</v>
      </c>
      <c r="G564" s="24">
        <v>27.873110444345894</v>
      </c>
      <c r="H564" s="24">
        <v>10.386852465967872</v>
      </c>
      <c r="I564" s="24">
        <v>14.624404907226563</v>
      </c>
      <c r="J564" s="24">
        <v>0.13510508835315704</v>
      </c>
      <c r="K564" s="29">
        <f t="shared" si="108"/>
        <v>5.0482161594441131</v>
      </c>
      <c r="L564" s="24">
        <f t="shared" si="109"/>
        <v>344.9741065062866</v>
      </c>
      <c r="M564" s="24">
        <f t="shared" si="110"/>
        <v>3.0109078536822265E-2</v>
      </c>
      <c r="N564" s="24">
        <f t="shared" si="111"/>
        <v>6.6338436390267999E-2</v>
      </c>
      <c r="O564">
        <v>9.3103428647259387E-2</v>
      </c>
      <c r="T564">
        <v>7.6087434204389461E-3</v>
      </c>
      <c r="U564">
        <v>3.0792524397173209E-3</v>
      </c>
    </row>
    <row r="565" spans="1:21" ht="15">
      <c r="A565" s="24">
        <v>40</v>
      </c>
      <c r="B565" s="24">
        <v>4</v>
      </c>
      <c r="C565" s="24">
        <v>5.1298859752676078</v>
      </c>
      <c r="D565" s="24">
        <v>0.90973053058897946</v>
      </c>
      <c r="E565" s="24">
        <v>58.304873280658263</v>
      </c>
      <c r="F565" s="24">
        <v>1.5805832147598267</v>
      </c>
      <c r="G565" s="24">
        <v>27.900301352987686</v>
      </c>
      <c r="H565" s="24">
        <v>9.464113917999498</v>
      </c>
      <c r="I565" s="24">
        <v>13.691475868225098</v>
      </c>
      <c r="J565" s="24">
        <v>0.1292392760515213</v>
      </c>
      <c r="K565" s="29">
        <f t="shared" si="108"/>
        <v>5.0551125450775789</v>
      </c>
      <c r="L565" s="24">
        <f t="shared" si="109"/>
        <v>344.90603918008429</v>
      </c>
      <c r="M565" s="24">
        <f t="shared" si="110"/>
        <v>2.7439687459511374E-2</v>
      </c>
      <c r="N565" s="24">
        <f t="shared" si="111"/>
        <v>5.8304873280658268E-2</v>
      </c>
      <c r="O565">
        <v>8.3381406266687941E-2</v>
      </c>
      <c r="T565">
        <v>7.0924119963465208E-3</v>
      </c>
      <c r="U565">
        <v>2.0504101448695321E-3</v>
      </c>
    </row>
    <row r="566" spans="1:21" ht="15">
      <c r="A566" s="24">
        <v>40</v>
      </c>
      <c r="B566" s="24">
        <v>4.25</v>
      </c>
      <c r="C566" s="24">
        <v>5.3398211662788988</v>
      </c>
      <c r="D566" s="24">
        <v>0.77867703347925377</v>
      </c>
      <c r="E566" s="24">
        <v>49.706839596633479</v>
      </c>
      <c r="F566" s="24">
        <v>1.5869040489196777</v>
      </c>
      <c r="G566" s="24">
        <v>27.92962662474482</v>
      </c>
      <c r="H566" s="24">
        <v>8.393219263020578</v>
      </c>
      <c r="I566" s="24">
        <v>12.633544921875</v>
      </c>
      <c r="J566" s="24">
        <v>0.11745550483465195</v>
      </c>
      <c r="K566" s="29">
        <f t="shared" si="108"/>
        <v>5.0625594264315872</v>
      </c>
      <c r="L566" s="24">
        <f t="shared" si="109"/>
        <v>344.83253846112018</v>
      </c>
      <c r="M566" s="24">
        <f t="shared" si="110"/>
        <v>2.4339986303139754E-2</v>
      </c>
      <c r="N566" s="24">
        <f t="shared" si="111"/>
        <v>4.9706839596633481E-2</v>
      </c>
      <c r="O566">
        <v>7.2207111253507802E-2</v>
      </c>
      <c r="T566">
        <v>5.9032259650917476E-3</v>
      </c>
      <c r="U566">
        <v>-3.2892988984635843E-4</v>
      </c>
    </row>
    <row r="567" spans="1:21" ht="15">
      <c r="A567" s="24">
        <v>40</v>
      </c>
      <c r="B567" s="24">
        <v>4.5</v>
      </c>
      <c r="C567" s="24">
        <v>5.6347022310133177</v>
      </c>
      <c r="D567" s="24">
        <v>0.70094175819824811</v>
      </c>
      <c r="E567" s="24">
        <v>44.639018471427214</v>
      </c>
      <c r="F567" s="24">
        <v>1.5906577110290527</v>
      </c>
      <c r="G567" s="24">
        <v>27.947021109615552</v>
      </c>
      <c r="H567" s="24">
        <v>7.7181596849370901</v>
      </c>
      <c r="I567" s="24">
        <v>11.979598999023438</v>
      </c>
      <c r="J567" s="24">
        <v>0.1117461770772934</v>
      </c>
      <c r="K567" s="29">
        <f t="shared" si="108"/>
        <v>5.0669810907637833</v>
      </c>
      <c r="L567" s="24">
        <f t="shared" si="109"/>
        <v>344.78889663416146</v>
      </c>
      <c r="M567" s="24">
        <f t="shared" si="110"/>
        <v>2.2385174697567043E-2</v>
      </c>
      <c r="N567" s="24">
        <f t="shared" si="111"/>
        <v>4.4639018471427212E-2</v>
      </c>
      <c r="O567">
        <v>6.5216933509265509E-2</v>
      </c>
      <c r="T567">
        <v>5.0244701208584722E-3</v>
      </c>
      <c r="U567">
        <v>-2.103811230963433E-3</v>
      </c>
    </row>
    <row r="568" spans="1:21" ht="15">
      <c r="A568" s="24">
        <v>40</v>
      </c>
      <c r="B568" s="24">
        <v>4.75</v>
      </c>
      <c r="C568" s="24">
        <v>5.9499473568671517</v>
      </c>
      <c r="D568" s="24">
        <v>0.64137914511354266</v>
      </c>
      <c r="E568" s="24">
        <v>40.772031443095791</v>
      </c>
      <c r="F568" s="24">
        <v>1.5935361385345459</v>
      </c>
      <c r="G568" s="24">
        <v>27.960349176807927</v>
      </c>
      <c r="H568" s="24">
        <v>7.1784732734789864</v>
      </c>
      <c r="I568" s="24">
        <v>11.46366024017334</v>
      </c>
      <c r="J568" s="24">
        <v>0.11210445314645767</v>
      </c>
      <c r="K568" s="29">
        <f t="shared" si="108"/>
        <v>5.0703713418913789</v>
      </c>
      <c r="L568" s="24">
        <f t="shared" si="109"/>
        <v>344.75543485553203</v>
      </c>
      <c r="M568" s="24">
        <f t="shared" si="110"/>
        <v>2.0821929251056154E-2</v>
      </c>
      <c r="N568" s="24">
        <f t="shared" si="111"/>
        <v>4.0772031443095789E-2</v>
      </c>
      <c r="O568">
        <v>5.9656139407041155E-2</v>
      </c>
      <c r="T568">
        <v>3.8821978955461516E-3</v>
      </c>
      <c r="U568">
        <v>-4.4377864715535315E-3</v>
      </c>
    </row>
    <row r="569" spans="1:21" ht="15">
      <c r="A569" s="24">
        <v>40</v>
      </c>
      <c r="B569" s="24">
        <v>5</v>
      </c>
      <c r="C569" s="24">
        <v>6.2247241215342743</v>
      </c>
      <c r="D569" s="24">
        <v>0.57521582277551742</v>
      </c>
      <c r="E569" s="24">
        <v>36.492798943988916</v>
      </c>
      <c r="F569" s="24">
        <v>1.596735954284668</v>
      </c>
      <c r="G569" s="24">
        <v>27.975154256036703</v>
      </c>
      <c r="H569" s="24">
        <v>6.557869633874013</v>
      </c>
      <c r="I569" s="24">
        <v>10.877683639526367</v>
      </c>
      <c r="J569" s="24">
        <v>0.10551317781209946</v>
      </c>
      <c r="K569" s="29">
        <f t="shared" si="108"/>
        <v>5.0741396067550006</v>
      </c>
      <c r="L569" s="24">
        <f t="shared" si="109"/>
        <v>344.71824208132813</v>
      </c>
      <c r="M569" s="24">
        <f t="shared" si="110"/>
        <v>1.9023854363723631E-2</v>
      </c>
      <c r="N569" s="24">
        <f t="shared" si="111"/>
        <v>3.6492798943988915E-2</v>
      </c>
      <c r="O569">
        <v>5.3289279895547083E-2</v>
      </c>
      <c r="T569">
        <v>3.6879982782544226E-3</v>
      </c>
      <c r="U569">
        <v>-4.8279040721803997E-3</v>
      </c>
    </row>
    <row r="570" spans="1:21" ht="15">
      <c r="A570" s="24">
        <v>40</v>
      </c>
      <c r="B570" s="24">
        <v>5.25</v>
      </c>
      <c r="C570" s="24">
        <v>6.4700056250528499</v>
      </c>
      <c r="D570" s="24">
        <v>0.50746818142639571</v>
      </c>
      <c r="E570" s="24">
        <v>32.128782402944182</v>
      </c>
      <c r="F570" s="24">
        <v>1.6000148057937622</v>
      </c>
      <c r="G570" s="24">
        <v>27.990313851448374</v>
      </c>
      <c r="H570" s="24">
        <v>5.8956510506277251</v>
      </c>
      <c r="I570" s="24">
        <v>10.260739326477051</v>
      </c>
      <c r="J570" s="24">
        <v>0.10017701238393784</v>
      </c>
      <c r="K570" s="29">
        <f t="shared" si="108"/>
        <v>5.0780006224882799</v>
      </c>
      <c r="L570" s="24">
        <f t="shared" si="109"/>
        <v>344.68013385604064</v>
      </c>
      <c r="M570" s="24">
        <f t="shared" si="110"/>
        <v>1.7104702219624027E-2</v>
      </c>
      <c r="N570" s="24">
        <f t="shared" si="111"/>
        <v>3.212878240294418E-2</v>
      </c>
      <c r="O570">
        <v>4.652671704815297E-2</v>
      </c>
      <c r="T570">
        <v>3.500745125324061E-3</v>
      </c>
      <c r="U570">
        <v>-5.2181409935426245E-3</v>
      </c>
    </row>
    <row r="571" spans="1:21" ht="15">
      <c r="A571" s="24">
        <v>40</v>
      </c>
      <c r="B571" s="24">
        <v>5.5</v>
      </c>
      <c r="C571" s="24">
        <v>6.629984213440177</v>
      </c>
      <c r="D571" s="24">
        <v>0.42560617807516887</v>
      </c>
      <c r="E571" s="24">
        <v>26.879326377298678</v>
      </c>
      <c r="F571" s="24">
        <v>1.6039801836013794</v>
      </c>
      <c r="G571" s="24">
        <v>28.008631756333038</v>
      </c>
      <c r="H571" s="24">
        <v>5.0596546637744177</v>
      </c>
      <c r="I571" s="24">
        <v>9.4937534332275391</v>
      </c>
      <c r="J571" s="24">
        <v>9.5345467329025269E-2</v>
      </c>
      <c r="K571" s="29">
        <f t="shared" si="108"/>
        <v>5.0826694326088395</v>
      </c>
      <c r="L571" s="24">
        <f t="shared" si="109"/>
        <v>344.63405270015073</v>
      </c>
      <c r="M571" s="24">
        <f t="shared" si="110"/>
        <v>1.4681238328403306E-2</v>
      </c>
      <c r="N571" s="24">
        <f t="shared" si="111"/>
        <v>2.687932637729868E-2</v>
      </c>
      <c r="O571">
        <v>3.8031970272079427E-2</v>
      </c>
      <c r="T571">
        <v>2.709057016042269E-3</v>
      </c>
      <c r="U571">
        <v>-6.8511145279144814E-3</v>
      </c>
    </row>
    <row r="572" spans="1:21" ht="15">
      <c r="A572" s="24">
        <v>40</v>
      </c>
      <c r="B572" s="24">
        <v>5.75</v>
      </c>
      <c r="C572" s="24">
        <v>6.999166372945699</v>
      </c>
      <c r="D572" s="24">
        <v>0.3966733442946907</v>
      </c>
      <c r="E572" s="24">
        <v>25.030177577103601</v>
      </c>
      <c r="F572" s="24">
        <v>1.6053825616836548</v>
      </c>
      <c r="G572" s="24">
        <v>28.01510593086503</v>
      </c>
      <c r="H572" s="24">
        <v>4.7542710413364171</v>
      </c>
      <c r="I572" s="24">
        <v>9.2167778015136719</v>
      </c>
      <c r="J572" s="24">
        <v>9.2673711478710175E-2</v>
      </c>
      <c r="K572" s="29">
        <f t="shared" si="108"/>
        <v>5.0843204404316893</v>
      </c>
      <c r="L572" s="24">
        <f t="shared" si="109"/>
        <v>344.61775725293921</v>
      </c>
      <c r="M572" s="24">
        <f t="shared" si="110"/>
        <v>1.3795780807217439E-2</v>
      </c>
      <c r="N572" s="24">
        <f t="shared" si="111"/>
        <v>2.5030177577103602E-2</v>
      </c>
      <c r="O572">
        <v>3.4940059611866296E-2</v>
      </c>
      <c r="T572">
        <v>1.9209886505596918E-3</v>
      </c>
      <c r="U572">
        <v>-8.4876222891953276E-3</v>
      </c>
    </row>
    <row r="573" spans="1:21" ht="15">
      <c r="A573" s="24">
        <v>40</v>
      </c>
      <c r="B573" s="24">
        <v>6</v>
      </c>
      <c r="C573" s="24">
        <v>7.2501000814658125</v>
      </c>
      <c r="D573" s="24">
        <v>0.3532094257120737</v>
      </c>
      <c r="E573" s="24">
        <v>22.25837322135423</v>
      </c>
      <c r="F573" s="24">
        <v>1.607490062713623</v>
      </c>
      <c r="G573" s="24">
        <v>28.024831663120754</v>
      </c>
      <c r="H573" s="24">
        <v>4.285466841395789</v>
      </c>
      <c r="I573" s="24">
        <v>8.7948322296142578</v>
      </c>
      <c r="J573" s="24">
        <v>9.7150743007659912E-2</v>
      </c>
      <c r="K573" s="29">
        <f t="shared" si="108"/>
        <v>5.0868015168595608</v>
      </c>
      <c r="L573" s="24">
        <f t="shared" si="109"/>
        <v>344.59326902859613</v>
      </c>
      <c r="M573" s="24">
        <f t="shared" si="110"/>
        <v>1.2436304555444345E-2</v>
      </c>
      <c r="N573" s="24">
        <f t="shared" si="111"/>
        <v>2.2258373221354232E-2</v>
      </c>
      <c r="O573">
        <v>3.020460803023528E-2</v>
      </c>
      <c r="T573">
        <v>2.5425443340724172E-3</v>
      </c>
      <c r="U573">
        <v>-7.1946580484803895E-3</v>
      </c>
    </row>
    <row r="574" spans="1:21" ht="15">
      <c r="A574" s="24">
        <v>40</v>
      </c>
      <c r="B574" s="24">
        <v>6.25</v>
      </c>
      <c r="C574" s="24">
        <v>7.4755009188674784</v>
      </c>
      <c r="D574" s="24">
        <v>0.30873723022687311</v>
      </c>
      <c r="E574" s="24">
        <v>19.429768418407956</v>
      </c>
      <c r="F574" s="24">
        <v>1.6096476316452026</v>
      </c>
      <c r="G574" s="24">
        <v>28.034783013119053</v>
      </c>
      <c r="H574" s="24">
        <v>3.7941982963694554</v>
      </c>
      <c r="I574" s="24">
        <v>8.3568124771118164</v>
      </c>
      <c r="J574" s="24">
        <v>8.4969721734523773E-2</v>
      </c>
      <c r="K574" s="29">
        <f t="shared" si="108"/>
        <v>5.0893412365635013</v>
      </c>
      <c r="L574" s="24">
        <f t="shared" si="109"/>
        <v>344.56820199511822</v>
      </c>
      <c r="M574" s="24">
        <f t="shared" si="110"/>
        <v>1.1011458034723734E-2</v>
      </c>
      <c r="N574" s="24">
        <f t="shared" si="111"/>
        <v>1.9429768418407958E-2</v>
      </c>
      <c r="O574">
        <v>2.5255918722684609E-2</v>
      </c>
      <c r="T574">
        <v>1.4104061000905341E-3</v>
      </c>
      <c r="U574">
        <v>-9.5568674405203634E-3</v>
      </c>
    </row>
    <row r="575" spans="1:21" ht="15">
      <c r="A575" s="24">
        <v>40</v>
      </c>
      <c r="B575" s="24">
        <v>6.5</v>
      </c>
      <c r="C575" s="24">
        <v>7.5891830224716346</v>
      </c>
      <c r="D575" s="24">
        <v>0.25210508940169352</v>
      </c>
      <c r="E575" s="24">
        <v>15.838685821885027</v>
      </c>
      <c r="F575" s="24">
        <v>1.6123967170715332</v>
      </c>
      <c r="G575" s="24">
        <v>28.04745534126377</v>
      </c>
      <c r="H575" s="24">
        <v>3.1490381760224482</v>
      </c>
      <c r="I575" s="24">
        <v>7.7878532409667969</v>
      </c>
      <c r="J575" s="24">
        <v>8.5406027734279633E-2</v>
      </c>
      <c r="K575" s="29">
        <f t="shared" si="108"/>
        <v>5.0925769792886992</v>
      </c>
      <c r="L575" s="24">
        <f t="shared" si="109"/>
        <v>344.5362652144205</v>
      </c>
      <c r="M575" s="24">
        <f t="shared" si="110"/>
        <v>9.1399324075875123E-3</v>
      </c>
      <c r="N575" s="24">
        <f t="shared" si="111"/>
        <v>1.5838685821885027E-2</v>
      </c>
      <c r="O575">
        <v>1.8777551130243819E-2</v>
      </c>
      <c r="T575">
        <v>1.6645904615512159E-3</v>
      </c>
      <c r="U575">
        <v>-9.0337913872658125E-3</v>
      </c>
    </row>
    <row r="576" spans="1:21" ht="15">
      <c r="A576" s="24">
        <v>40</v>
      </c>
      <c r="B576" s="24">
        <v>6.75</v>
      </c>
      <c r="C576" s="24">
        <v>8.019443426125795</v>
      </c>
      <c r="D576" s="24">
        <v>0.24191953704596755</v>
      </c>
      <c r="E576" s="24">
        <v>15.194110082433465</v>
      </c>
      <c r="F576" s="24">
        <v>1.6128913164138794</v>
      </c>
      <c r="G576" s="24">
        <v>28.049734518068782</v>
      </c>
      <c r="H576" s="24">
        <v>3.0302954985420167</v>
      </c>
      <c r="I576" s="24">
        <v>7.6838951110839844</v>
      </c>
      <c r="J576" s="24">
        <v>8.1262581050395966E-2</v>
      </c>
      <c r="K576" s="29">
        <f t="shared" si="108"/>
        <v>5.0931591319149616</v>
      </c>
      <c r="L576" s="24">
        <f t="shared" si="109"/>
        <v>344.53051936799932</v>
      </c>
      <c r="M576" s="24">
        <f t="shared" si="110"/>
        <v>8.7954341580558301E-3</v>
      </c>
      <c r="N576" s="24">
        <f t="shared" si="111"/>
        <v>1.5194110082433465E-2</v>
      </c>
      <c r="O576">
        <v>1.758766731172183E-2</v>
      </c>
      <c r="T576">
        <v>1.0647158207305169E-3</v>
      </c>
      <c r="U576">
        <v>-1.0294250591153664E-2</v>
      </c>
    </row>
    <row r="577" spans="1:21" ht="15">
      <c r="A577" s="24">
        <v>40</v>
      </c>
      <c r="B577" s="24">
        <v>7</v>
      </c>
      <c r="C577" s="24">
        <v>7.9204556413843958</v>
      </c>
      <c r="D577" s="24">
        <v>0.17002001012176798</v>
      </c>
      <c r="E577" s="24">
        <v>10.655278164843468</v>
      </c>
      <c r="F577" s="24">
        <v>1.6163845062255859</v>
      </c>
      <c r="G577" s="24">
        <v>28.065823162879962</v>
      </c>
      <c r="H577" s="24">
        <v>2.1738088920462362</v>
      </c>
      <c r="I577" s="24">
        <v>6.940920352935791</v>
      </c>
      <c r="J577" s="24">
        <v>8.5032142698764801E-2</v>
      </c>
      <c r="K577" s="29">
        <f t="shared" si="108"/>
        <v>5.0972701734232428</v>
      </c>
      <c r="L577" s="24">
        <f t="shared" si="109"/>
        <v>344.48994338831261</v>
      </c>
      <c r="M577" s="24">
        <f t="shared" si="110"/>
        <v>6.310224532725753E-3</v>
      </c>
      <c r="N577" s="24">
        <f t="shared" si="111"/>
        <v>1.0655278164843468E-2</v>
      </c>
      <c r="O577">
        <v>9.0263484192880678E-3</v>
      </c>
      <c r="T577">
        <v>1.3100436009997162E-3</v>
      </c>
      <c r="U577">
        <v>-9.7707868911647289E-3</v>
      </c>
    </row>
    <row r="578" spans="1:21" ht="15">
      <c r="A578" s="24">
        <v>40</v>
      </c>
      <c r="B578" s="24">
        <v>7.25</v>
      </c>
      <c r="C578" s="24">
        <v>8.5900604550304109</v>
      </c>
      <c r="D578" s="24">
        <v>0.19423797667981102</v>
      </c>
      <c r="E578" s="24">
        <v>12.181905760729379</v>
      </c>
      <c r="F578" s="24">
        <v>1.6152076721191406</v>
      </c>
      <c r="G578" s="24">
        <v>28.060404013705138</v>
      </c>
      <c r="H578" s="24">
        <v>2.4658224131098909</v>
      </c>
      <c r="I578" s="24">
        <v>7.1928892135620117</v>
      </c>
      <c r="J578" s="24">
        <v>9.3283079564571381E-2</v>
      </c>
      <c r="K578" s="29">
        <f t="shared" si="108"/>
        <v>5.0958851270906811</v>
      </c>
      <c r="L578" s="24">
        <f t="shared" si="109"/>
        <v>344.50361379561497</v>
      </c>
      <c r="M578" s="24">
        <f t="shared" si="110"/>
        <v>7.1576097154464084E-3</v>
      </c>
      <c r="N578" s="24">
        <f t="shared" si="111"/>
        <v>1.2181905760729379E-2</v>
      </c>
      <c r="O578">
        <v>1.1941149962554928E-2</v>
      </c>
      <c r="T578">
        <v>9.2183054290241129E-4</v>
      </c>
      <c r="U578">
        <v>-1.0591833311975003E-2</v>
      </c>
    </row>
    <row r="579" spans="1:21" ht="15">
      <c r="A579" s="24">
        <v>40</v>
      </c>
      <c r="B579" s="24">
        <v>7.5</v>
      </c>
      <c r="C579" s="24">
        <v>8.5302667491248787</v>
      </c>
      <c r="D579" s="24">
        <v>0.14503102258759221</v>
      </c>
      <c r="E579" s="24">
        <v>9.0823745081211253</v>
      </c>
      <c r="F579" s="24">
        <v>1.6175992488861084</v>
      </c>
      <c r="G579" s="24">
        <v>28.07141484006933</v>
      </c>
      <c r="H579" s="24">
        <v>1.8672911107679624</v>
      </c>
      <c r="I579" s="24">
        <v>6.6778979301452637</v>
      </c>
      <c r="J579" s="24">
        <v>8.2061409950256348E-2</v>
      </c>
      <c r="K579" s="29">
        <f t="shared" si="108"/>
        <v>5.0986996574667867</v>
      </c>
      <c r="L579" s="24">
        <f t="shared" si="109"/>
        <v>344.47583438080278</v>
      </c>
      <c r="M579" s="24">
        <f t="shared" si="110"/>
        <v>5.4206737437023081E-3</v>
      </c>
      <c r="N579" s="24">
        <f t="shared" si="111"/>
        <v>9.0823745081211257E-3</v>
      </c>
      <c r="O579">
        <v>5.9712912730976748E-3</v>
      </c>
      <c r="T579">
        <v>7.672695697189285E-4</v>
      </c>
      <c r="U579">
        <v>-1.0913388878634229E-2</v>
      </c>
    </row>
    <row r="580" spans="1:21" ht="15">
      <c r="A580" s="24">
        <v>40</v>
      </c>
      <c r="B580" s="24">
        <v>7.75</v>
      </c>
      <c r="C580" s="24">
        <v>8.8294072178182983</v>
      </c>
      <c r="D580" s="24">
        <v>0.13137585302703006</v>
      </c>
      <c r="E580" s="24">
        <v>8.2238622516694395</v>
      </c>
      <c r="F580" s="24">
        <v>1.6182632446289063</v>
      </c>
      <c r="G580" s="24">
        <v>28.074470398044394</v>
      </c>
      <c r="H580" s="24">
        <v>1.6987531394875752</v>
      </c>
      <c r="I580" s="24">
        <v>6.5339145660400391</v>
      </c>
      <c r="J580" s="24">
        <v>8.2501679658889771E-2</v>
      </c>
      <c r="K580" s="29">
        <f t="shared" si="108"/>
        <v>5.0994809423839556</v>
      </c>
      <c r="L580" s="24">
        <f t="shared" si="109"/>
        <v>344.46812309867033</v>
      </c>
      <c r="M580" s="24">
        <f t="shared" si="110"/>
        <v>4.9315249382334862E-3</v>
      </c>
      <c r="N580" s="24">
        <f t="shared" si="111"/>
        <v>8.2238622516694389E-3</v>
      </c>
      <c r="O580">
        <v>4.2933568427572007E-3</v>
      </c>
      <c r="T580">
        <v>8.6529348835062182E-4</v>
      </c>
      <c r="U580">
        <v>-1.0485943406448596E-2</v>
      </c>
    </row>
    <row r="581" spans="1:21" ht="15">
      <c r="A581" s="24">
        <v>40</v>
      </c>
      <c r="B581" s="24">
        <v>8</v>
      </c>
      <c r="C581" s="24">
        <v>9.1501981017567822</v>
      </c>
      <c r="D581" s="24">
        <v>0.12158511648872664</v>
      </c>
      <c r="E581" s="24">
        <v>7.6087434204389464</v>
      </c>
      <c r="F581" s="24">
        <v>1.6187393665313721</v>
      </c>
      <c r="G581" s="24">
        <v>28.076661228629003</v>
      </c>
      <c r="H581" s="24">
        <v>1.5767183787090402</v>
      </c>
      <c r="I581" s="24">
        <v>6.4299354553222656</v>
      </c>
      <c r="J581" s="24">
        <v>7.2857148945331573E-2</v>
      </c>
      <c r="K581" s="29">
        <f t="shared" si="108"/>
        <v>5.1000411864553001</v>
      </c>
      <c r="L581" s="24">
        <f t="shared" si="109"/>
        <v>344.46259348968618</v>
      </c>
      <c r="M581" s="24">
        <f t="shared" si="110"/>
        <v>4.5773283035919834E-3</v>
      </c>
      <c r="N581" s="24">
        <f t="shared" si="111"/>
        <v>7.6087434204389461E-3</v>
      </c>
      <c r="O581">
        <v>3.0792524397173209E-3</v>
      </c>
      <c r="T581">
        <v>1.1027517385168633E-4</v>
      </c>
      <c r="U581">
        <v>-1.2248991539840685E-2</v>
      </c>
    </row>
    <row r="582" spans="1:21" ht="15">
      <c r="A582" s="24">
        <v>40</v>
      </c>
      <c r="B582" s="24">
        <v>8.25</v>
      </c>
      <c r="C582" s="24">
        <v>9.4805428242029315</v>
      </c>
      <c r="D582" s="24">
        <v>0.11336231572608503</v>
      </c>
      <c r="E582" s="24">
        <v>7.0924119963465202</v>
      </c>
      <c r="F582" s="24">
        <v>1.6191391944885254</v>
      </c>
      <c r="G582" s="24">
        <v>28.078501209036144</v>
      </c>
      <c r="H582" s="24">
        <v>1.4732488061394469</v>
      </c>
      <c r="I582" s="24">
        <v>6.3419547080993652</v>
      </c>
      <c r="J582" s="24">
        <v>8.9920349419116974E-2</v>
      </c>
      <c r="K582" s="29">
        <f t="shared" si="108"/>
        <v>5.1005117515952252</v>
      </c>
      <c r="L582" s="24">
        <f t="shared" si="109"/>
        <v>344.45794901175509</v>
      </c>
      <c r="M582" s="24">
        <f t="shared" si="110"/>
        <v>4.2770062655432296E-3</v>
      </c>
      <c r="N582" s="24">
        <f t="shared" si="111"/>
        <v>7.0924119963465208E-3</v>
      </c>
      <c r="O582">
        <v>2.0504101448695321E-3</v>
      </c>
      <c r="T582">
        <v>6.3964109998733486E-4</v>
      </c>
      <c r="U582">
        <v>-1.0571489763629675E-2</v>
      </c>
    </row>
    <row r="583" spans="1:21" ht="15">
      <c r="A583" s="24">
        <v>40</v>
      </c>
      <c r="B583" s="24">
        <v>8.5</v>
      </c>
      <c r="C583" s="24">
        <v>9.6148262922873489</v>
      </c>
      <c r="D583" s="24">
        <v>9.4408560321041446E-2</v>
      </c>
      <c r="E583" s="24">
        <v>5.9032259650917478</v>
      </c>
      <c r="F583" s="24">
        <v>1.6200611591339111</v>
      </c>
      <c r="G583" s="24">
        <v>28.082742408548782</v>
      </c>
      <c r="H583" s="24">
        <v>1.233774076600306</v>
      </c>
      <c r="I583" s="24">
        <v>6.138969898223877</v>
      </c>
      <c r="J583" s="24">
        <v>7.9440563917160034E-2</v>
      </c>
      <c r="K583" s="29">
        <f t="shared" si="108"/>
        <v>5.1015965591532488</v>
      </c>
      <c r="L583" s="24">
        <f t="shared" si="109"/>
        <v>344.44724196115737</v>
      </c>
      <c r="M583" s="24">
        <f t="shared" si="110"/>
        <v>3.5818956469955889E-3</v>
      </c>
      <c r="N583" s="24">
        <f t="shared" si="111"/>
        <v>5.9032259650917476E-3</v>
      </c>
      <c r="O583">
        <v>-3.2892988984635843E-4</v>
      </c>
      <c r="T583">
        <v>1.6272438469058483E-4</v>
      </c>
      <c r="U583">
        <v>-1.197541519852989E-2</v>
      </c>
    </row>
    <row r="584" spans="1:21" ht="15">
      <c r="A584" s="24">
        <v>40</v>
      </c>
      <c r="B584" s="24">
        <v>8.75</v>
      </c>
      <c r="C584" s="24">
        <v>9.8064295162421651</v>
      </c>
      <c r="D584" s="24">
        <v>8.0388706454460154E-2</v>
      </c>
      <c r="E584" s="24">
        <v>5.0244701208584717</v>
      </c>
      <c r="F584" s="24">
        <v>1.6207432746887207</v>
      </c>
      <c r="G584" s="24">
        <v>28.085879570346826</v>
      </c>
      <c r="H584" s="24">
        <v>1.0549653630641143</v>
      </c>
      <c r="I584" s="24">
        <v>5.9879837036132812</v>
      </c>
      <c r="J584" s="24">
        <v>8.7265416979789734E-2</v>
      </c>
      <c r="K584" s="29">
        <f t="shared" si="108"/>
        <v>5.1023991064127552</v>
      </c>
      <c r="L584" s="24">
        <f t="shared" si="109"/>
        <v>344.4393208197061</v>
      </c>
      <c r="M584" s="24">
        <f t="shared" si="110"/>
        <v>3.0628482269488828E-3</v>
      </c>
      <c r="N584" s="24">
        <f t="shared" si="111"/>
        <v>5.0244701208584722E-3</v>
      </c>
      <c r="O584">
        <v>-2.103811230963433E-3</v>
      </c>
    </row>
    <row r="585" spans="1:21" ht="15">
      <c r="A585" s="24">
        <v>40</v>
      </c>
      <c r="B585" s="24">
        <v>9</v>
      </c>
      <c r="C585" s="24">
        <v>9.8802472837998501</v>
      </c>
      <c r="D585" s="24">
        <v>6.214700800242335E-2</v>
      </c>
      <c r="E585" s="24">
        <v>3.8821978955461516</v>
      </c>
      <c r="F585" s="24">
        <v>1.6216309070587158</v>
      </c>
      <c r="G585" s="24">
        <v>28.089961435968238</v>
      </c>
      <c r="H585" s="24">
        <v>0.81961035472592214</v>
      </c>
      <c r="I585" s="24">
        <v>5.7899918556213379</v>
      </c>
      <c r="J585" s="24">
        <v>7.6715655624866486E-2</v>
      </c>
      <c r="K585" s="29">
        <f t="shared" si="108"/>
        <v>5.1034434913359616</v>
      </c>
      <c r="L585" s="24">
        <f t="shared" si="109"/>
        <v>344.42901274051405</v>
      </c>
      <c r="M585" s="24">
        <f t="shared" si="110"/>
        <v>2.3796205441711737E-3</v>
      </c>
      <c r="N585" s="24">
        <f t="shared" si="111"/>
        <v>3.8821978955461516E-3</v>
      </c>
      <c r="O585">
        <v>-4.4377864715535315E-3</v>
      </c>
    </row>
    <row r="586" spans="1:21" ht="15">
      <c r="A586" s="24">
        <v>40</v>
      </c>
      <c r="B586" s="24">
        <v>9.25</v>
      </c>
      <c r="C586" s="24">
        <v>10.25473809289818</v>
      </c>
      <c r="D586" s="24">
        <v>5.9043719498250338E-2</v>
      </c>
      <c r="E586" s="24">
        <v>3.6879982782544225</v>
      </c>
      <c r="F586" s="24">
        <v>1.6217818260192871</v>
      </c>
      <c r="G586" s="24">
        <v>28.090655845356256</v>
      </c>
      <c r="H586" s="24">
        <v>0.7802488254222093</v>
      </c>
      <c r="I586" s="24">
        <v>5.7569656372070313</v>
      </c>
      <c r="J586" s="24">
        <v>6.7344523966312408E-2</v>
      </c>
      <c r="K586" s="29">
        <f t="shared" si="108"/>
        <v>5.1036211811734047</v>
      </c>
      <c r="L586" s="24">
        <f t="shared" si="109"/>
        <v>344.42725894181848</v>
      </c>
      <c r="M586" s="24">
        <f t="shared" si="110"/>
        <v>2.2653515514984572E-3</v>
      </c>
      <c r="N586" s="24">
        <f t="shared" si="111"/>
        <v>3.6879982782544226E-3</v>
      </c>
      <c r="O586">
        <v>-4.8279040721803997E-3</v>
      </c>
    </row>
    <row r="587" spans="1:21" ht="15">
      <c r="A587" s="24">
        <v>40</v>
      </c>
      <c r="B587" s="24">
        <v>9.5</v>
      </c>
      <c r="C587" s="24">
        <v>10.60489410291062</v>
      </c>
      <c r="D587" s="24">
        <v>5.6050887484552829E-2</v>
      </c>
      <c r="E587" s="24">
        <v>3.5007451253240611</v>
      </c>
      <c r="F587" s="24">
        <v>1.6219274997711182</v>
      </c>
      <c r="G587" s="24">
        <v>28.091325538375219</v>
      </c>
      <c r="H587" s="24">
        <v>0.74086606502049157</v>
      </c>
      <c r="I587" s="24">
        <v>5.72393798828125</v>
      </c>
      <c r="J587" s="24">
        <v>7.9489462077617645E-2</v>
      </c>
      <c r="K587" s="29">
        <f t="shared" si="108"/>
        <v>5.1037925515153457</v>
      </c>
      <c r="L587" s="24">
        <f t="shared" si="109"/>
        <v>344.42556751654348</v>
      </c>
      <c r="M587" s="24">
        <f t="shared" si="110"/>
        <v>2.1510193635230239E-3</v>
      </c>
      <c r="N587" s="24">
        <f t="shared" si="111"/>
        <v>3.500745125324061E-3</v>
      </c>
      <c r="O587">
        <v>-5.2181409935426245E-3</v>
      </c>
    </row>
    <row r="588" spans="1:21" ht="15">
      <c r="A588" s="24">
        <v>40</v>
      </c>
      <c r="B588" s="24">
        <v>9.75</v>
      </c>
      <c r="C588" s="24">
        <v>10.65493215581099</v>
      </c>
      <c r="D588" s="24">
        <v>4.3391543218159939E-2</v>
      </c>
      <c r="E588" s="24">
        <v>2.7090570160422689</v>
      </c>
      <c r="F588" s="24">
        <v>1.6225436925888062</v>
      </c>
      <c r="G588" s="24">
        <v>28.09415826485003</v>
      </c>
      <c r="H588" s="24">
        <v>0.57599594958255018</v>
      </c>
      <c r="I588" s="24">
        <v>5.585939884185791</v>
      </c>
      <c r="J588" s="24">
        <v>7.0316359400749207E-2</v>
      </c>
      <c r="K588" s="29">
        <f t="shared" si="108"/>
        <v>5.10451748409199</v>
      </c>
      <c r="L588" s="24">
        <f t="shared" si="109"/>
        <v>344.41841243201202</v>
      </c>
      <c r="M588" s="24">
        <f t="shared" si="110"/>
        <v>1.6723726978337763E-3</v>
      </c>
      <c r="N588" s="24">
        <f t="shared" si="111"/>
        <v>2.709057016042269E-3</v>
      </c>
      <c r="O588">
        <v>-6.8511145279144814E-3</v>
      </c>
    </row>
    <row r="589" spans="1:21" ht="15">
      <c r="A589" s="24">
        <v>40</v>
      </c>
      <c r="B589" s="24">
        <v>10</v>
      </c>
      <c r="C589" s="24">
        <v>10.680318211725071</v>
      </c>
      <c r="D589" s="24">
        <v>3.0780525586474008E-2</v>
      </c>
      <c r="E589" s="24">
        <v>1.9209886505596918</v>
      </c>
      <c r="F589" s="24">
        <v>1.6231575012207031</v>
      </c>
      <c r="G589" s="24">
        <v>28.096980177483722</v>
      </c>
      <c r="H589" s="24">
        <v>0.41064956109988709</v>
      </c>
      <c r="I589" s="24">
        <v>5.4479532241821289</v>
      </c>
      <c r="J589" s="24">
        <v>6.1573836952447891E-2</v>
      </c>
      <c r="K589" s="29">
        <f t="shared" si="108"/>
        <v>5.1052397380827355</v>
      </c>
      <c r="L589" s="24">
        <f t="shared" si="109"/>
        <v>344.41128378512337</v>
      </c>
      <c r="M589" s="24">
        <f t="shared" si="110"/>
        <v>1.1923231915830304E-3</v>
      </c>
      <c r="N589" s="24">
        <f t="shared" si="111"/>
        <v>1.9209886505596918E-3</v>
      </c>
      <c r="O589">
        <v>-8.4876222891953276E-3</v>
      </c>
    </row>
    <row r="590" spans="1:21" ht="15">
      <c r="A590" s="24">
        <v>40</v>
      </c>
      <c r="B590" s="24">
        <v>10.25</v>
      </c>
      <c r="C590" s="24">
        <v>11.454116489010911</v>
      </c>
      <c r="D590" s="24">
        <v>4.0727728531397576E-2</v>
      </c>
      <c r="E590" s="24">
        <v>2.5425443340724172</v>
      </c>
      <c r="F590" s="24">
        <v>1.6226733922958374</v>
      </c>
      <c r="G590" s="24">
        <v>28.094754335090983</v>
      </c>
      <c r="H590" s="24">
        <v>0.54129569620050733</v>
      </c>
      <c r="I590" s="24">
        <v>5.556948184967041</v>
      </c>
      <c r="J590" s="24">
        <v>8.1360101699829102E-2</v>
      </c>
      <c r="K590" s="29">
        <f t="shared" si="108"/>
        <v>5.1046700378118199</v>
      </c>
      <c r="L590" s="24">
        <f t="shared" si="109"/>
        <v>344.41690672679727</v>
      </c>
      <c r="M590" s="24">
        <f t="shared" si="110"/>
        <v>1.5716292830824381E-3</v>
      </c>
      <c r="N590" s="24">
        <f t="shared" si="111"/>
        <v>2.5425443340724172E-3</v>
      </c>
      <c r="O590">
        <v>-7.1946580484803895E-3</v>
      </c>
    </row>
    <row r="591" spans="1:21" ht="15">
      <c r="A591" s="24">
        <v>40</v>
      </c>
      <c r="B591" s="24">
        <v>10.5</v>
      </c>
      <c r="C591" s="24">
        <v>11.170375767774324</v>
      </c>
      <c r="D591" s="24">
        <v>2.2604863682498172E-2</v>
      </c>
      <c r="E591" s="24">
        <v>1.4104061000905341</v>
      </c>
      <c r="F591" s="24">
        <v>1.6235555410385132</v>
      </c>
      <c r="G591" s="24">
        <v>28.098809609833229</v>
      </c>
      <c r="H591" s="24">
        <v>0.30255294070185806</v>
      </c>
      <c r="I591" s="24">
        <v>5.3579626083374023</v>
      </c>
      <c r="J591" s="24">
        <v>5.4107196629047394E-2</v>
      </c>
      <c r="K591" s="29">
        <f t="shared" si="108"/>
        <v>5.1057080192308826</v>
      </c>
      <c r="L591" s="24">
        <f t="shared" si="109"/>
        <v>344.40666185019114</v>
      </c>
      <c r="M591" s="24">
        <f t="shared" si="110"/>
        <v>8.7847586651346925E-4</v>
      </c>
      <c r="N591" s="24">
        <f t="shared" si="111"/>
        <v>1.4104061000905341E-3</v>
      </c>
      <c r="O591">
        <v>-9.5568674405203634E-3</v>
      </c>
    </row>
    <row r="592" spans="1:21" ht="15">
      <c r="A592" s="24">
        <v>40</v>
      </c>
      <c r="B592" s="24">
        <v>10.75</v>
      </c>
      <c r="C592" s="24">
        <v>11.700510670953138</v>
      </c>
      <c r="D592" s="24">
        <v>2.6675471318809943E-2</v>
      </c>
      <c r="E592" s="24">
        <v>1.6645904615512159</v>
      </c>
      <c r="F592" s="24">
        <v>1.6233574151992798</v>
      </c>
      <c r="G592" s="24">
        <v>28.097898747645004</v>
      </c>
      <c r="H592" s="24">
        <v>0.35543948445352747</v>
      </c>
      <c r="I592" s="24">
        <v>5.4019646644592285</v>
      </c>
      <c r="J592" s="24">
        <v>0.12573966383934021</v>
      </c>
      <c r="K592" s="29">
        <f t="shared" si="108"/>
        <v>5.1054748605066917</v>
      </c>
      <c r="L592" s="24">
        <f t="shared" si="109"/>
        <v>344.40896312679894</v>
      </c>
      <c r="M592" s="24">
        <f t="shared" si="110"/>
        <v>1.0320273933250323E-3</v>
      </c>
      <c r="N592" s="24">
        <f t="shared" si="111"/>
        <v>1.6645904615512159E-3</v>
      </c>
      <c r="O592">
        <v>-9.0337913872658125E-3</v>
      </c>
    </row>
    <row r="593" spans="1:15" ht="15">
      <c r="A593" s="24">
        <v>40</v>
      </c>
      <c r="B593" s="24">
        <v>11</v>
      </c>
      <c r="C593" s="24">
        <v>11.619178381175731</v>
      </c>
      <c r="D593" s="24">
        <v>1.7067249471440109E-2</v>
      </c>
      <c r="E593" s="24">
        <v>1.064715820730517</v>
      </c>
      <c r="F593" s="24">
        <v>1.6238251924514771</v>
      </c>
      <c r="G593" s="24">
        <v>28.100048737710061</v>
      </c>
      <c r="H593" s="24">
        <v>0.22797654778632945</v>
      </c>
      <c r="I593" s="24">
        <v>5.2959742546081543</v>
      </c>
      <c r="J593" s="24">
        <v>0.11134281009435654</v>
      </c>
      <c r="K593" s="29">
        <f t="shared" si="108"/>
        <v>5.1060252208759955</v>
      </c>
      <c r="L593" s="24">
        <f t="shared" si="109"/>
        <v>344.40353106995394</v>
      </c>
      <c r="M593" s="24">
        <f t="shared" si="110"/>
        <v>6.6194602325381994E-4</v>
      </c>
      <c r="N593" s="24">
        <f t="shared" si="111"/>
        <v>1.0647158207305169E-3</v>
      </c>
      <c r="O593">
        <v>-1.0294250591153664E-2</v>
      </c>
    </row>
    <row r="594" spans="1:15" ht="15">
      <c r="A594" s="24">
        <v>40</v>
      </c>
      <c r="B594" s="24">
        <v>11.25</v>
      </c>
      <c r="C594" s="24">
        <v>12.205548427774463</v>
      </c>
      <c r="D594" s="24">
        <v>2.0997345762676478E-2</v>
      </c>
      <c r="E594" s="24">
        <v>1.3100436009997163</v>
      </c>
      <c r="F594" s="24">
        <v>1.623633861541748</v>
      </c>
      <c r="G594" s="24">
        <v>28.099169317135154</v>
      </c>
      <c r="H594" s="24">
        <v>0.28092028393776436</v>
      </c>
      <c r="I594" s="24">
        <v>5.339972972869873</v>
      </c>
      <c r="J594" s="24">
        <v>9.7927272319793701E-2</v>
      </c>
      <c r="K594" s="29">
        <f t="shared" si="108"/>
        <v>5.1058000981581593</v>
      </c>
      <c r="L594" s="24">
        <f t="shared" si="109"/>
        <v>344.40575303117896</v>
      </c>
      <c r="M594" s="24">
        <f t="shared" si="110"/>
        <v>8.1566664164385409E-4</v>
      </c>
      <c r="N594" s="24">
        <f t="shared" si="111"/>
        <v>1.3100436009997162E-3</v>
      </c>
      <c r="O594">
        <v>-9.7707868911647289E-3</v>
      </c>
    </row>
    <row r="595" spans="1:15" ht="15">
      <c r="A595" s="24">
        <v>40</v>
      </c>
      <c r="B595" s="24">
        <v>11.5</v>
      </c>
      <c r="C595" s="24">
        <v>12.199730018904415</v>
      </c>
      <c r="D595" s="24">
        <v>1.4777832334895465E-2</v>
      </c>
      <c r="E595" s="24">
        <v>0.92183054290241129</v>
      </c>
      <c r="F595" s="24">
        <v>1.623936653137207</v>
      </c>
      <c r="G595" s="24">
        <v>28.100561030637571</v>
      </c>
      <c r="H595" s="24">
        <v>0.19787374590304738</v>
      </c>
      <c r="I595" s="24">
        <v>5.2709794044494629</v>
      </c>
      <c r="J595" s="24">
        <v>8.6329609155654907E-2</v>
      </c>
      <c r="K595" s="29">
        <f t="shared" si="108"/>
        <v>5.106156366621537</v>
      </c>
      <c r="L595" s="24">
        <f t="shared" si="109"/>
        <v>344.40223666144544</v>
      </c>
      <c r="M595" s="24">
        <f t="shared" si="110"/>
        <v>5.7454256923877465E-4</v>
      </c>
      <c r="N595" s="24">
        <f t="shared" si="111"/>
        <v>9.2183054290241129E-4</v>
      </c>
      <c r="O595">
        <v>-1.0591833311975003E-2</v>
      </c>
    </row>
    <row r="596" spans="1:15" ht="15">
      <c r="A596" s="24">
        <v>40</v>
      </c>
      <c r="B596" s="24">
        <v>11.75</v>
      </c>
      <c r="C596" s="24">
        <v>12.411254388090205</v>
      </c>
      <c r="D596" s="24">
        <v>1.2300984380173465E-2</v>
      </c>
      <c r="E596" s="24">
        <v>0.76726956971892846</v>
      </c>
      <c r="F596" s="24">
        <v>1.6240572929382324</v>
      </c>
      <c r="G596" s="24">
        <v>28.101115264145072</v>
      </c>
      <c r="H596" s="24">
        <v>0.16534154593288702</v>
      </c>
      <c r="I596" s="24">
        <v>5.2439827919006348</v>
      </c>
      <c r="J596" s="24">
        <v>7.5599297881126404E-2</v>
      </c>
      <c r="K596" s="29">
        <f t="shared" si="108"/>
        <v>5.1062982523447449</v>
      </c>
      <c r="L596" s="24">
        <f t="shared" si="109"/>
        <v>344.40083624935738</v>
      </c>
      <c r="M596" s="24">
        <f t="shared" si="110"/>
        <v>4.8008462387464816E-4</v>
      </c>
      <c r="N596" s="24">
        <f t="shared" si="111"/>
        <v>7.672695697189285E-4</v>
      </c>
      <c r="O596">
        <v>-1.0913388878634229E-2</v>
      </c>
    </row>
    <row r="597" spans="1:15" ht="15">
      <c r="A597" s="24">
        <v>40</v>
      </c>
      <c r="B597" s="24">
        <v>12</v>
      </c>
      <c r="C597" s="24">
        <v>12.899249876626495</v>
      </c>
      <c r="D597" s="24">
        <v>1.3871865644723124E-2</v>
      </c>
      <c r="E597" s="24">
        <v>0.86529348835062181</v>
      </c>
      <c r="F597" s="24">
        <v>1.6239807605743408</v>
      </c>
      <c r="G597" s="24">
        <v>28.10076375486835</v>
      </c>
      <c r="H597" s="24">
        <v>0.20859591453028273</v>
      </c>
      <c r="I597" s="24">
        <v>5.2799816131591797</v>
      </c>
      <c r="J597" s="24">
        <v>6.6622406244277954E-2</v>
      </c>
      <c r="K597" s="29">
        <f t="shared" si="108"/>
        <v>5.1062082643394122</v>
      </c>
      <c r="L597" s="24">
        <f t="shared" si="109"/>
        <v>344.40172443096992</v>
      </c>
      <c r="M597" s="24">
        <f t="shared" si="110"/>
        <v>6.0567616168278682E-4</v>
      </c>
      <c r="N597" s="24">
        <f t="shared" si="111"/>
        <v>8.6529348835062182E-4</v>
      </c>
      <c r="O597">
        <v>-1.0485943406448596E-2</v>
      </c>
    </row>
    <row r="598" spans="1:15" ht="15">
      <c r="A598" s="24">
        <v>40</v>
      </c>
      <c r="B598" s="24">
        <v>12.25</v>
      </c>
      <c r="C598" s="24">
        <v>12.362317836812878</v>
      </c>
      <c r="D598" s="24">
        <v>1.7685069559907037E-3</v>
      </c>
      <c r="E598" s="24">
        <v>0.11027517385168632</v>
      </c>
      <c r="F598" s="24">
        <v>1.6245701313018799</v>
      </c>
      <c r="G598" s="24">
        <v>28.103472070865624</v>
      </c>
      <c r="H598" s="24">
        <v>3.0168318352117397E-2</v>
      </c>
      <c r="I598" s="24">
        <v>5.131993293762207</v>
      </c>
      <c r="J598" s="24">
        <v>5.8618541806936264E-2</v>
      </c>
      <c r="K598" s="29">
        <f t="shared" si="108"/>
        <v>5.1069016413367274</v>
      </c>
      <c r="L598" s="24">
        <f t="shared" si="109"/>
        <v>344.39488080000649</v>
      </c>
      <c r="M598" s="24">
        <f t="shared" si="110"/>
        <v>8.7598045249796962E-5</v>
      </c>
      <c r="N598" s="24">
        <f t="shared" si="111"/>
        <v>1.1027517385168633E-4</v>
      </c>
      <c r="O598">
        <v>-1.2248991539840685E-2</v>
      </c>
    </row>
    <row r="599" spans="1:15" ht="15">
      <c r="A599" s="24">
        <v>40</v>
      </c>
      <c r="B599" s="24">
        <v>12.5</v>
      </c>
      <c r="C599" s="24">
        <v>13.344017496318175</v>
      </c>
      <c r="D599" s="24">
        <v>1.0255453937326266E-2</v>
      </c>
      <c r="E599" s="24">
        <v>0.63964109998733487</v>
      </c>
      <c r="F599" s="24">
        <v>1.6241568326950073</v>
      </c>
      <c r="G599" s="24">
        <v>28.101572983606566</v>
      </c>
      <c r="H599" s="24">
        <v>0.19995819824545735</v>
      </c>
      <c r="I599" s="24">
        <v>5.2729840278625488</v>
      </c>
      <c r="J599" s="24">
        <v>5.1379192620515823E-2</v>
      </c>
      <c r="K599" s="29">
        <f t="shared" si="108"/>
        <v>5.1064154327123257</v>
      </c>
      <c r="L599" s="24">
        <f t="shared" si="109"/>
        <v>344.39967967912935</v>
      </c>
      <c r="M599" s="24">
        <f t="shared" si="110"/>
        <v>5.8059925732728503E-4</v>
      </c>
      <c r="N599" s="24">
        <f t="shared" si="111"/>
        <v>6.3964109998733486E-4</v>
      </c>
      <c r="O599">
        <v>-1.0571489763629675E-2</v>
      </c>
    </row>
    <row r="600" spans="1:15" ht="15">
      <c r="A600" s="24">
        <v>40</v>
      </c>
      <c r="B600" s="24">
        <v>12.75</v>
      </c>
      <c r="C600" s="24">
        <v>12.963289744156944</v>
      </c>
      <c r="D600" s="24">
        <v>2.6095805681485675E-3</v>
      </c>
      <c r="E600" s="24">
        <v>0.16272438469058484</v>
      </c>
      <c r="F600" s="24">
        <v>1.6245291233062744</v>
      </c>
      <c r="G600" s="24">
        <v>28.103283867477021</v>
      </c>
      <c r="H600" s="24">
        <v>5.7865039777675688E-2</v>
      </c>
      <c r="I600" s="24">
        <v>5.1549935340881348</v>
      </c>
      <c r="J600" s="24">
        <v>4.5115653425455093E-2</v>
      </c>
      <c r="K600" s="29">
        <f t="shared" si="108"/>
        <v>5.1068534552857434</v>
      </c>
      <c r="L600" s="24">
        <f t="shared" si="109"/>
        <v>344.3953563963297</v>
      </c>
      <c r="M600" s="24">
        <f t="shared" si="110"/>
        <v>1.6801922181286521E-4</v>
      </c>
      <c r="N600" s="24">
        <f t="shared" si="111"/>
        <v>1.6272438469058483E-4</v>
      </c>
      <c r="O600">
        <v>-1.197541519852989E-2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0"/>
  <dimension ref="B4:CL182"/>
  <sheetViews>
    <sheetView topLeftCell="BR46" zoomScaleNormal="100" workbookViewId="0">
      <selection activeCell="R94" sqref="R94"/>
    </sheetView>
  </sheetViews>
  <sheetFormatPr defaultRowHeight="12.75"/>
  <sheetData>
    <row r="4" spans="2:90">
      <c r="B4" s="24"/>
      <c r="C4" s="19" t="s">
        <v>281</v>
      </c>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row>
    <row r="5" spans="2:90">
      <c r="B5" s="24" t="s">
        <v>276</v>
      </c>
      <c r="C5" s="24">
        <v>30</v>
      </c>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row>
    <row r="6" spans="2:90">
      <c r="B6" s="19" t="s">
        <v>243</v>
      </c>
      <c r="C6" s="24">
        <v>100</v>
      </c>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row>
    <row r="7" spans="2:90">
      <c r="B7" s="19" t="s">
        <v>232</v>
      </c>
      <c r="C7" s="24">
        <v>381</v>
      </c>
      <c r="D7" s="24"/>
      <c r="E7" s="24"/>
      <c r="F7" s="24"/>
      <c r="G7" s="24"/>
      <c r="H7" s="24"/>
      <c r="I7" s="24"/>
      <c r="J7" s="24"/>
      <c r="K7" s="3"/>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row>
    <row r="8" spans="2:90">
      <c r="B8" s="19" t="s">
        <v>148</v>
      </c>
      <c r="C8">
        <v>15</v>
      </c>
      <c r="K8">
        <v>20</v>
      </c>
      <c r="S8">
        <v>25</v>
      </c>
      <c r="AA8" s="24">
        <v>30</v>
      </c>
      <c r="AB8" s="24"/>
      <c r="AC8" s="24"/>
      <c r="AD8" s="24"/>
      <c r="AE8" s="24"/>
      <c r="AF8" s="24"/>
      <c r="AG8" s="24"/>
      <c r="AH8" s="24"/>
      <c r="AI8" s="24">
        <v>35</v>
      </c>
      <c r="AJ8" s="24"/>
      <c r="AK8" s="24"/>
      <c r="AL8" s="24"/>
      <c r="AM8" s="24"/>
      <c r="AN8" s="24"/>
      <c r="AO8" s="24"/>
      <c r="AP8" s="24"/>
      <c r="AQ8" s="24">
        <v>40</v>
      </c>
      <c r="AR8" s="24"/>
      <c r="AS8" s="24"/>
      <c r="AT8" s="24"/>
      <c r="AU8" s="24"/>
      <c r="AV8" s="24"/>
      <c r="AW8" s="24"/>
      <c r="AX8" s="24"/>
      <c r="AY8" s="24">
        <v>45</v>
      </c>
      <c r="AZ8" s="24"/>
      <c r="BA8" s="24"/>
      <c r="BB8" s="24"/>
      <c r="BC8" s="24"/>
      <c r="BD8" s="24"/>
      <c r="BE8" s="24"/>
      <c r="BF8" s="24"/>
      <c r="BG8" s="24">
        <v>50</v>
      </c>
      <c r="BH8" s="24"/>
      <c r="BI8" s="24"/>
      <c r="BJ8" s="24"/>
      <c r="BK8" s="24"/>
      <c r="BL8" s="24"/>
      <c r="BM8" s="24"/>
      <c r="BN8" s="24"/>
      <c r="BO8" s="24">
        <v>55</v>
      </c>
      <c r="BP8" s="24"/>
      <c r="BQ8" s="24"/>
      <c r="BR8" s="24"/>
      <c r="BS8" s="24"/>
      <c r="BT8" s="24"/>
      <c r="BU8" s="24"/>
      <c r="BV8" s="24"/>
      <c r="BW8" s="24">
        <v>60</v>
      </c>
      <c r="BX8" s="24"/>
      <c r="BY8" s="24"/>
      <c r="BZ8" s="24"/>
      <c r="CA8" s="24"/>
      <c r="CB8" s="24"/>
      <c r="CC8" s="24"/>
      <c r="CD8" s="24"/>
      <c r="CE8" s="24">
        <v>65</v>
      </c>
      <c r="CF8" s="24"/>
      <c r="CG8" s="24"/>
      <c r="CH8" s="24"/>
      <c r="CI8" s="24"/>
      <c r="CJ8" s="24"/>
      <c r="CK8" s="24"/>
      <c r="CL8" s="24"/>
    </row>
    <row r="9" spans="2:90">
      <c r="B9" s="26" t="s">
        <v>93</v>
      </c>
      <c r="C9" s="24" t="s">
        <v>154</v>
      </c>
      <c r="D9" s="24" t="s">
        <v>155</v>
      </c>
      <c r="E9" s="24" t="s">
        <v>156</v>
      </c>
      <c r="F9" s="24" t="s">
        <v>159</v>
      </c>
      <c r="G9" s="24" t="s">
        <v>238</v>
      </c>
      <c r="H9" s="24" t="s">
        <v>157</v>
      </c>
      <c r="I9" s="24" t="s">
        <v>160</v>
      </c>
      <c r="J9" s="24" t="s">
        <v>265</v>
      </c>
      <c r="K9" s="24" t="s">
        <v>154</v>
      </c>
      <c r="L9" s="24" t="s">
        <v>155</v>
      </c>
      <c r="M9" s="24" t="s">
        <v>156</v>
      </c>
      <c r="N9" s="24" t="s">
        <v>159</v>
      </c>
      <c r="O9" s="24" t="s">
        <v>238</v>
      </c>
      <c r="P9" s="24" t="s">
        <v>157</v>
      </c>
      <c r="Q9" s="24" t="s">
        <v>160</v>
      </c>
      <c r="R9" s="24" t="s">
        <v>265</v>
      </c>
      <c r="S9" s="24" t="s">
        <v>154</v>
      </c>
      <c r="T9" s="24" t="s">
        <v>155</v>
      </c>
      <c r="U9" s="24" t="s">
        <v>156</v>
      </c>
      <c r="V9" s="24" t="s">
        <v>159</v>
      </c>
      <c r="W9" s="24" t="s">
        <v>238</v>
      </c>
      <c r="X9" s="24" t="s">
        <v>157</v>
      </c>
      <c r="Y9" s="24" t="s">
        <v>160</v>
      </c>
      <c r="Z9" s="24" t="s">
        <v>265</v>
      </c>
      <c r="AA9" s="24" t="s">
        <v>154</v>
      </c>
      <c r="AB9" s="24" t="s">
        <v>155</v>
      </c>
      <c r="AC9" s="24" t="s">
        <v>156</v>
      </c>
      <c r="AD9" s="24" t="s">
        <v>159</v>
      </c>
      <c r="AE9" s="24" t="s">
        <v>238</v>
      </c>
      <c r="AF9" s="24" t="s">
        <v>157</v>
      </c>
      <c r="AG9" s="24" t="s">
        <v>160</v>
      </c>
      <c r="AH9" s="24" t="s">
        <v>265</v>
      </c>
      <c r="AI9" s="24" t="s">
        <v>154</v>
      </c>
      <c r="AJ9" s="24" t="s">
        <v>155</v>
      </c>
      <c r="AK9" s="24" t="s">
        <v>156</v>
      </c>
      <c r="AL9" s="24" t="s">
        <v>159</v>
      </c>
      <c r="AM9" s="24" t="s">
        <v>238</v>
      </c>
      <c r="AN9" s="24" t="s">
        <v>157</v>
      </c>
      <c r="AO9" s="24" t="s">
        <v>160</v>
      </c>
      <c r="AP9" s="24" t="s">
        <v>265</v>
      </c>
      <c r="AQ9" s="24" t="s">
        <v>154</v>
      </c>
      <c r="AR9" s="24" t="s">
        <v>155</v>
      </c>
      <c r="AS9" s="24" t="s">
        <v>156</v>
      </c>
      <c r="AT9" s="24" t="s">
        <v>159</v>
      </c>
      <c r="AU9" s="24" t="s">
        <v>238</v>
      </c>
      <c r="AV9" s="24" t="s">
        <v>157</v>
      </c>
      <c r="AW9" s="24" t="s">
        <v>160</v>
      </c>
      <c r="AX9" s="24" t="s">
        <v>265</v>
      </c>
      <c r="AY9" s="24" t="s">
        <v>154</v>
      </c>
      <c r="AZ9" s="24" t="s">
        <v>155</v>
      </c>
      <c r="BA9" s="24" t="s">
        <v>156</v>
      </c>
      <c r="BB9" s="24" t="s">
        <v>159</v>
      </c>
      <c r="BC9" s="24" t="s">
        <v>238</v>
      </c>
      <c r="BD9" s="24" t="s">
        <v>157</v>
      </c>
      <c r="BE9" s="24" t="s">
        <v>160</v>
      </c>
      <c r="BF9" s="24" t="s">
        <v>265</v>
      </c>
      <c r="BG9" s="24" t="s">
        <v>154</v>
      </c>
      <c r="BH9" s="24" t="s">
        <v>155</v>
      </c>
      <c r="BI9" s="24" t="s">
        <v>156</v>
      </c>
      <c r="BJ9" s="24" t="s">
        <v>159</v>
      </c>
      <c r="BK9" s="24" t="s">
        <v>238</v>
      </c>
      <c r="BL9" s="24" t="s">
        <v>157</v>
      </c>
      <c r="BM9" s="24" t="s">
        <v>160</v>
      </c>
      <c r="BN9" s="24" t="s">
        <v>265</v>
      </c>
      <c r="BO9" s="24" t="s">
        <v>154</v>
      </c>
      <c r="BP9" s="24" t="s">
        <v>155</v>
      </c>
      <c r="BQ9" s="24" t="s">
        <v>156</v>
      </c>
      <c r="BR9" s="24" t="s">
        <v>159</v>
      </c>
      <c r="BS9" s="24" t="s">
        <v>238</v>
      </c>
      <c r="BT9" s="24" t="s">
        <v>157</v>
      </c>
      <c r="BU9" s="24" t="s">
        <v>160</v>
      </c>
      <c r="BV9" s="24" t="s">
        <v>265</v>
      </c>
      <c r="BW9" s="24" t="s">
        <v>154</v>
      </c>
      <c r="BX9" s="24" t="s">
        <v>155</v>
      </c>
      <c r="BY9" s="24" t="s">
        <v>156</v>
      </c>
      <c r="BZ9" s="24" t="s">
        <v>159</v>
      </c>
      <c r="CA9" s="24" t="s">
        <v>238</v>
      </c>
      <c r="CB9" s="24" t="s">
        <v>157</v>
      </c>
      <c r="CC9" s="24" t="s">
        <v>160</v>
      </c>
      <c r="CD9" s="24" t="s">
        <v>265</v>
      </c>
      <c r="CE9" s="24" t="s">
        <v>154</v>
      </c>
      <c r="CF9" s="24" t="s">
        <v>155</v>
      </c>
      <c r="CG9" s="24" t="s">
        <v>156</v>
      </c>
      <c r="CH9" s="24" t="s">
        <v>159</v>
      </c>
      <c r="CI9" s="24" t="s">
        <v>238</v>
      </c>
      <c r="CJ9" s="24" t="s">
        <v>157</v>
      </c>
      <c r="CK9" s="24" t="s">
        <v>160</v>
      </c>
      <c r="CL9" s="24" t="s">
        <v>265</v>
      </c>
    </row>
    <row r="10" spans="2:90">
      <c r="B10" s="26">
        <v>0.1</v>
      </c>
      <c r="C10" s="24">
        <v>0.90009428548273474</v>
      </c>
      <c r="D10" s="24">
        <v>3.4401413807406929</v>
      </c>
      <c r="E10" s="24">
        <v>569.28395418059017</v>
      </c>
      <c r="F10" s="24">
        <v>0.61214852333068848</v>
      </c>
      <c r="G10" s="24">
        <v>32.027231467589814</v>
      </c>
      <c r="H10" s="24">
        <v>6.4538723690990416</v>
      </c>
      <c r="I10" s="24">
        <v>13.163402557373047</v>
      </c>
      <c r="J10" s="24">
        <v>1.5215944051742554</v>
      </c>
      <c r="K10" s="24">
        <v>0.86983120241683287</v>
      </c>
      <c r="L10" s="24">
        <v>3.3316684543209405</v>
      </c>
      <c r="M10" s="24">
        <v>545.62228044550454</v>
      </c>
      <c r="N10" s="24">
        <v>0.61855614185333252</v>
      </c>
      <c r="O10" s="24">
        <v>32.051310433333462</v>
      </c>
      <c r="P10" s="24">
        <v>9.7540419869532862</v>
      </c>
      <c r="Q10" s="24">
        <v>17.103397369384766</v>
      </c>
      <c r="R10" s="24">
        <v>1.0850213766098022</v>
      </c>
      <c r="S10" s="24">
        <v>0.86552967359616417</v>
      </c>
      <c r="T10" s="24">
        <v>3.3161723219752619</v>
      </c>
      <c r="U10" s="24">
        <v>542.28143691764342</v>
      </c>
      <c r="V10" s="24">
        <v>0.61947214603424072</v>
      </c>
      <c r="W10" s="24">
        <v>32.054750285582557</v>
      </c>
      <c r="X10" s="24">
        <v>12.907547874663701</v>
      </c>
      <c r="Y10" s="24">
        <v>21.142398834228516</v>
      </c>
      <c r="Z10" s="24">
        <v>0.91606831550598145</v>
      </c>
      <c r="AA10" s="24">
        <v>0.83982580202965906</v>
      </c>
      <c r="AB10" s="24">
        <v>3.2231955279011886</v>
      </c>
      <c r="AC10" s="24">
        <v>522.43920948189043</v>
      </c>
      <c r="AD10" s="24">
        <v>0.62497168779373169</v>
      </c>
      <c r="AE10" s="24">
        <v>32.075389399077118</v>
      </c>
      <c r="AF10" s="24">
        <v>15.747989106774538</v>
      </c>
      <c r="AG10" s="24">
        <v>25.115407943725586</v>
      </c>
      <c r="AH10" s="24">
        <v>0.73762470483779907</v>
      </c>
      <c r="AI10" s="24">
        <v>0.83555930284102564</v>
      </c>
      <c r="AJ10" s="24">
        <v>3.20769939555551</v>
      </c>
      <c r="AK10" s="24">
        <v>519.1656047551121</v>
      </c>
      <c r="AL10" s="24">
        <v>0.62588882446289063</v>
      </c>
      <c r="AM10" s="24">
        <v>32.078829251326212</v>
      </c>
      <c r="AN10" s="24">
        <v>18.453381899630887</v>
      </c>
      <c r="AO10" s="24">
        <v>29.239410400390625</v>
      </c>
      <c r="AP10" s="24">
        <v>0.70027071237564087</v>
      </c>
      <c r="AQ10" s="24">
        <v>0.81005666569915924</v>
      </c>
      <c r="AR10" s="24">
        <v>3.1147226014814371</v>
      </c>
      <c r="AS10" s="24">
        <v>499.72101352008644</v>
      </c>
      <c r="AT10" s="24">
        <v>0.63139510154724121</v>
      </c>
      <c r="AU10" s="24">
        <v>32.099468364820773</v>
      </c>
      <c r="AV10" s="24">
        <v>20.801288455492191</v>
      </c>
      <c r="AW10" s="24">
        <v>33.253391265869141</v>
      </c>
      <c r="AX10" s="24">
        <v>0.65367335081100464</v>
      </c>
      <c r="AY10" s="24">
        <v>0.78050439107602398</v>
      </c>
      <c r="AZ10" s="24">
        <v>3.0062496750616847</v>
      </c>
      <c r="BA10" s="24">
        <v>477.45448429709427</v>
      </c>
      <c r="BB10" s="24">
        <v>0.63782644271850586</v>
      </c>
      <c r="BC10" s="24">
        <v>32.123547330564421</v>
      </c>
      <c r="BD10" s="24">
        <v>22.86326057612985</v>
      </c>
      <c r="BE10" s="24">
        <v>37.239410400390625</v>
      </c>
      <c r="BF10" s="24">
        <v>0.61083287000656128</v>
      </c>
      <c r="BG10" s="24">
        <v>0.77629948339222743</v>
      </c>
      <c r="BH10" s="24">
        <v>2.9907535427160057</v>
      </c>
      <c r="BI10" s="24">
        <v>474.30967501322402</v>
      </c>
      <c r="BJ10" s="24">
        <v>0.63874584436416626</v>
      </c>
      <c r="BK10" s="24">
        <v>32.126987182813515</v>
      </c>
      <c r="BL10" s="24">
        <v>24.814866910127556</v>
      </c>
      <c r="BM10" s="24">
        <v>41.521415710449219</v>
      </c>
      <c r="BN10" s="24">
        <v>0.63341337442398071</v>
      </c>
      <c r="BO10" s="24">
        <v>0.75115034823547178</v>
      </c>
      <c r="BP10" s="24">
        <v>2.8977767486419328</v>
      </c>
      <c r="BQ10" s="24">
        <v>455.62690871200283</v>
      </c>
      <c r="BR10" s="24">
        <v>0.64426571130752563</v>
      </c>
      <c r="BS10" s="24">
        <v>32.147626296308076</v>
      </c>
      <c r="BT10" s="24">
        <v>26.393354021613206</v>
      </c>
      <c r="BU10" s="24">
        <v>45.611412048339844</v>
      </c>
      <c r="BV10" s="24">
        <v>0.6449466347694397</v>
      </c>
      <c r="BW10" s="24">
        <v>0.73029461148562569</v>
      </c>
      <c r="BX10" s="24">
        <v>2.8202960869135394</v>
      </c>
      <c r="BY10" s="24">
        <v>440.29773169442984</v>
      </c>
      <c r="BZ10" s="24">
        <v>0.64886999130249023</v>
      </c>
      <c r="CA10" s="24">
        <v>32.164825557553542</v>
      </c>
      <c r="CB10" s="24">
        <v>27.77001885082629</v>
      </c>
      <c r="CC10" s="24">
        <v>49.778415679931641</v>
      </c>
      <c r="CD10" s="24">
        <v>0.66050499677658081</v>
      </c>
      <c r="CE10" s="24">
        <v>0.70538203065779637</v>
      </c>
      <c r="CF10" s="24">
        <v>2.7273192928394656</v>
      </c>
      <c r="CG10" s="24">
        <v>422.1840112345414</v>
      </c>
      <c r="CH10" s="24">
        <v>0.6544005274772644</v>
      </c>
      <c r="CI10" s="24">
        <v>32.185464671048102</v>
      </c>
      <c r="CJ10" s="24">
        <v>28.926805926932328</v>
      </c>
      <c r="CK10" s="24">
        <v>53.895397186279297</v>
      </c>
      <c r="CL10" s="24">
        <v>0.68247067928314209</v>
      </c>
    </row>
    <row r="11" spans="2:90">
      <c r="B11" s="26">
        <v>0.15</v>
      </c>
      <c r="C11" s="24">
        <v>0.90009428548273474</v>
      </c>
      <c r="D11" s="24">
        <v>3.4401413807406929</v>
      </c>
      <c r="E11" s="24">
        <v>526.2963200409356</v>
      </c>
      <c r="F11" s="24">
        <v>0.66214853525161743</v>
      </c>
      <c r="G11" s="24">
        <v>32.027231467589814</v>
      </c>
      <c r="H11" s="24">
        <v>6.3507800649489674</v>
      </c>
      <c r="I11" s="24">
        <v>13.04539966583252</v>
      </c>
      <c r="J11" s="24">
        <v>1.5220928192138672</v>
      </c>
      <c r="K11" s="24">
        <v>0.90009428548273474</v>
      </c>
      <c r="L11" s="24">
        <v>3.4556375130863719</v>
      </c>
      <c r="M11" s="24">
        <v>529.39836840030796</v>
      </c>
      <c r="N11" s="24">
        <v>0.66123378276824951</v>
      </c>
      <c r="O11" s="24">
        <v>32.02379161534072</v>
      </c>
      <c r="P11" s="24">
        <v>9.7146892056197522</v>
      </c>
      <c r="Q11" s="24">
        <v>17.026405334472656</v>
      </c>
      <c r="R11" s="24">
        <v>1.1491811275482178</v>
      </c>
      <c r="S11" s="24">
        <v>0.86552967359616417</v>
      </c>
      <c r="T11" s="24">
        <v>3.3316684543209405</v>
      </c>
      <c r="U11" s="24">
        <v>504.81626254261204</v>
      </c>
      <c r="V11" s="24">
        <v>0.66855615377426147</v>
      </c>
      <c r="W11" s="24">
        <v>32.051310433333462</v>
      </c>
      <c r="X11" s="24">
        <v>12.737040338520812</v>
      </c>
      <c r="Y11" s="24">
        <v>20.911403656005859</v>
      </c>
      <c r="Z11" s="24">
        <v>0.8749811053276062</v>
      </c>
      <c r="AA11" s="24">
        <v>0.86552967359616417</v>
      </c>
      <c r="AB11" s="24">
        <v>3.3316684543209405</v>
      </c>
      <c r="AC11" s="24">
        <v>504.81626254261204</v>
      </c>
      <c r="AD11" s="24">
        <v>0.66855615377426147</v>
      </c>
      <c r="AE11" s="24">
        <v>32.051310433333462</v>
      </c>
      <c r="AF11" s="24">
        <v>15.672724849919181</v>
      </c>
      <c r="AG11" s="24">
        <v>24.968404769897461</v>
      </c>
      <c r="AH11" s="24">
        <v>0.7608610987663269</v>
      </c>
      <c r="AI11" s="24">
        <v>0.83555930284102564</v>
      </c>
      <c r="AJ11" s="24">
        <v>3.20769939555551</v>
      </c>
      <c r="AK11" s="24">
        <v>480.75946547035699</v>
      </c>
      <c r="AL11" s="24">
        <v>0.67588883638381958</v>
      </c>
      <c r="AM11" s="24">
        <v>32.078829251326212</v>
      </c>
      <c r="AN11" s="24">
        <v>18.215089351453646</v>
      </c>
      <c r="AO11" s="24">
        <v>28.859403610229492</v>
      </c>
      <c r="AP11" s="24">
        <v>0.67614620923995972</v>
      </c>
      <c r="AQ11" s="24">
        <v>0.81005666569915924</v>
      </c>
      <c r="AR11" s="24">
        <v>3.1302187338271157</v>
      </c>
      <c r="AS11" s="24">
        <v>465.9836631823656</v>
      </c>
      <c r="AT11" s="24">
        <v>0.68047696352005005</v>
      </c>
      <c r="AU11" s="24">
        <v>32.096028512571678</v>
      </c>
      <c r="AV11" s="24">
        <v>20.575896719510467</v>
      </c>
      <c r="AW11" s="24">
        <v>32.844402313232422</v>
      </c>
      <c r="AX11" s="24">
        <v>0.61825817823410034</v>
      </c>
      <c r="AY11" s="24">
        <v>0.81005666569915924</v>
      </c>
      <c r="AZ11" s="24">
        <v>3.1302187338271157</v>
      </c>
      <c r="BA11" s="24">
        <v>465.9836631823656</v>
      </c>
      <c r="BB11" s="24">
        <v>0.68047696352005005</v>
      </c>
      <c r="BC11" s="24">
        <v>32.096028512571678</v>
      </c>
      <c r="BD11" s="24">
        <v>22.811616494999498</v>
      </c>
      <c r="BE11" s="24">
        <v>37.066398620605469</v>
      </c>
      <c r="BF11" s="24">
        <v>0.62038946151733398</v>
      </c>
      <c r="BG11" s="24">
        <v>0.78050439107602398</v>
      </c>
      <c r="BH11" s="24">
        <v>3.0217458074073638</v>
      </c>
      <c r="BI11" s="24">
        <v>445.62475846131679</v>
      </c>
      <c r="BJ11" s="24">
        <v>0.68690717220306396</v>
      </c>
      <c r="BK11" s="24">
        <v>32.120107478315333</v>
      </c>
      <c r="BL11" s="24">
        <v>24.620262176719582</v>
      </c>
      <c r="BM11" s="24">
        <v>41.045406341552734</v>
      </c>
      <c r="BN11" s="24">
        <v>0.61358100175857544</v>
      </c>
      <c r="BO11" s="24">
        <v>0.75533202957909829</v>
      </c>
      <c r="BP11" s="24">
        <v>2.9287690133332904</v>
      </c>
      <c r="BQ11" s="24">
        <v>428.47132985499132</v>
      </c>
      <c r="BR11" s="24">
        <v>0.69242507219314575</v>
      </c>
      <c r="BS11" s="24">
        <v>32.140746591809894</v>
      </c>
      <c r="BT11" s="24">
        <v>26.209274860274029</v>
      </c>
      <c r="BU11" s="24">
        <v>45.086406707763672</v>
      </c>
      <c r="BV11" s="24">
        <v>0.6154557466506958</v>
      </c>
      <c r="BW11" s="24">
        <v>0.73029461148562569</v>
      </c>
      <c r="BX11" s="24">
        <v>2.8202960869135394</v>
      </c>
      <c r="BY11" s="24">
        <v>408.79704305837186</v>
      </c>
      <c r="BZ11" s="24">
        <v>0.69887000322341919</v>
      </c>
      <c r="CA11" s="24">
        <v>32.164825557553542</v>
      </c>
      <c r="CB11" s="24">
        <v>27.550274557517188</v>
      </c>
      <c r="CC11" s="24">
        <v>49.077415466308594</v>
      </c>
      <c r="CD11" s="24">
        <v>0.62867993116378784</v>
      </c>
      <c r="CE11" s="24">
        <v>0.70538203065779637</v>
      </c>
      <c r="CF11" s="24">
        <v>2.7428154251851447</v>
      </c>
      <c r="CG11" s="24">
        <v>394.96196464306814</v>
      </c>
      <c r="CH11" s="24">
        <v>0.70347839593887329</v>
      </c>
      <c r="CI11" s="24">
        <v>32.182024818799007</v>
      </c>
      <c r="CJ11" s="24">
        <v>28.744943886949457</v>
      </c>
      <c r="CK11" s="24">
        <v>53.204414367675781</v>
      </c>
      <c r="CL11" s="24">
        <v>0.65235686302185059</v>
      </c>
    </row>
    <row r="12" spans="2:90">
      <c r="B12" s="26">
        <v>0.2</v>
      </c>
      <c r="C12" s="24">
        <v>0.90009428548273474</v>
      </c>
      <c r="D12" s="24">
        <v>3.4556375130863719</v>
      </c>
      <c r="E12" s="24">
        <v>492.18146524028157</v>
      </c>
      <c r="F12" s="24">
        <v>0.71123379468917847</v>
      </c>
      <c r="G12" s="24">
        <v>32.02379161534072</v>
      </c>
      <c r="H12" s="24">
        <v>6.2602857237926317</v>
      </c>
      <c r="I12" s="24">
        <v>12.939399719238281</v>
      </c>
      <c r="J12" s="24">
        <v>1.5222933292388916</v>
      </c>
      <c r="K12" s="24">
        <v>0.90009428548273474</v>
      </c>
      <c r="L12" s="24">
        <v>3.4556375130863719</v>
      </c>
      <c r="M12" s="24">
        <v>492.18146524028157</v>
      </c>
      <c r="N12" s="24">
        <v>0.71123379468917847</v>
      </c>
      <c r="O12" s="24">
        <v>32.02379161534072</v>
      </c>
      <c r="P12" s="24">
        <v>9.5703284536675337</v>
      </c>
      <c r="Q12" s="24">
        <v>16.849403381347656</v>
      </c>
      <c r="R12" s="24">
        <v>1.0827029943466187</v>
      </c>
      <c r="S12" s="24">
        <v>0.89142074963175311</v>
      </c>
      <c r="T12" s="24">
        <v>3.4246452483950134</v>
      </c>
      <c r="U12" s="24">
        <v>486.5157342395035</v>
      </c>
      <c r="V12" s="24">
        <v>0.71306341886520386</v>
      </c>
      <c r="W12" s="24">
        <v>32.030671319838909</v>
      </c>
      <c r="X12" s="24">
        <v>12.66046068262877</v>
      </c>
      <c r="Y12" s="24">
        <v>20.78339958190918</v>
      </c>
      <c r="Z12" s="24">
        <v>0.87347817420959473</v>
      </c>
      <c r="AA12" s="24">
        <v>0.86552967359616417</v>
      </c>
      <c r="AB12" s="24">
        <v>3.3316684543209405</v>
      </c>
      <c r="AC12" s="24">
        <v>469.68913531324546</v>
      </c>
      <c r="AD12" s="24">
        <v>0.71855616569519043</v>
      </c>
      <c r="AE12" s="24">
        <v>32.051310433333462</v>
      </c>
      <c r="AF12" s="24">
        <v>15.462240535185339</v>
      </c>
      <c r="AG12" s="24">
        <v>24.665410995483398</v>
      </c>
      <c r="AH12" s="24">
        <v>0.7325824499130249</v>
      </c>
      <c r="AI12" s="24">
        <v>0.83982580202965906</v>
      </c>
      <c r="AJ12" s="24">
        <v>3.2386916602468672</v>
      </c>
      <c r="AK12" s="24">
        <v>453.11420747055774</v>
      </c>
      <c r="AL12" s="24">
        <v>0.72405469417572021</v>
      </c>
      <c r="AM12" s="24">
        <v>32.071949546828023</v>
      </c>
      <c r="AN12" s="24">
        <v>18.028234804374257</v>
      </c>
      <c r="AO12" s="24">
        <v>28.551422119140625</v>
      </c>
      <c r="AP12" s="24">
        <v>0.67224669456481934</v>
      </c>
      <c r="AQ12" s="24">
        <v>0.83555930284102564</v>
      </c>
      <c r="AR12" s="24">
        <v>3.2231955279011886</v>
      </c>
      <c r="AS12" s="24">
        <v>450.37581325789091</v>
      </c>
      <c r="AT12" s="24">
        <v>0.72497165203094482</v>
      </c>
      <c r="AU12" s="24">
        <v>32.075389399077118</v>
      </c>
      <c r="AV12" s="24">
        <v>20.479571952499651</v>
      </c>
      <c r="AW12" s="24">
        <v>32.630405426025391</v>
      </c>
      <c r="AX12" s="24">
        <v>0.62952351570129395</v>
      </c>
      <c r="AY12" s="24">
        <v>0.81005666569915924</v>
      </c>
      <c r="AZ12" s="24">
        <v>3.1302187338271157</v>
      </c>
      <c r="BA12" s="24">
        <v>434.08781476002099</v>
      </c>
      <c r="BB12" s="24">
        <v>0.730476975440979</v>
      </c>
      <c r="BC12" s="24">
        <v>32.096028512571678</v>
      </c>
      <c r="BD12" s="24">
        <v>22.566359811462032</v>
      </c>
      <c r="BE12" s="24">
        <v>36.574394226074219</v>
      </c>
      <c r="BF12" s="24">
        <v>0.60004287958145142</v>
      </c>
      <c r="BG12" s="24">
        <v>0.78050439107602398</v>
      </c>
      <c r="BH12" s="24">
        <v>3.0217458074073638</v>
      </c>
      <c r="BI12" s="24">
        <v>415.38860627226188</v>
      </c>
      <c r="BJ12" s="24">
        <v>0.73690718412399292</v>
      </c>
      <c r="BK12" s="24">
        <v>32.120107478315333</v>
      </c>
      <c r="BL12" s="24">
        <v>24.378302704619983</v>
      </c>
      <c r="BM12" s="24">
        <v>40.488410949707031</v>
      </c>
      <c r="BN12" s="24">
        <v>0.58308982849121094</v>
      </c>
      <c r="BO12" s="24">
        <v>0.75533202957909829</v>
      </c>
      <c r="BP12" s="24">
        <v>2.9287690133332904</v>
      </c>
      <c r="BQ12" s="24">
        <v>399.61513055293369</v>
      </c>
      <c r="BR12" s="24">
        <v>0.74242508411407471</v>
      </c>
      <c r="BS12" s="24">
        <v>32.140746591809894</v>
      </c>
      <c r="BT12" s="24">
        <v>25.976536141620059</v>
      </c>
      <c r="BU12" s="24">
        <v>44.464420318603516</v>
      </c>
      <c r="BV12" s="24">
        <v>0.59416627883911133</v>
      </c>
      <c r="BW12" s="24">
        <v>0.73029461148562569</v>
      </c>
      <c r="BX12" s="24">
        <v>2.8202960869135394</v>
      </c>
      <c r="BY12" s="24">
        <v>381.50278387093641</v>
      </c>
      <c r="BZ12" s="24">
        <v>0.74887001514434814</v>
      </c>
      <c r="CA12" s="24">
        <v>32.164825557553542</v>
      </c>
      <c r="CB12" s="24">
        <v>27.329149131896443</v>
      </c>
      <c r="CC12" s="24">
        <v>48.390419006347656</v>
      </c>
      <c r="CD12" s="24">
        <v>0.59144490957260132</v>
      </c>
      <c r="CE12" s="24">
        <v>0.72613440359543202</v>
      </c>
      <c r="CF12" s="24">
        <v>2.8202960869135394</v>
      </c>
      <c r="CG12" s="24">
        <v>381.50278387093641</v>
      </c>
      <c r="CH12" s="24">
        <v>0.74887001514434814</v>
      </c>
      <c r="CI12" s="24">
        <v>32.164825557553542</v>
      </c>
      <c r="CJ12" s="24">
        <v>28.660075023167582</v>
      </c>
      <c r="CK12" s="24">
        <v>52.824398040771484</v>
      </c>
      <c r="CL12" s="24">
        <v>0.65263241529464722</v>
      </c>
    </row>
    <row r="13" spans="2:90">
      <c r="B13" s="24">
        <v>0.25</v>
      </c>
      <c r="C13" s="24">
        <v>0.92188223988296725</v>
      </c>
      <c r="D13" s="24">
        <v>3.5331181748147658</v>
      </c>
      <c r="E13" s="24">
        <v>473.00462750989391</v>
      </c>
      <c r="F13" s="24">
        <v>0.75666248798370361</v>
      </c>
      <c r="G13" s="24">
        <v>32.006592354095254</v>
      </c>
      <c r="H13" s="24">
        <v>6.2120687501017704</v>
      </c>
      <c r="I13" s="24">
        <v>12.871399879455566</v>
      </c>
      <c r="J13" s="24">
        <v>1.665156364440918</v>
      </c>
      <c r="K13" s="24">
        <v>0.90009428548273474</v>
      </c>
      <c r="L13" s="24">
        <v>3.4556375130863719</v>
      </c>
      <c r="M13" s="24">
        <v>459.85358625713104</v>
      </c>
      <c r="N13" s="24">
        <v>0.76123374700546265</v>
      </c>
      <c r="O13" s="24">
        <v>32.02379161534072</v>
      </c>
      <c r="P13" s="24">
        <v>9.4295988792131453</v>
      </c>
      <c r="Q13" s="24">
        <v>16.677410125732422</v>
      </c>
      <c r="R13" s="24">
        <v>1.081717848777771</v>
      </c>
      <c r="S13" s="24">
        <v>0.89575475610466881</v>
      </c>
      <c r="T13" s="24">
        <v>3.4401413807406929</v>
      </c>
      <c r="U13" s="24">
        <v>457.24201945426711</v>
      </c>
      <c r="V13" s="24">
        <v>0.76214849948883057</v>
      </c>
      <c r="W13" s="24">
        <v>32.027231467589814</v>
      </c>
      <c r="X13" s="24">
        <v>12.501412674953654</v>
      </c>
      <c r="Y13" s="24">
        <v>20.56941032409668</v>
      </c>
      <c r="Z13" s="24">
        <v>0.87152105569839478</v>
      </c>
      <c r="AA13" s="24">
        <v>0.86983120241683287</v>
      </c>
      <c r="AB13" s="24">
        <v>3.3471645866666195</v>
      </c>
      <c r="AC13" s="24">
        <v>441.70137911210088</v>
      </c>
      <c r="AD13" s="24">
        <v>0.76764029264450073</v>
      </c>
      <c r="AE13" s="24">
        <v>32.047870581084375</v>
      </c>
      <c r="AF13" s="24">
        <v>15.276468651200496</v>
      </c>
      <c r="AG13" s="24">
        <v>24.394405364990234</v>
      </c>
      <c r="AH13" s="24">
        <v>0.7546265721321106</v>
      </c>
      <c r="AI13" s="24">
        <v>0.86552967359616417</v>
      </c>
      <c r="AJ13" s="24">
        <v>3.3316684543209405</v>
      </c>
      <c r="AK13" s="24">
        <v>439.13254303536399</v>
      </c>
      <c r="AL13" s="24">
        <v>0.76855611801147461</v>
      </c>
      <c r="AM13" s="24">
        <v>32.051310433333462</v>
      </c>
      <c r="AN13" s="24">
        <v>17.941946993869045</v>
      </c>
      <c r="AO13" s="24">
        <v>28.378410339355469</v>
      </c>
      <c r="AP13" s="24">
        <v>0.67007249593734741</v>
      </c>
      <c r="AQ13" s="24">
        <v>0.83555930284102564</v>
      </c>
      <c r="AR13" s="24">
        <v>3.2231955279011886</v>
      </c>
      <c r="AS13" s="24">
        <v>421.31824710790039</v>
      </c>
      <c r="AT13" s="24">
        <v>0.77497166395187378</v>
      </c>
      <c r="AU13" s="24">
        <v>32.075389399077118</v>
      </c>
      <c r="AV13" s="24">
        <v>20.241114417948751</v>
      </c>
      <c r="AW13" s="24">
        <v>32.213401794433594</v>
      </c>
      <c r="AX13" s="24">
        <v>0.6093670129776001</v>
      </c>
      <c r="AY13" s="24">
        <v>0.81005666569915924</v>
      </c>
      <c r="AZ13" s="24">
        <v>3.1302187338271157</v>
      </c>
      <c r="BA13" s="24">
        <v>406.27867857575251</v>
      </c>
      <c r="BB13" s="24">
        <v>0.78047698736190796</v>
      </c>
      <c r="BC13" s="24">
        <v>32.096028512571678</v>
      </c>
      <c r="BD13" s="24">
        <v>22.323721946035246</v>
      </c>
      <c r="BE13" s="24">
        <v>36.095394134521484</v>
      </c>
      <c r="BF13" s="24">
        <v>0.56992858648300171</v>
      </c>
      <c r="BG13" s="24">
        <v>0.80582244827751714</v>
      </c>
      <c r="BH13" s="24">
        <v>3.1147226014814371</v>
      </c>
      <c r="BI13" s="24">
        <v>403.79239561021984</v>
      </c>
      <c r="BJ13" s="24">
        <v>0.7813950777053833</v>
      </c>
      <c r="BK13" s="24">
        <v>32.099468364820773</v>
      </c>
      <c r="BL13" s="24">
        <v>24.29711182200052</v>
      </c>
      <c r="BM13" s="24">
        <v>40.247402191162109</v>
      </c>
      <c r="BN13" s="24">
        <v>0.59903150796890259</v>
      </c>
      <c r="BO13" s="24">
        <v>0.78050439107602398</v>
      </c>
      <c r="BP13" s="24">
        <v>3.0217458074073638</v>
      </c>
      <c r="BQ13" s="24">
        <v>388.99485794004067</v>
      </c>
      <c r="BR13" s="24">
        <v>0.78690719604492188</v>
      </c>
      <c r="BS13" s="24">
        <v>32.120107478315333</v>
      </c>
      <c r="BT13" s="24">
        <v>25.903302967347155</v>
      </c>
      <c r="BU13" s="24">
        <v>44.207405090332031</v>
      </c>
      <c r="BV13" s="24">
        <v>0.59845364093780518</v>
      </c>
      <c r="BW13" s="24">
        <v>0.75533202957909829</v>
      </c>
      <c r="BX13" s="24">
        <v>2.9287690133332904</v>
      </c>
      <c r="BY13" s="24">
        <v>374.4004362339453</v>
      </c>
      <c r="BZ13" s="24">
        <v>0.79242509603500366</v>
      </c>
      <c r="CA13" s="24">
        <v>32.140746591809894</v>
      </c>
      <c r="CB13" s="24">
        <v>27.290284414314783</v>
      </c>
      <c r="CC13" s="24">
        <v>48.186424255371094</v>
      </c>
      <c r="CD13" s="24">
        <v>0.61111927032470703</v>
      </c>
      <c r="CE13" s="24">
        <v>0.73029461148562569</v>
      </c>
      <c r="CF13" s="24">
        <v>2.8357922192592175</v>
      </c>
      <c r="CG13" s="24">
        <v>360.00523316076595</v>
      </c>
      <c r="CH13" s="24">
        <v>0.79794883728027344</v>
      </c>
      <c r="CI13" s="24">
        <v>32.161385705304447</v>
      </c>
      <c r="CJ13" s="24">
        <v>28.483294700299851</v>
      </c>
      <c r="CK13" s="24">
        <v>52.177406311035156</v>
      </c>
      <c r="CL13" s="24">
        <v>0.61753737926483154</v>
      </c>
    </row>
    <row r="14" spans="2:90">
      <c r="B14" s="24">
        <f t="shared" ref="B14:B29" si="0">B13+0.25</f>
        <v>0.5</v>
      </c>
      <c r="C14" s="24">
        <v>0.96592287912266406</v>
      </c>
      <c r="D14" s="24">
        <v>3.6880794982715539</v>
      </c>
      <c r="E14" s="24">
        <v>374.52676834540858</v>
      </c>
      <c r="F14" s="24">
        <v>0.99753206968307495</v>
      </c>
      <c r="G14" s="24">
        <v>31.972193831604322</v>
      </c>
      <c r="H14" s="24">
        <v>5.8710771249399389</v>
      </c>
      <c r="I14" s="24">
        <v>12.459399223327637</v>
      </c>
      <c r="J14" s="24">
        <v>1.6660916805267334</v>
      </c>
      <c r="K14" s="24">
        <v>0.93502611011604653</v>
      </c>
      <c r="L14" s="24">
        <v>3.5796065718518015</v>
      </c>
      <c r="M14" s="24">
        <v>361.19764100632125</v>
      </c>
      <c r="N14" s="24">
        <v>1.0039217472076416</v>
      </c>
      <c r="O14" s="24">
        <v>31.996272797347974</v>
      </c>
      <c r="P14" s="24">
        <v>8.8991873792731848</v>
      </c>
      <c r="Q14" s="24">
        <v>16.007411956787109</v>
      </c>
      <c r="R14" s="24">
        <v>1.0770835876464844</v>
      </c>
      <c r="S14" s="24">
        <v>0.93502611011604653</v>
      </c>
      <c r="T14" s="24">
        <v>3.5796065718518015</v>
      </c>
      <c r="U14" s="24">
        <v>361.19764100632125</v>
      </c>
      <c r="V14" s="24">
        <v>1.0039217472076416</v>
      </c>
      <c r="W14" s="24">
        <v>31.996272797347974</v>
      </c>
      <c r="X14" s="24">
        <v>11.85065652898068</v>
      </c>
      <c r="Y14" s="24">
        <v>19.683408737182617</v>
      </c>
      <c r="Z14" s="24">
        <v>0.82752877473831177</v>
      </c>
      <c r="AA14" s="24">
        <v>0.90009428548273474</v>
      </c>
      <c r="AB14" s="24">
        <v>3.4556375130863719</v>
      </c>
      <c r="AC14" s="24">
        <v>346.16731534998593</v>
      </c>
      <c r="AD14" s="24">
        <v>1.0112338066101074</v>
      </c>
      <c r="AE14" s="24">
        <v>32.02379161534072</v>
      </c>
      <c r="AF14" s="24">
        <v>14.471219726331498</v>
      </c>
      <c r="AG14" s="24">
        <v>23.225412368774414</v>
      </c>
      <c r="AH14" s="24">
        <v>0.69437325000762939</v>
      </c>
      <c r="AI14" s="24">
        <v>0.90009428548273474</v>
      </c>
      <c r="AJ14" s="24">
        <v>3.4556375130863719</v>
      </c>
      <c r="AK14" s="24">
        <v>346.16731534998593</v>
      </c>
      <c r="AL14" s="24">
        <v>1.0112338066101074</v>
      </c>
      <c r="AM14" s="24">
        <v>32.02379161534072</v>
      </c>
      <c r="AN14" s="24">
        <v>17.080215613857845</v>
      </c>
      <c r="AO14" s="24">
        <v>27.003421783447266</v>
      </c>
      <c r="AP14" s="24">
        <v>0.61904704570770264</v>
      </c>
      <c r="AQ14" s="24">
        <v>0.89142074963175311</v>
      </c>
      <c r="AR14" s="24">
        <v>3.4246452483950134</v>
      </c>
      <c r="AS14" s="24">
        <v>342.44309253077807</v>
      </c>
      <c r="AT14" s="24">
        <v>1.0130634307861328</v>
      </c>
      <c r="AU14" s="24">
        <v>32.030671319838909</v>
      </c>
      <c r="AV14" s="24">
        <v>19.458750710761297</v>
      </c>
      <c r="AW14" s="24">
        <v>30.790399551391602</v>
      </c>
      <c r="AX14" s="24">
        <v>0.59035307168960571</v>
      </c>
      <c r="AY14" s="24">
        <v>0.86552967359616417</v>
      </c>
      <c r="AZ14" s="24">
        <v>3.3316684543209405</v>
      </c>
      <c r="BA14" s="24">
        <v>331.3494460535033</v>
      </c>
      <c r="BB14" s="24">
        <v>1.0185561180114746</v>
      </c>
      <c r="BC14" s="24">
        <v>32.051310433333462</v>
      </c>
      <c r="BD14" s="24">
        <v>21.526361186981781</v>
      </c>
      <c r="BE14" s="24">
        <v>34.470405578613281</v>
      </c>
      <c r="BF14" s="24">
        <v>0.55664891004562378</v>
      </c>
      <c r="BG14" s="24">
        <v>0.83982580202965906</v>
      </c>
      <c r="BH14" s="24">
        <v>3.2386916602468672</v>
      </c>
      <c r="BI14" s="24">
        <v>320.37299344350805</v>
      </c>
      <c r="BJ14" s="24">
        <v>1.0240546464920044</v>
      </c>
      <c r="BK14" s="24">
        <v>32.071949546828023</v>
      </c>
      <c r="BL14" s="24">
        <v>23.378077066309405</v>
      </c>
      <c r="BM14" s="24">
        <v>38.173419952392578</v>
      </c>
      <c r="BN14" s="24">
        <v>0.52653408050537109</v>
      </c>
      <c r="BO14" s="24">
        <v>0.81005666569915924</v>
      </c>
      <c r="BP14" s="24">
        <v>3.1302187338271157</v>
      </c>
      <c r="BQ14" s="24">
        <v>307.7129937360807</v>
      </c>
      <c r="BR14" s="24">
        <v>1.0304769277572632</v>
      </c>
      <c r="BS14" s="24">
        <v>32.096028512571678</v>
      </c>
      <c r="BT14" s="24">
        <v>24.985733170765638</v>
      </c>
      <c r="BU14" s="24">
        <v>41.839420318603516</v>
      </c>
      <c r="BV14" s="24">
        <v>0.52306252717971802</v>
      </c>
      <c r="BW14" s="24">
        <v>0.80582244827751714</v>
      </c>
      <c r="BX14" s="24">
        <v>3.1147226014814371</v>
      </c>
      <c r="BY14" s="24">
        <v>305.91710140123837</v>
      </c>
      <c r="BZ14" s="24">
        <v>1.0313950777053833</v>
      </c>
      <c r="CA14" s="24">
        <v>32.099468364820773</v>
      </c>
      <c r="CB14" s="24">
        <v>26.563352787525172</v>
      </c>
      <c r="CC14" s="24">
        <v>45.926403045654297</v>
      </c>
      <c r="CD14" s="24">
        <v>0.55307632684707642</v>
      </c>
      <c r="CE14" s="24">
        <v>0.78050439107602398</v>
      </c>
      <c r="CF14" s="24">
        <v>3.0217458074073638</v>
      </c>
      <c r="CG14" s="24">
        <v>295.20756868776027</v>
      </c>
      <c r="CH14" s="24">
        <v>1.0369071960449219</v>
      </c>
      <c r="CI14" s="24">
        <v>32.120107478315333</v>
      </c>
      <c r="CJ14" s="24">
        <v>27.80716698085234</v>
      </c>
      <c r="CK14" s="24">
        <v>49.733409881591797</v>
      </c>
      <c r="CL14" s="24">
        <v>0.5579419732093811</v>
      </c>
    </row>
    <row r="15" spans="2:90">
      <c r="B15" s="24">
        <f t="shared" si="0"/>
        <v>0.75</v>
      </c>
      <c r="C15" s="24">
        <v>0.97036314252112443</v>
      </c>
      <c r="D15" s="24">
        <v>3.7035756306172321</v>
      </c>
      <c r="E15" s="24">
        <v>300.95157092309682</v>
      </c>
      <c r="F15" s="24">
        <v>1.2466199398040771</v>
      </c>
      <c r="G15" s="24">
        <v>31.968753979355228</v>
      </c>
      <c r="H15" s="24">
        <v>5.4996563340139186</v>
      </c>
      <c r="I15" s="24">
        <v>12.039403915405273</v>
      </c>
      <c r="J15" s="24">
        <v>1.5226141214370728</v>
      </c>
      <c r="K15" s="24">
        <v>0.96592287912266406</v>
      </c>
      <c r="L15" s="24">
        <v>3.6880794982715539</v>
      </c>
      <c r="M15" s="24">
        <v>299.4732316818899</v>
      </c>
      <c r="N15" s="24">
        <v>1.2475320100784302</v>
      </c>
      <c r="O15" s="24">
        <v>31.972193831604322</v>
      </c>
      <c r="P15" s="24">
        <v>8.4385267749382233</v>
      </c>
      <c r="Q15" s="24">
        <v>15.43341064453125</v>
      </c>
      <c r="R15" s="24">
        <v>1.0732161998748779</v>
      </c>
      <c r="S15" s="24">
        <v>0.95706259286387152</v>
      </c>
      <c r="T15" s="24">
        <v>3.6570872335801963</v>
      </c>
      <c r="U15" s="24">
        <v>296.52291509973122</v>
      </c>
      <c r="V15" s="24">
        <v>1.2493568658828735</v>
      </c>
      <c r="W15" s="24">
        <v>31.979073536102508</v>
      </c>
      <c r="X15" s="24">
        <v>11.226455190853764</v>
      </c>
      <c r="Y15" s="24">
        <v>18.864406585693359</v>
      </c>
      <c r="Z15" s="24">
        <v>0.82047814130783081</v>
      </c>
      <c r="AA15" s="24">
        <v>0.93502611011604653</v>
      </c>
      <c r="AB15" s="24">
        <v>3.5796065718518015</v>
      </c>
      <c r="AC15" s="24">
        <v>289.18404473286148</v>
      </c>
      <c r="AD15" s="24">
        <v>1.2539217472076416</v>
      </c>
      <c r="AE15" s="24">
        <v>31.996272797347974</v>
      </c>
      <c r="AF15" s="24">
        <v>13.800902058665017</v>
      </c>
      <c r="AG15" s="24">
        <v>22.265413284301758</v>
      </c>
      <c r="AH15" s="24">
        <v>0.68496531248092651</v>
      </c>
      <c r="AI15" s="24">
        <v>0.93063872847157325</v>
      </c>
      <c r="AJ15" s="24">
        <v>3.5641104395061229</v>
      </c>
      <c r="AK15" s="24">
        <v>287.72256760461744</v>
      </c>
      <c r="AL15" s="24">
        <v>1.2548351287841797</v>
      </c>
      <c r="AM15" s="24">
        <v>31.999712649597068</v>
      </c>
      <c r="AN15" s="24">
        <v>16.30917722634311</v>
      </c>
      <c r="AO15" s="24">
        <v>25.813407897949219</v>
      </c>
      <c r="AP15" s="24">
        <v>0.60617321729660034</v>
      </c>
      <c r="AQ15" s="24">
        <v>0.92188223988296725</v>
      </c>
      <c r="AR15" s="24">
        <v>3.5331181748147658</v>
      </c>
      <c r="AS15" s="24">
        <v>284.80587811465989</v>
      </c>
      <c r="AT15" s="24">
        <v>1.2566624879837036</v>
      </c>
      <c r="AU15" s="24">
        <v>32.006592354095254</v>
      </c>
      <c r="AV15" s="24">
        <v>18.634877588109557</v>
      </c>
      <c r="AW15" s="24">
        <v>29.395414352416992</v>
      </c>
      <c r="AX15" s="24">
        <v>0.56018823385238647</v>
      </c>
      <c r="AY15" s="24">
        <v>0.90009428548273474</v>
      </c>
      <c r="AZ15" s="24">
        <v>3.4556375130863719</v>
      </c>
      <c r="BA15" s="24">
        <v>277.55051269802044</v>
      </c>
      <c r="BB15" s="24">
        <v>1.2612338066101074</v>
      </c>
      <c r="BC15" s="24">
        <v>32.02379161534072</v>
      </c>
      <c r="BD15" s="24">
        <v>20.701223307502318</v>
      </c>
      <c r="BE15" s="24">
        <v>32.912406921386719</v>
      </c>
      <c r="BF15" s="24">
        <v>0.5151098370552063</v>
      </c>
      <c r="BG15" s="24">
        <v>0.8870921977572126</v>
      </c>
      <c r="BH15" s="24">
        <v>3.4091491160493343</v>
      </c>
      <c r="BI15" s="24">
        <v>273.2220664004227</v>
      </c>
      <c r="BJ15" s="24">
        <v>1.2639784812927246</v>
      </c>
      <c r="BK15" s="24">
        <v>32.034111172087997</v>
      </c>
      <c r="BL15" s="24">
        <v>22.639561535274488</v>
      </c>
      <c r="BM15" s="24">
        <v>36.570411682128906</v>
      </c>
      <c r="BN15" s="24">
        <v>0.50277727842330933</v>
      </c>
      <c r="BO15" s="24">
        <v>0.86552967359616417</v>
      </c>
      <c r="BP15" s="24">
        <v>3.3316684543209405</v>
      </c>
      <c r="BQ15" s="24">
        <v>266.04893740879567</v>
      </c>
      <c r="BR15" s="24">
        <v>1.2685561180114746</v>
      </c>
      <c r="BS15" s="24">
        <v>32.051310433333462</v>
      </c>
      <c r="BT15" s="24">
        <v>24.325932990979187</v>
      </c>
      <c r="BU15" s="24">
        <v>40.181415557861328</v>
      </c>
      <c r="BV15" s="24">
        <v>0.49659982323646545</v>
      </c>
      <c r="BW15" s="24">
        <v>0.83555930284102564</v>
      </c>
      <c r="BX15" s="24">
        <v>3.2231955279011886</v>
      </c>
      <c r="BY15" s="24">
        <v>256.09173427131122</v>
      </c>
      <c r="BZ15" s="24">
        <v>1.2749717235565186</v>
      </c>
      <c r="CA15" s="24">
        <v>32.075389399077118</v>
      </c>
      <c r="CB15" s="24">
        <v>25.759557433575512</v>
      </c>
      <c r="CC15" s="24">
        <v>43.697414398193359</v>
      </c>
      <c r="CD15" s="24">
        <v>0.49430826306343079</v>
      </c>
      <c r="CE15" s="24">
        <v>0.81005666569915924</v>
      </c>
      <c r="CF15" s="24">
        <v>3.1302187338271157</v>
      </c>
      <c r="CG15" s="24">
        <v>247.63518726821957</v>
      </c>
      <c r="CH15" s="24">
        <v>1.2804769277572632</v>
      </c>
      <c r="CI15" s="24">
        <v>32.096028512571678</v>
      </c>
      <c r="CJ15" s="24">
        <v>27.045789998195005</v>
      </c>
      <c r="CK15" s="24">
        <v>47.299396514892578</v>
      </c>
      <c r="CL15" s="24">
        <v>0.49188211560249329</v>
      </c>
    </row>
    <row r="16" spans="2:90">
      <c r="B16" s="24">
        <f t="shared" si="0"/>
        <v>1</v>
      </c>
      <c r="C16" s="24">
        <v>1.0061471357809459</v>
      </c>
      <c r="D16" s="24">
        <v>3.8275446893826635</v>
      </c>
      <c r="E16" s="24">
        <v>260.33901891187855</v>
      </c>
      <c r="F16" s="24">
        <v>1.4893283843994141</v>
      </c>
      <c r="G16" s="24">
        <v>31.941235161362481</v>
      </c>
      <c r="H16" s="24">
        <v>5.2442239161797461</v>
      </c>
      <c r="I16" s="24">
        <v>11.73540210723877</v>
      </c>
      <c r="J16" s="24">
        <v>1.5222805738449097</v>
      </c>
      <c r="K16" s="24">
        <v>0.9926734685838724</v>
      </c>
      <c r="L16" s="24">
        <v>3.7810562923456268</v>
      </c>
      <c r="M16" s="24">
        <v>256.70591475557336</v>
      </c>
      <c r="N16" s="24">
        <v>1.4920614957809448</v>
      </c>
      <c r="O16" s="24">
        <v>31.951554718109762</v>
      </c>
      <c r="P16" s="24">
        <v>8.0294015197541864</v>
      </c>
      <c r="Q16" s="24">
        <v>14.93040943145752</v>
      </c>
      <c r="R16" s="24">
        <v>1.0699138641357422</v>
      </c>
      <c r="S16" s="24">
        <v>0.97036314252112443</v>
      </c>
      <c r="T16" s="24">
        <v>3.7035756306172321</v>
      </c>
      <c r="U16" s="24">
        <v>250.67969246491637</v>
      </c>
      <c r="V16" s="24">
        <v>1.4966199398040771</v>
      </c>
      <c r="W16" s="24">
        <v>31.968753979355228</v>
      </c>
      <c r="X16" s="24">
        <v>10.643429022663565</v>
      </c>
      <c r="Y16" s="24">
        <v>18.118398666381836</v>
      </c>
      <c r="Z16" s="24">
        <v>0.81439203023910522</v>
      </c>
      <c r="AA16" s="24">
        <v>0.96592287912266406</v>
      </c>
      <c r="AB16" s="24">
        <v>3.6880794982715539</v>
      </c>
      <c r="AC16" s="24">
        <v>249.47877035126547</v>
      </c>
      <c r="AD16" s="24">
        <v>1.4975320100784302</v>
      </c>
      <c r="AE16" s="24">
        <v>31.972193831604322</v>
      </c>
      <c r="AF16" s="24">
        <v>13.200736881234915</v>
      </c>
      <c r="AG16" s="24">
        <v>21.424415588378906</v>
      </c>
      <c r="AH16" s="24">
        <v>0.67704957723617554</v>
      </c>
      <c r="AI16" s="24">
        <v>0.96148939087602647</v>
      </c>
      <c r="AJ16" s="24">
        <v>3.6725833659258749</v>
      </c>
      <c r="AK16" s="24">
        <v>248.27928377015201</v>
      </c>
      <c r="AL16" s="24">
        <v>1.4984443187713623</v>
      </c>
      <c r="AM16" s="24">
        <v>31.975633683853413</v>
      </c>
      <c r="AN16" s="24">
        <v>15.633887978703507</v>
      </c>
      <c r="AO16" s="24">
        <v>24.794412612915039</v>
      </c>
      <c r="AP16" s="24">
        <v>0.59576296806335449</v>
      </c>
      <c r="AQ16" s="24">
        <v>0.93502611011604653</v>
      </c>
      <c r="AR16" s="24">
        <v>3.5796065718518015</v>
      </c>
      <c r="AS16" s="24">
        <v>241.11238533435682</v>
      </c>
      <c r="AT16" s="24">
        <v>1.5039217472076416</v>
      </c>
      <c r="AU16" s="24">
        <v>31.996272797347974</v>
      </c>
      <c r="AV16" s="24">
        <v>17.789620284002453</v>
      </c>
      <c r="AW16" s="24">
        <v>28.042417526245117</v>
      </c>
      <c r="AX16" s="24">
        <v>0.52135497331619263</v>
      </c>
      <c r="AY16" s="24">
        <v>0.93502611011604653</v>
      </c>
      <c r="AZ16" s="24">
        <v>3.5796065718518015</v>
      </c>
      <c r="BA16" s="24">
        <v>241.11238533435682</v>
      </c>
      <c r="BB16" s="24">
        <v>1.5039217472076416</v>
      </c>
      <c r="BC16" s="24">
        <v>31.996272797347974</v>
      </c>
      <c r="BD16" s="24">
        <v>19.966641997287148</v>
      </c>
      <c r="BE16" s="24">
        <v>31.578409194946289</v>
      </c>
      <c r="BF16" s="24">
        <v>0.50838541984558105</v>
      </c>
      <c r="BG16" s="24">
        <v>0.90009428548273474</v>
      </c>
      <c r="BH16" s="24">
        <v>3.4556375130863719</v>
      </c>
      <c r="BI16" s="24">
        <v>231.6359563560577</v>
      </c>
      <c r="BJ16" s="24">
        <v>1.5112338066101074</v>
      </c>
      <c r="BK16" s="24">
        <v>32.02379161534072</v>
      </c>
      <c r="BL16" s="24">
        <v>21.732957790470063</v>
      </c>
      <c r="BM16" s="24">
        <v>34.794403076171875</v>
      </c>
      <c r="BN16" s="24">
        <v>0.46319195628166199</v>
      </c>
      <c r="BO16" s="24">
        <v>0.90009428548273474</v>
      </c>
      <c r="BP16" s="24">
        <v>3.4556375130863719</v>
      </c>
      <c r="BQ16" s="24">
        <v>231.6359563560577</v>
      </c>
      <c r="BR16" s="24">
        <v>1.5112338066101074</v>
      </c>
      <c r="BS16" s="24">
        <v>32.02379161534072</v>
      </c>
      <c r="BT16" s="24">
        <v>23.588662056581352</v>
      </c>
      <c r="BU16" s="24">
        <v>38.495426177978516</v>
      </c>
      <c r="BV16" s="24">
        <v>0.47135266661643982</v>
      </c>
      <c r="BW16" s="24">
        <v>0.86983120241683287</v>
      </c>
      <c r="BX16" s="24">
        <v>3.3471645866666195</v>
      </c>
      <c r="BY16" s="24">
        <v>223.41774657585347</v>
      </c>
      <c r="BZ16" s="24">
        <v>1.517640233039856</v>
      </c>
      <c r="CA16" s="24">
        <v>32.047870581084375</v>
      </c>
      <c r="CB16" s="24">
        <v>25.041174752584755</v>
      </c>
      <c r="CC16" s="24">
        <v>41.834423065185547</v>
      </c>
      <c r="CD16" s="24">
        <v>0.45907372236251831</v>
      </c>
      <c r="CE16" s="24">
        <v>0.86123343270964103</v>
      </c>
      <c r="CF16" s="24">
        <v>3.3161723219752619</v>
      </c>
      <c r="CG16" s="24">
        <v>221.08220457784714</v>
      </c>
      <c r="CH16" s="24">
        <v>1.5194721221923828</v>
      </c>
      <c r="CI16" s="24">
        <v>32.054750285582557</v>
      </c>
      <c r="CJ16" s="24">
        <v>26.490499069348228</v>
      </c>
      <c r="CK16" s="24">
        <v>45.579429626464844</v>
      </c>
      <c r="CL16" s="24">
        <v>0.47472333908081055</v>
      </c>
    </row>
    <row r="17" spans="2:90">
      <c r="B17" s="24">
        <f t="shared" si="0"/>
        <v>1.25</v>
      </c>
      <c r="C17" s="24">
        <v>1.0151674316338291</v>
      </c>
      <c r="D17" s="24">
        <v>3.8585369540740215</v>
      </c>
      <c r="E17" s="24">
        <v>224.96011972496225</v>
      </c>
      <c r="F17" s="24">
        <v>1.7375071048736572</v>
      </c>
      <c r="G17" s="24">
        <v>31.934355456864296</v>
      </c>
      <c r="H17" s="24">
        <v>4.966153267872194</v>
      </c>
      <c r="I17" s="24">
        <v>11.422402381896973</v>
      </c>
      <c r="J17" s="24">
        <v>1.5232565402984619</v>
      </c>
      <c r="K17" s="24">
        <v>1.0106534339527755</v>
      </c>
      <c r="L17" s="24">
        <v>3.843040821728342</v>
      </c>
      <c r="M17" s="24">
        <v>223.93930719007227</v>
      </c>
      <c r="N17" s="24">
        <v>1.7384176254272461</v>
      </c>
      <c r="O17" s="24">
        <v>31.937795309113387</v>
      </c>
      <c r="P17" s="24">
        <v>7.6447419286721194</v>
      </c>
      <c r="Q17" s="24">
        <v>14.467408180236816</v>
      </c>
      <c r="R17" s="24">
        <v>1.0671302080154419</v>
      </c>
      <c r="S17" s="24">
        <v>1.001648439439649</v>
      </c>
      <c r="T17" s="24">
        <v>3.8120485570369844</v>
      </c>
      <c r="U17" s="24">
        <v>221.90082566462613</v>
      </c>
      <c r="V17" s="24">
        <v>1.7402392625808716</v>
      </c>
      <c r="W17" s="24">
        <v>31.944675013611576</v>
      </c>
      <c r="X17" s="24">
        <v>10.204982406587957</v>
      </c>
      <c r="Y17" s="24">
        <v>17.547397613525391</v>
      </c>
      <c r="Z17" s="24">
        <v>0.80948245525360107</v>
      </c>
      <c r="AA17" s="24">
        <v>0.97481060509723882</v>
      </c>
      <c r="AB17" s="24">
        <v>3.7190717629629111</v>
      </c>
      <c r="AC17" s="24">
        <v>215.81043124077354</v>
      </c>
      <c r="AD17" s="24">
        <v>1.7457078695297241</v>
      </c>
      <c r="AE17" s="24">
        <v>31.965314127106133</v>
      </c>
      <c r="AF17" s="24">
        <v>12.559693319080933</v>
      </c>
      <c r="AG17" s="24">
        <v>20.567411422729492</v>
      </c>
      <c r="AH17" s="24">
        <v>0.6695629358291626</v>
      </c>
      <c r="AI17" s="24">
        <v>0.97036314252112443</v>
      </c>
      <c r="AJ17" s="24">
        <v>3.7035756306172321</v>
      </c>
      <c r="AK17" s="24">
        <v>214.79900439089815</v>
      </c>
      <c r="AL17" s="24">
        <v>1.7466199398040771</v>
      </c>
      <c r="AM17" s="24">
        <v>31.968753979355228</v>
      </c>
      <c r="AN17" s="24">
        <v>14.906608188467509</v>
      </c>
      <c r="AO17" s="24">
        <v>23.752418518066406</v>
      </c>
      <c r="AP17" s="24">
        <v>0.57046681642532349</v>
      </c>
      <c r="AQ17" s="24">
        <v>0.97036314252112443</v>
      </c>
      <c r="AR17" s="24">
        <v>3.7035756306172321</v>
      </c>
      <c r="AS17" s="24">
        <v>214.79900439089815</v>
      </c>
      <c r="AT17" s="24">
        <v>1.7466199398040771</v>
      </c>
      <c r="AU17" s="24">
        <v>31.968753979355228</v>
      </c>
      <c r="AV17" s="24">
        <v>17.169887293961434</v>
      </c>
      <c r="AW17" s="24">
        <v>27.045413970947266</v>
      </c>
      <c r="AX17" s="24">
        <v>0.52257710695266724</v>
      </c>
      <c r="AY17" s="24">
        <v>0.95706259286387152</v>
      </c>
      <c r="AZ17" s="24">
        <v>3.6570872335801963</v>
      </c>
      <c r="BA17" s="24">
        <v>211.77093491192917</v>
      </c>
      <c r="BB17" s="24">
        <v>1.7493568658828735</v>
      </c>
      <c r="BC17" s="24">
        <v>31.979073536102508</v>
      </c>
      <c r="BD17" s="24">
        <v>19.218216927463118</v>
      </c>
      <c r="BE17" s="24">
        <v>30.291402816772461</v>
      </c>
      <c r="BF17" s="24">
        <v>0.49352747201919556</v>
      </c>
      <c r="BG17" s="24">
        <v>0.93502611011604653</v>
      </c>
      <c r="BH17" s="24">
        <v>3.5796065718518015</v>
      </c>
      <c r="BI17" s="24">
        <v>206.74477546869986</v>
      </c>
      <c r="BJ17" s="24">
        <v>1.7539217472076416</v>
      </c>
      <c r="BK17" s="24">
        <v>31.996272797347974</v>
      </c>
      <c r="BL17" s="24">
        <v>21.057953434508722</v>
      </c>
      <c r="BM17" s="24">
        <v>33.491405487060547</v>
      </c>
      <c r="BN17" s="24">
        <v>0.46224603056907654</v>
      </c>
      <c r="BO17" s="24">
        <v>0.92625746376261575</v>
      </c>
      <c r="BP17" s="24">
        <v>3.5486143071604439</v>
      </c>
      <c r="BQ17" s="24">
        <v>204.74149857209628</v>
      </c>
      <c r="BR17" s="24">
        <v>1.7557487487792969</v>
      </c>
      <c r="BS17" s="24">
        <v>32.003152501846159</v>
      </c>
      <c r="BT17" s="24">
        <v>22.848291281734124</v>
      </c>
      <c r="BU17" s="24">
        <v>36.913421630859375</v>
      </c>
      <c r="BV17" s="24">
        <v>0.44948732852935791</v>
      </c>
      <c r="BW17" s="24">
        <v>0.90009428548273474</v>
      </c>
      <c r="BX17" s="24">
        <v>3.4556375130863719</v>
      </c>
      <c r="BY17" s="24">
        <v>198.75617060206645</v>
      </c>
      <c r="BZ17" s="24">
        <v>1.7612338066101074</v>
      </c>
      <c r="CA17" s="24">
        <v>32.02379161534072</v>
      </c>
      <c r="CB17" s="24">
        <v>24.344255729023654</v>
      </c>
      <c r="CC17" s="24">
        <v>40.148426055908203</v>
      </c>
      <c r="CD17" s="24">
        <v>0.43461325764656067</v>
      </c>
      <c r="CE17" s="24">
        <v>0.89142074963175311</v>
      </c>
      <c r="CF17" s="24">
        <v>3.4246452483950134</v>
      </c>
      <c r="CG17" s="24">
        <v>196.76919368942941</v>
      </c>
      <c r="CH17" s="24">
        <v>1.7630634307861328</v>
      </c>
      <c r="CI17" s="24">
        <v>32.030671319838909</v>
      </c>
      <c r="CJ17" s="24">
        <v>25.824574755675787</v>
      </c>
      <c r="CK17" s="24">
        <v>43.729415893554687</v>
      </c>
      <c r="CL17" s="24">
        <v>0.4458085298538208</v>
      </c>
    </row>
    <row r="18" spans="2:90">
      <c r="B18" s="24">
        <f t="shared" si="0"/>
        <v>1.5</v>
      </c>
      <c r="C18" s="24">
        <v>1.0151674316338291</v>
      </c>
      <c r="D18" s="24">
        <v>3.8585369540740215</v>
      </c>
      <c r="E18" s="24">
        <v>196.66334965837262</v>
      </c>
      <c r="F18" s="24">
        <v>1.9875071048736572</v>
      </c>
      <c r="G18" s="24">
        <v>31.934355456864296</v>
      </c>
      <c r="H18" s="24">
        <v>4.6996346243573548</v>
      </c>
      <c r="I18" s="24">
        <v>11.128400802612305</v>
      </c>
      <c r="J18" s="24">
        <v>1.5246642827987671</v>
      </c>
      <c r="K18" s="24">
        <v>1.0151674316338291</v>
      </c>
      <c r="L18" s="24">
        <v>3.8585369540740215</v>
      </c>
      <c r="M18" s="24">
        <v>196.66334965837262</v>
      </c>
      <c r="N18" s="24">
        <v>1.9875071048736572</v>
      </c>
      <c r="O18" s="24">
        <v>31.934355456864296</v>
      </c>
      <c r="P18" s="24">
        <v>7.2600904299054552</v>
      </c>
      <c r="Q18" s="24">
        <v>14.017409324645996</v>
      </c>
      <c r="R18" s="24">
        <v>1.064882755279541</v>
      </c>
      <c r="S18" s="24">
        <v>1.0151674316338291</v>
      </c>
      <c r="T18" s="24">
        <v>3.8585369540740215</v>
      </c>
      <c r="U18" s="24">
        <v>196.66334965837262</v>
      </c>
      <c r="V18" s="24">
        <v>1.9875071048736572</v>
      </c>
      <c r="W18" s="24">
        <v>31.934355456864296</v>
      </c>
      <c r="X18" s="24">
        <v>9.7440874314660082</v>
      </c>
      <c r="Y18" s="24">
        <v>16.970403671264648</v>
      </c>
      <c r="Z18" s="24">
        <v>0.80494946241378784</v>
      </c>
      <c r="AA18" s="24">
        <v>1.0061471357809459</v>
      </c>
      <c r="AB18" s="24">
        <v>3.8275446893826635</v>
      </c>
      <c r="AC18" s="24">
        <v>194.90511979087998</v>
      </c>
      <c r="AD18" s="24">
        <v>1.9893283843994141</v>
      </c>
      <c r="AE18" s="24">
        <v>31.941235161362481</v>
      </c>
      <c r="AF18" s="24">
        <v>12.09974383368019</v>
      </c>
      <c r="AG18" s="24">
        <v>19.938411712646484</v>
      </c>
      <c r="AH18" s="24">
        <v>0.66396713256835938</v>
      </c>
      <c r="AI18" s="24">
        <v>0.99715724866499789</v>
      </c>
      <c r="AJ18" s="24">
        <v>3.7965524246913058</v>
      </c>
      <c r="AK18" s="24">
        <v>193.15004427454951</v>
      </c>
      <c r="AL18" s="24">
        <v>1.9911502599716187</v>
      </c>
      <c r="AM18" s="24">
        <v>31.948114865860667</v>
      </c>
      <c r="AN18" s="24">
        <v>14.354508474132157</v>
      </c>
      <c r="AO18" s="24">
        <v>22.955423355102539</v>
      </c>
      <c r="AP18" s="24">
        <v>0.57844477891921997</v>
      </c>
      <c r="AQ18" s="24">
        <v>0.97481060509723882</v>
      </c>
      <c r="AR18" s="24">
        <v>3.7190717629629111</v>
      </c>
      <c r="AS18" s="24">
        <v>188.77611000920294</v>
      </c>
      <c r="AT18" s="24">
        <v>1.9957078695297241</v>
      </c>
      <c r="AU18" s="24">
        <v>31.965314127106133</v>
      </c>
      <c r="AV18" s="24">
        <v>16.412317255407469</v>
      </c>
      <c r="AW18" s="24">
        <v>25.909408569335938</v>
      </c>
      <c r="AX18" s="24">
        <v>0.51159322261810303</v>
      </c>
      <c r="AY18" s="24">
        <v>0.97036314252112443</v>
      </c>
      <c r="AZ18" s="24">
        <v>3.7035756306172321</v>
      </c>
      <c r="BA18" s="24">
        <v>187.90367412694238</v>
      </c>
      <c r="BB18" s="24">
        <v>1.9966199398040771</v>
      </c>
      <c r="BC18" s="24">
        <v>31.968753979355228</v>
      </c>
      <c r="BD18" s="24">
        <v>18.472942254037495</v>
      </c>
      <c r="BE18" s="24">
        <v>29.066404342651367</v>
      </c>
      <c r="BF18" s="24">
        <v>0.47122517228126526</v>
      </c>
      <c r="BG18" s="24">
        <v>0.96592287912266406</v>
      </c>
      <c r="BH18" s="24">
        <v>3.6880794982715539</v>
      </c>
      <c r="BI18" s="24">
        <v>187.0320198817623</v>
      </c>
      <c r="BJ18" s="24">
        <v>1.9975320100784302</v>
      </c>
      <c r="BK18" s="24">
        <v>31.972193831604322</v>
      </c>
      <c r="BL18" s="24">
        <v>20.417773687733529</v>
      </c>
      <c r="BM18" s="24">
        <v>32.306411743164063</v>
      </c>
      <c r="BN18" s="24">
        <v>0.45611143112182617</v>
      </c>
      <c r="BO18" s="24">
        <v>0.93502611011604653</v>
      </c>
      <c r="BP18" s="24">
        <v>3.5796065718518015</v>
      </c>
      <c r="BQ18" s="24">
        <v>180.95225365631833</v>
      </c>
      <c r="BR18" s="24">
        <v>2.0039217472076416</v>
      </c>
      <c r="BS18" s="24">
        <v>31.996272797347974</v>
      </c>
      <c r="BT18" s="24">
        <v>22.020754776305051</v>
      </c>
      <c r="BU18" s="24">
        <v>35.276409149169922</v>
      </c>
      <c r="BV18" s="24">
        <v>0.42253130674362183</v>
      </c>
      <c r="BW18" s="24">
        <v>0.93502611011604653</v>
      </c>
      <c r="BX18" s="24">
        <v>3.5796065718518015</v>
      </c>
      <c r="BY18" s="24">
        <v>180.95225365631833</v>
      </c>
      <c r="BZ18" s="24">
        <v>2.0039217472076416</v>
      </c>
      <c r="CA18" s="24">
        <v>31.996272797347974</v>
      </c>
      <c r="CB18" s="24">
        <v>23.736446681350756</v>
      </c>
      <c r="CC18" s="24">
        <v>38.74041748046875</v>
      </c>
      <c r="CD18" s="24">
        <v>0.42099153995513916</v>
      </c>
      <c r="CE18" s="24">
        <v>0.90009428548273474</v>
      </c>
      <c r="CF18" s="24">
        <v>3.4556375130863719</v>
      </c>
      <c r="CG18" s="24">
        <v>174.05041867006673</v>
      </c>
      <c r="CH18" s="24">
        <v>2.0112338066101074</v>
      </c>
      <c r="CI18" s="24">
        <v>32.02379161534072</v>
      </c>
      <c r="CJ18" s="24">
        <v>25.01581297433043</v>
      </c>
      <c r="CK18" s="24">
        <v>41.705425262451172</v>
      </c>
      <c r="CL18" s="24">
        <v>0.41154909133911133</v>
      </c>
    </row>
    <row r="19" spans="2:90">
      <c r="B19" s="24">
        <f t="shared" si="0"/>
        <v>1.75</v>
      </c>
      <c r="C19" s="24">
        <v>1.0469957320974721</v>
      </c>
      <c r="D19" s="24">
        <v>3.982506012839452</v>
      </c>
      <c r="E19" s="24">
        <v>180.89083440047486</v>
      </c>
      <c r="F19" s="24">
        <v>2.2302284240722656</v>
      </c>
      <c r="G19" s="24">
        <v>31.90683663887155</v>
      </c>
      <c r="H19" s="24">
        <v>4.5386338587800585</v>
      </c>
      <c r="I19" s="24">
        <v>10.93440055847168</v>
      </c>
      <c r="J19" s="24">
        <v>1.5237058401107788</v>
      </c>
      <c r="K19" s="24">
        <v>1.0469957320974721</v>
      </c>
      <c r="L19" s="24">
        <v>3.982506012839452</v>
      </c>
      <c r="M19" s="24">
        <v>180.89083440047486</v>
      </c>
      <c r="N19" s="24">
        <v>2.2302284240722656</v>
      </c>
      <c r="O19" s="24">
        <v>31.90683663887155</v>
      </c>
      <c r="P19" s="24">
        <v>7.0169120549150286</v>
      </c>
      <c r="Q19" s="24">
        <v>13.714407920837402</v>
      </c>
      <c r="R19" s="24">
        <v>1.062419056892395</v>
      </c>
      <c r="S19" s="24">
        <v>1.0151674316338291</v>
      </c>
      <c r="T19" s="24">
        <v>3.8585369540740215</v>
      </c>
      <c r="U19" s="24">
        <v>174.68986024851446</v>
      </c>
      <c r="V19" s="24">
        <v>2.2375071048736572</v>
      </c>
      <c r="W19" s="24">
        <v>31.934355456864296</v>
      </c>
      <c r="X19" s="24">
        <v>9.2725423052355396</v>
      </c>
      <c r="Y19" s="24">
        <v>16.397403717041016</v>
      </c>
      <c r="Z19" s="24">
        <v>0.80085545778274536</v>
      </c>
      <c r="AA19" s="24">
        <v>1.0151674316338291</v>
      </c>
      <c r="AB19" s="24">
        <v>3.8740330864196992</v>
      </c>
      <c r="AC19" s="24">
        <v>175.46281871351835</v>
      </c>
      <c r="AD19" s="24">
        <v>2.2365965843200684</v>
      </c>
      <c r="AE19" s="24">
        <v>31.930915604615201</v>
      </c>
      <c r="AF19" s="24">
        <v>11.600472390848982</v>
      </c>
      <c r="AG19" s="24">
        <v>19.284412384033203</v>
      </c>
      <c r="AH19" s="24">
        <v>0.68120503425598145</v>
      </c>
      <c r="AI19" s="24">
        <v>1.0151674316338291</v>
      </c>
      <c r="AJ19" s="24">
        <v>3.8740330864196992</v>
      </c>
      <c r="AK19" s="24">
        <v>175.46281871351835</v>
      </c>
      <c r="AL19" s="24">
        <v>2.2365965843200684</v>
      </c>
      <c r="AM19" s="24">
        <v>31.930915604615201</v>
      </c>
      <c r="AN19" s="24">
        <v>13.834688514755438</v>
      </c>
      <c r="AO19" s="24">
        <v>22.221424102783203</v>
      </c>
      <c r="AP19" s="24">
        <v>0.57190710306167603</v>
      </c>
      <c r="AQ19" s="24">
        <v>1.001648439439649</v>
      </c>
      <c r="AR19" s="24">
        <v>3.8275446893826635</v>
      </c>
      <c r="AS19" s="24">
        <v>173.14579167850161</v>
      </c>
      <c r="AT19" s="24">
        <v>2.2393283843994141</v>
      </c>
      <c r="AU19" s="24">
        <v>31.941235161362481</v>
      </c>
      <c r="AV19" s="24">
        <v>15.896761353129369</v>
      </c>
      <c r="AW19" s="24">
        <v>25.119411468505859</v>
      </c>
      <c r="AX19" s="24">
        <v>0.5158575177192688</v>
      </c>
      <c r="AY19" s="24">
        <v>0.99715724866499789</v>
      </c>
      <c r="AZ19" s="24">
        <v>3.8120485570369844</v>
      </c>
      <c r="BA19" s="24">
        <v>172.37468039741165</v>
      </c>
      <c r="BB19" s="24">
        <v>2.240239143371582</v>
      </c>
      <c r="BC19" s="24">
        <v>31.944675013611576</v>
      </c>
      <c r="BD19" s="24">
        <v>17.919263517573807</v>
      </c>
      <c r="BE19" s="24">
        <v>28.152406692504883</v>
      </c>
      <c r="BF19" s="24">
        <v>0.47118261456489563</v>
      </c>
      <c r="BG19" s="24">
        <v>0.97036314252112443</v>
      </c>
      <c r="BH19" s="24">
        <v>3.7035756306172321</v>
      </c>
      <c r="BI19" s="24">
        <v>166.99407613958496</v>
      </c>
      <c r="BJ19" s="24">
        <v>2.2466199398040771</v>
      </c>
      <c r="BK19" s="24">
        <v>31.968753979355228</v>
      </c>
      <c r="BL19" s="24">
        <v>19.627423999999255</v>
      </c>
      <c r="BM19" s="24">
        <v>30.950397491455078</v>
      </c>
      <c r="BN19" s="24">
        <v>0.43391060829162598</v>
      </c>
      <c r="BO19" s="24">
        <v>0.97036314252112443</v>
      </c>
      <c r="BP19" s="24">
        <v>3.7035756306172321</v>
      </c>
      <c r="BQ19" s="24">
        <v>166.99407613958496</v>
      </c>
      <c r="BR19" s="24">
        <v>2.2466199398040771</v>
      </c>
      <c r="BS19" s="24">
        <v>31.968753979355228</v>
      </c>
      <c r="BT19" s="24">
        <v>21.462907063337479</v>
      </c>
      <c r="BU19" s="24">
        <v>34.169410705566406</v>
      </c>
      <c r="BV19" s="24">
        <v>0.42196685075759888</v>
      </c>
      <c r="BW19" s="24">
        <v>0.95706259286387152</v>
      </c>
      <c r="BX19" s="24">
        <v>3.6570872335801963</v>
      </c>
      <c r="BY19" s="24">
        <v>164.69727152144321</v>
      </c>
      <c r="BZ19" s="24">
        <v>2.249356746673584</v>
      </c>
      <c r="CA19" s="24">
        <v>31.979073536102508</v>
      </c>
      <c r="CB19" s="24">
        <v>23.067693330199724</v>
      </c>
      <c r="CC19" s="24">
        <v>37.299411773681641</v>
      </c>
      <c r="CD19" s="24">
        <v>0.41323336958885193</v>
      </c>
      <c r="CE19" s="24">
        <v>0.93502611011604653</v>
      </c>
      <c r="CF19" s="24">
        <v>3.5796065718518015</v>
      </c>
      <c r="CG19" s="24">
        <v>160.8814305926588</v>
      </c>
      <c r="CH19" s="24">
        <v>2.2539217472076416</v>
      </c>
      <c r="CI19" s="24">
        <v>31.996272797347974</v>
      </c>
      <c r="CJ19" s="24">
        <v>24.466753924577031</v>
      </c>
      <c r="CK19" s="24">
        <v>40.351421356201172</v>
      </c>
      <c r="CL19" s="24">
        <v>0.40272915363311768</v>
      </c>
    </row>
    <row r="20" spans="2:90">
      <c r="B20" s="24">
        <f t="shared" si="0"/>
        <v>2</v>
      </c>
      <c r="C20" s="24">
        <v>1.0561648264916308</v>
      </c>
      <c r="D20" s="24">
        <v>4.0134982775308092</v>
      </c>
      <c r="E20" s="24">
        <v>164.04361652000918</v>
      </c>
      <c r="F20" s="24">
        <v>2.4784102439880371</v>
      </c>
      <c r="G20" s="24">
        <v>31.899956934373364</v>
      </c>
      <c r="H20" s="24">
        <v>4.3402328224915205</v>
      </c>
      <c r="I20" s="24">
        <v>10.713398933410645</v>
      </c>
      <c r="J20" s="24">
        <v>1.5243479013442993</v>
      </c>
      <c r="K20" s="24">
        <v>1.051575956697036</v>
      </c>
      <c r="L20" s="24">
        <v>3.9980021451851302</v>
      </c>
      <c r="M20" s="24">
        <v>163.35033431679071</v>
      </c>
      <c r="N20" s="24">
        <v>2.4793190956115723</v>
      </c>
      <c r="O20" s="24">
        <v>31.903396786622455</v>
      </c>
      <c r="P20" s="24">
        <v>6.7025144459529464</v>
      </c>
      <c r="Q20" s="24">
        <v>13.351411819458008</v>
      </c>
      <c r="R20" s="24">
        <v>1.0606590509414673</v>
      </c>
      <c r="S20" s="24">
        <v>1.037860776342997</v>
      </c>
      <c r="T20" s="24">
        <v>3.951513748148094</v>
      </c>
      <c r="U20" s="24">
        <v>161.27347209276491</v>
      </c>
      <c r="V20" s="24">
        <v>2.4820470809936523</v>
      </c>
      <c r="W20" s="24">
        <v>31.913716343369735</v>
      </c>
      <c r="X20" s="24">
        <v>8.957701018125805</v>
      </c>
      <c r="Y20" s="24">
        <v>15.998408317565918</v>
      </c>
      <c r="Z20" s="24">
        <v>0.7975192666053772</v>
      </c>
      <c r="AA20" s="24">
        <v>1.0333058281750689</v>
      </c>
      <c r="AB20" s="24">
        <v>3.936017615802414</v>
      </c>
      <c r="AC20" s="24">
        <v>160.58217809795812</v>
      </c>
      <c r="AD20" s="24">
        <v>2.4829566478729248</v>
      </c>
      <c r="AE20" s="24">
        <v>31.91715619561883</v>
      </c>
      <c r="AF20" s="24">
        <v>11.171806861193621</v>
      </c>
      <c r="AG20" s="24">
        <v>18.724395751953125</v>
      </c>
      <c r="AH20" s="24">
        <v>0.67650032043457031</v>
      </c>
      <c r="AI20" s="24">
        <v>1.0151674316338291</v>
      </c>
      <c r="AJ20" s="24">
        <v>3.8740330864196992</v>
      </c>
      <c r="AK20" s="24">
        <v>157.82195815543645</v>
      </c>
      <c r="AL20" s="24">
        <v>2.4865965843200684</v>
      </c>
      <c r="AM20" s="24">
        <v>31.930915604615201</v>
      </c>
      <c r="AN20" s="24">
        <v>13.231789596885299</v>
      </c>
      <c r="AO20" s="24">
        <v>21.411418914794922</v>
      </c>
      <c r="AP20" s="24">
        <v>0.58111298084259033</v>
      </c>
      <c r="AQ20" s="24">
        <v>1.0151674316338291</v>
      </c>
      <c r="AR20" s="24">
        <v>3.8740330864196992</v>
      </c>
      <c r="AS20" s="24">
        <v>157.82195815543645</v>
      </c>
      <c r="AT20" s="24">
        <v>2.4865965843200684</v>
      </c>
      <c r="AU20" s="24">
        <v>31.930915604615201</v>
      </c>
      <c r="AV20" s="24">
        <v>15.315606168924061</v>
      </c>
      <c r="AW20" s="24">
        <v>24.272407531738281</v>
      </c>
      <c r="AX20" s="24">
        <v>0.50827294588088989</v>
      </c>
      <c r="AY20" s="24">
        <v>1.0151674316338291</v>
      </c>
      <c r="AZ20" s="24">
        <v>3.8740330864196992</v>
      </c>
      <c r="BA20" s="24">
        <v>157.82195815543645</v>
      </c>
      <c r="BB20" s="24">
        <v>2.4865965843200684</v>
      </c>
      <c r="BC20" s="24">
        <v>31.930915604615201</v>
      </c>
      <c r="BD20" s="24">
        <v>17.321880473339384</v>
      </c>
      <c r="BE20" s="24">
        <v>27.211400985717773</v>
      </c>
      <c r="BF20" s="24">
        <v>0.47146856784820557</v>
      </c>
      <c r="BG20" s="24">
        <v>0.99715724866499789</v>
      </c>
      <c r="BH20" s="24">
        <v>3.8120485570369844</v>
      </c>
      <c r="BI20" s="24">
        <v>155.06964808289354</v>
      </c>
      <c r="BJ20" s="24">
        <v>2.490239143371582</v>
      </c>
      <c r="BK20" s="24">
        <v>31.944675013611576</v>
      </c>
      <c r="BL20" s="24">
        <v>19.102071199715592</v>
      </c>
      <c r="BM20" s="24">
        <v>30.035409927368164</v>
      </c>
      <c r="BN20" s="24">
        <v>0.4319603443145752</v>
      </c>
      <c r="BO20" s="24">
        <v>0.98819700569029334</v>
      </c>
      <c r="BP20" s="24">
        <v>3.7810562923456268</v>
      </c>
      <c r="BQ20" s="24">
        <v>153.69645102690399</v>
      </c>
      <c r="BR20" s="24">
        <v>2.4920613765716553</v>
      </c>
      <c r="BS20" s="24">
        <v>31.951554718109762</v>
      </c>
      <c r="BT20" s="24">
        <v>20.846496184759221</v>
      </c>
      <c r="BU20" s="24">
        <v>33.017406463623047</v>
      </c>
      <c r="BV20" s="24">
        <v>0.41539958119392395</v>
      </c>
      <c r="BW20" s="24">
        <v>0.97036314252112443</v>
      </c>
      <c r="BX20" s="24">
        <v>3.7190717629629111</v>
      </c>
      <c r="BY20" s="24">
        <v>150.95595649530662</v>
      </c>
      <c r="BZ20" s="24">
        <v>2.4957079887390137</v>
      </c>
      <c r="CA20" s="24">
        <v>31.965314127106133</v>
      </c>
      <c r="CB20" s="24">
        <v>22.404883493440963</v>
      </c>
      <c r="CC20" s="24">
        <v>35.945419311523437</v>
      </c>
      <c r="CD20" s="24">
        <v>0.39690309762954712</v>
      </c>
      <c r="CE20" s="24">
        <v>0.96592287912266406</v>
      </c>
      <c r="CF20" s="24">
        <v>3.6880794982715539</v>
      </c>
      <c r="CG20" s="24">
        <v>149.58865248870251</v>
      </c>
      <c r="CH20" s="24">
        <v>2.4975321292877197</v>
      </c>
      <c r="CI20" s="24">
        <v>31.972193831604322</v>
      </c>
      <c r="CJ20" s="24">
        <v>23.922784168961943</v>
      </c>
      <c r="CK20" s="24">
        <v>39.080402374267578</v>
      </c>
      <c r="CL20" s="24">
        <v>0.39571964740753174</v>
      </c>
    </row>
    <row r="21" spans="2:90">
      <c r="B21" s="24">
        <f t="shared" si="0"/>
        <v>2.25</v>
      </c>
      <c r="C21" s="24">
        <v>1.0699844749515597</v>
      </c>
      <c r="D21" s="24">
        <v>4.0599866745678455</v>
      </c>
      <c r="E21" s="24">
        <v>150.88932057464089</v>
      </c>
      <c r="F21" s="24">
        <v>2.7256844043731689</v>
      </c>
      <c r="G21" s="24">
        <v>31.889637377626084</v>
      </c>
      <c r="H21" s="24">
        <v>4.1694783087092224</v>
      </c>
      <c r="I21" s="24">
        <v>10.521394729614258</v>
      </c>
      <c r="J21" s="24">
        <v>1.6764883995056152</v>
      </c>
      <c r="K21" s="24">
        <v>1.0561648264916308</v>
      </c>
      <c r="L21" s="24">
        <v>4.0134982775308092</v>
      </c>
      <c r="M21" s="24">
        <v>149.01255416462877</v>
      </c>
      <c r="N21" s="24">
        <v>2.7284102439880371</v>
      </c>
      <c r="O21" s="24">
        <v>31.899956934373364</v>
      </c>
      <c r="P21" s="24">
        <v>6.4159123265103695</v>
      </c>
      <c r="Q21" s="24">
        <v>13.022416114807129</v>
      </c>
      <c r="R21" s="24">
        <v>1.0591224431991577</v>
      </c>
      <c r="S21" s="24">
        <v>1.051575956697036</v>
      </c>
      <c r="T21" s="24">
        <v>3.9980021451851302</v>
      </c>
      <c r="U21" s="24">
        <v>148.38778107494653</v>
      </c>
      <c r="V21" s="24">
        <v>2.7293190956115723</v>
      </c>
      <c r="W21" s="24">
        <v>31.903396786622455</v>
      </c>
      <c r="X21" s="24">
        <v>8.6199022415179574</v>
      </c>
      <c r="Y21" s="24">
        <v>15.58541202545166</v>
      </c>
      <c r="Z21" s="24">
        <v>0.83019852638244629</v>
      </c>
      <c r="AA21" s="24">
        <v>1.0469957320974721</v>
      </c>
      <c r="AB21" s="24">
        <v>3.982506012839452</v>
      </c>
      <c r="AC21" s="24">
        <v>147.76341534352059</v>
      </c>
      <c r="AD21" s="24">
        <v>2.7302284240722656</v>
      </c>
      <c r="AE21" s="24">
        <v>31.90683663887155</v>
      </c>
      <c r="AF21" s="24">
        <v>10.76121365444266</v>
      </c>
      <c r="AG21" s="24">
        <v>18.19740104675293</v>
      </c>
      <c r="AH21" s="24">
        <v>0.67223221063613892</v>
      </c>
      <c r="AI21" s="24">
        <v>1.0424240417493325</v>
      </c>
      <c r="AJ21" s="24">
        <v>3.967009880493773</v>
      </c>
      <c r="AK21" s="24">
        <v>147.13945667162892</v>
      </c>
      <c r="AL21" s="24">
        <v>2.7311375141143799</v>
      </c>
      <c r="AM21" s="24">
        <v>31.910276491120641</v>
      </c>
      <c r="AN21" s="24">
        <v>12.83664920191611</v>
      </c>
      <c r="AO21" s="24">
        <v>20.861421585083008</v>
      </c>
      <c r="AP21" s="24">
        <v>0.5763314962387085</v>
      </c>
      <c r="AQ21" s="24">
        <v>1.0151674316338291</v>
      </c>
      <c r="AR21" s="24">
        <v>3.8740330864196992</v>
      </c>
      <c r="AS21" s="24">
        <v>143.40423619733934</v>
      </c>
      <c r="AT21" s="24">
        <v>2.7365965843200684</v>
      </c>
      <c r="AU21" s="24">
        <v>31.930915604615201</v>
      </c>
      <c r="AV21" s="24">
        <v>14.691140177624108</v>
      </c>
      <c r="AW21" s="24">
        <v>23.396417617797852</v>
      </c>
      <c r="AX21" s="24">
        <v>0.51282584667205811</v>
      </c>
      <c r="AY21" s="24">
        <v>1.0151674316338291</v>
      </c>
      <c r="AZ21" s="24">
        <v>3.8740330864196992</v>
      </c>
      <c r="BA21" s="24">
        <v>143.40423619733934</v>
      </c>
      <c r="BB21" s="24">
        <v>2.7365965843200684</v>
      </c>
      <c r="BC21" s="24">
        <v>31.930915604615201</v>
      </c>
      <c r="BD21" s="24">
        <v>16.641908753631409</v>
      </c>
      <c r="BE21" s="24">
        <v>26.192411422729492</v>
      </c>
      <c r="BF21" s="24">
        <v>0.46221107244491577</v>
      </c>
      <c r="BG21" s="24">
        <v>1.0151674316338291</v>
      </c>
      <c r="BH21" s="24">
        <v>3.8740330864196992</v>
      </c>
      <c r="BI21" s="24">
        <v>143.40423619733934</v>
      </c>
      <c r="BJ21" s="24">
        <v>2.7365965843200684</v>
      </c>
      <c r="BK21" s="24">
        <v>31.930915604615201</v>
      </c>
      <c r="BL21" s="24">
        <v>18.51899722058312</v>
      </c>
      <c r="BM21" s="24">
        <v>29.070407867431641</v>
      </c>
      <c r="BN21" s="24">
        <v>0.43003782629966736</v>
      </c>
      <c r="BO21" s="24">
        <v>1.0061471357809459</v>
      </c>
      <c r="BP21" s="24">
        <v>3.843040821728342</v>
      </c>
      <c r="BQ21" s="24">
        <v>142.16240568542099</v>
      </c>
      <c r="BR21" s="24">
        <v>2.7384176254272461</v>
      </c>
      <c r="BS21" s="24">
        <v>31.937795309113387</v>
      </c>
      <c r="BT21" s="24">
        <v>20.238858893524377</v>
      </c>
      <c r="BU21" s="24">
        <v>31.926403045654297</v>
      </c>
      <c r="BV21" s="24">
        <v>0.4101402759552002</v>
      </c>
      <c r="BW21" s="24">
        <v>0.9926734685838724</v>
      </c>
      <c r="BX21" s="24">
        <v>3.7965524246913058</v>
      </c>
      <c r="BY21" s="24">
        <v>140.30269205545002</v>
      </c>
      <c r="BZ21" s="24">
        <v>2.7411501407623291</v>
      </c>
      <c r="CA21" s="24">
        <v>31.948114865860667</v>
      </c>
      <c r="CB21" s="24">
        <v>21.822070743431336</v>
      </c>
      <c r="CC21" s="24">
        <v>34.791412353515625</v>
      </c>
      <c r="CD21" s="24">
        <v>0.3944057822227478</v>
      </c>
      <c r="CE21" s="24">
        <v>0.97036314252112443</v>
      </c>
      <c r="CF21" s="24">
        <v>3.7190717629629111</v>
      </c>
      <c r="CG21" s="24">
        <v>137.21123534320148</v>
      </c>
      <c r="CH21" s="24">
        <v>2.7457079887390137</v>
      </c>
      <c r="CI21" s="24">
        <v>31.965314127106133</v>
      </c>
      <c r="CJ21" s="24">
        <v>23.218345805651996</v>
      </c>
      <c r="CK21" s="24">
        <v>37.574420928955078</v>
      </c>
      <c r="CL21" s="24">
        <v>0.37732300162315369</v>
      </c>
    </row>
    <row r="22" spans="2:90">
      <c r="B22" s="24">
        <f t="shared" si="0"/>
        <v>2.5</v>
      </c>
      <c r="C22" s="24">
        <v>1.0699844749515597</v>
      </c>
      <c r="D22" s="24">
        <v>4.0599866745678455</v>
      </c>
      <c r="E22" s="24">
        <v>138.21246157074552</v>
      </c>
      <c r="F22" s="24">
        <v>2.9756844043731689</v>
      </c>
      <c r="G22" s="24">
        <v>31.889637377626084</v>
      </c>
      <c r="H22" s="24">
        <v>3.9877901985979669</v>
      </c>
      <c r="I22" s="24">
        <v>10.324398994445801</v>
      </c>
      <c r="J22" s="24">
        <v>1.6783249378204346</v>
      </c>
      <c r="K22" s="24">
        <v>1.0653689537802913</v>
      </c>
      <c r="L22" s="24">
        <v>4.0444905422221673</v>
      </c>
      <c r="M22" s="24">
        <v>137.64291034631151</v>
      </c>
      <c r="N22" s="24">
        <v>2.9765927791595459</v>
      </c>
      <c r="O22" s="24">
        <v>31.893077229875175</v>
      </c>
      <c r="P22" s="24">
        <v>6.1687372545444985</v>
      </c>
      <c r="Q22" s="24">
        <v>12.737408638000488</v>
      </c>
      <c r="R22" s="24">
        <v>1.0576326847076416</v>
      </c>
      <c r="S22" s="24">
        <v>1.0653689537802913</v>
      </c>
      <c r="T22" s="24">
        <v>4.0444905422221673</v>
      </c>
      <c r="U22" s="24">
        <v>137.64291034631151</v>
      </c>
      <c r="V22" s="24">
        <v>2.9765927791595459</v>
      </c>
      <c r="W22" s="24">
        <v>31.893077229875175</v>
      </c>
      <c r="X22" s="24">
        <v>8.3130221965167372</v>
      </c>
      <c r="Y22" s="24">
        <v>15.21241283416748</v>
      </c>
      <c r="Z22" s="24">
        <v>0.827403724193573</v>
      </c>
      <c r="AA22" s="24">
        <v>1.0561648264916308</v>
      </c>
      <c r="AB22" s="24">
        <v>4.0134982775308092</v>
      </c>
      <c r="AC22" s="24">
        <v>136.50482829601708</v>
      </c>
      <c r="AD22" s="24">
        <v>2.9784102439880371</v>
      </c>
      <c r="AE22" s="24">
        <v>31.899956934373364</v>
      </c>
      <c r="AF22" s="24">
        <v>10.363215107953787</v>
      </c>
      <c r="AG22" s="24">
        <v>17.695394515991211</v>
      </c>
      <c r="AH22" s="24">
        <v>0.69245976209640503</v>
      </c>
      <c r="AI22" s="24">
        <v>1.0424240417493325</v>
      </c>
      <c r="AJ22" s="24">
        <v>3.967009880493773</v>
      </c>
      <c r="AK22" s="24">
        <v>134.8002529033856</v>
      </c>
      <c r="AL22" s="24">
        <v>2.9811375141143799</v>
      </c>
      <c r="AM22" s="24">
        <v>31.910276491120641</v>
      </c>
      <c r="AN22" s="24">
        <v>12.320343104113983</v>
      </c>
      <c r="AO22" s="24">
        <v>20.186420440673828</v>
      </c>
      <c r="AP22" s="24">
        <v>0.58767610788345337</v>
      </c>
      <c r="AQ22" s="24">
        <v>1.0469957320974721</v>
      </c>
      <c r="AR22" s="24">
        <v>3.982506012839452</v>
      </c>
      <c r="AS22" s="24">
        <v>135.36810530413015</v>
      </c>
      <c r="AT22" s="24">
        <v>2.9802284240722656</v>
      </c>
      <c r="AU22" s="24">
        <v>31.90683663887155</v>
      </c>
      <c r="AV22" s="24">
        <v>14.32198567898255</v>
      </c>
      <c r="AW22" s="24">
        <v>22.852418899536133</v>
      </c>
      <c r="AX22" s="24">
        <v>0.52053940296173096</v>
      </c>
      <c r="AY22" s="24">
        <v>1.037860776342997</v>
      </c>
      <c r="AZ22" s="24">
        <v>3.951513748148094</v>
      </c>
      <c r="BA22" s="24">
        <v>134.23273960556062</v>
      </c>
      <c r="BB22" s="24">
        <v>2.9820470809936523</v>
      </c>
      <c r="BC22" s="24">
        <v>31.913716343369735</v>
      </c>
      <c r="BD22" s="24">
        <v>16.171477426810213</v>
      </c>
      <c r="BE22" s="24">
        <v>25.474407196044922</v>
      </c>
      <c r="BF22" s="24">
        <v>0.46532252430915833</v>
      </c>
      <c r="BG22" s="24">
        <v>1.0151674316338291</v>
      </c>
      <c r="BH22" s="24">
        <v>3.8740330864196992</v>
      </c>
      <c r="BI22" s="24">
        <v>131.40025196012022</v>
      </c>
      <c r="BJ22" s="24">
        <v>2.9865965843200684</v>
      </c>
      <c r="BK22" s="24">
        <v>31.930915604615201</v>
      </c>
      <c r="BL22" s="24">
        <v>17.836202091755613</v>
      </c>
      <c r="BM22" s="24">
        <v>27.999399185180664</v>
      </c>
      <c r="BN22" s="24">
        <v>0.42771869897842407</v>
      </c>
      <c r="BO22" s="24">
        <v>1.0151674316338291</v>
      </c>
      <c r="BP22" s="24">
        <v>3.8740330864196992</v>
      </c>
      <c r="BQ22" s="24">
        <v>131.40025196012022</v>
      </c>
      <c r="BR22" s="24">
        <v>2.9865965843200684</v>
      </c>
      <c r="BS22" s="24">
        <v>31.930915604615201</v>
      </c>
      <c r="BT22" s="24">
        <v>19.598137111907107</v>
      </c>
      <c r="BU22" s="24">
        <v>30.827404022216797</v>
      </c>
      <c r="BV22" s="24">
        <v>0.40545570850372314</v>
      </c>
      <c r="BW22" s="24">
        <v>1.0106534339527755</v>
      </c>
      <c r="BX22" s="24">
        <v>3.8585369540740215</v>
      </c>
      <c r="BY22" s="24">
        <v>130.83476866227241</v>
      </c>
      <c r="BZ22" s="24">
        <v>2.9875071048736572</v>
      </c>
      <c r="CA22" s="24">
        <v>31.934355456864296</v>
      </c>
      <c r="CB22" s="24">
        <v>21.240647898542779</v>
      </c>
      <c r="CC22" s="24">
        <v>33.688419342041016</v>
      </c>
      <c r="CD22" s="24">
        <v>0.38785538077354431</v>
      </c>
      <c r="CE22" s="24">
        <v>1.001648439439649</v>
      </c>
      <c r="CF22" s="24">
        <v>3.8275446893826635</v>
      </c>
      <c r="CG22" s="24">
        <v>129.70481454391793</v>
      </c>
      <c r="CH22" s="24">
        <v>2.9893283843994141</v>
      </c>
      <c r="CI22" s="24">
        <v>31.941235161362481</v>
      </c>
      <c r="CJ22" s="24">
        <v>22.750987848166172</v>
      </c>
      <c r="CK22" s="24">
        <v>36.570426940917969</v>
      </c>
      <c r="CL22" s="24">
        <v>0.37956711649894714</v>
      </c>
    </row>
    <row r="23" spans="2:90">
      <c r="B23" s="24">
        <f t="shared" si="0"/>
        <v>2.75</v>
      </c>
      <c r="C23" s="24">
        <v>1.0838884764808041</v>
      </c>
      <c r="D23" s="24">
        <v>4.1064750716048826</v>
      </c>
      <c r="E23" s="24">
        <v>129.0695359609042</v>
      </c>
      <c r="F23" s="24">
        <v>3.2229597568511963</v>
      </c>
      <c r="G23" s="24">
        <v>31.879317820878804</v>
      </c>
      <c r="H23" s="24">
        <v>3.8489190464360461</v>
      </c>
      <c r="I23" s="24">
        <v>10.168400764465332</v>
      </c>
      <c r="J23" s="24">
        <v>1.6790139675140381</v>
      </c>
      <c r="K23" s="24">
        <v>1.0699844749515597</v>
      </c>
      <c r="L23" s="24">
        <v>4.0599866745678455</v>
      </c>
      <c r="M23" s="24">
        <v>127.50059012868874</v>
      </c>
      <c r="N23" s="24">
        <v>3.2256844043731689</v>
      </c>
      <c r="O23" s="24">
        <v>31.889637377626084</v>
      </c>
      <c r="P23" s="24">
        <v>5.9285885898360027</v>
      </c>
      <c r="Q23" s="24">
        <v>12.464407920837402</v>
      </c>
      <c r="R23" s="24">
        <v>1.1246083974838257</v>
      </c>
      <c r="S23" s="24">
        <v>1.0653689537802913</v>
      </c>
      <c r="T23" s="24">
        <v>4.0444905422221673</v>
      </c>
      <c r="U23" s="24">
        <v>126.97818441776782</v>
      </c>
      <c r="V23" s="24">
        <v>3.2265927791595459</v>
      </c>
      <c r="W23" s="24">
        <v>31.893077229875175</v>
      </c>
      <c r="X23" s="24">
        <v>7.97801995208712</v>
      </c>
      <c r="Y23" s="24">
        <v>14.818408966064453</v>
      </c>
      <c r="Z23" s="24">
        <v>0.8248441219329834</v>
      </c>
      <c r="AA23" s="24">
        <v>1.0653689537802913</v>
      </c>
      <c r="AB23" s="24">
        <v>4.0444905422221673</v>
      </c>
      <c r="AC23" s="24">
        <v>126.97818441776782</v>
      </c>
      <c r="AD23" s="24">
        <v>3.2265927791595459</v>
      </c>
      <c r="AE23" s="24">
        <v>31.893077229875175</v>
      </c>
      <c r="AF23" s="24">
        <v>9.9978336988365069</v>
      </c>
      <c r="AG23" s="24">
        <v>17.238395690917969</v>
      </c>
      <c r="AH23" s="24">
        <v>0.7148556113243103</v>
      </c>
      <c r="AI23" s="24">
        <v>1.0607624540871043</v>
      </c>
      <c r="AJ23" s="24">
        <v>4.0289944098764892</v>
      </c>
      <c r="AK23" s="24">
        <v>126.45606654537345</v>
      </c>
      <c r="AL23" s="24">
        <v>3.227501392364502</v>
      </c>
      <c r="AM23" s="24">
        <v>31.896517082124269</v>
      </c>
      <c r="AN23" s="24">
        <v>11.947743821196287</v>
      </c>
      <c r="AO23" s="24">
        <v>19.688423156738281</v>
      </c>
      <c r="AP23" s="24">
        <v>0.58357423543930054</v>
      </c>
      <c r="AQ23" s="24">
        <v>1.0561648264916308</v>
      </c>
      <c r="AR23" s="24">
        <v>4.0134982775308092</v>
      </c>
      <c r="AS23" s="24">
        <v>125.93423634485703</v>
      </c>
      <c r="AT23" s="24">
        <v>3.2284102439880371</v>
      </c>
      <c r="AU23" s="24">
        <v>31.899956934373364</v>
      </c>
      <c r="AV23" s="24">
        <v>13.840762106690143</v>
      </c>
      <c r="AW23" s="24">
        <v>22.187410354614258</v>
      </c>
      <c r="AX23" s="24">
        <v>0.52804011106491089</v>
      </c>
      <c r="AY23" s="24">
        <v>1.0469957320974721</v>
      </c>
      <c r="AZ23" s="24">
        <v>3.982506012839452</v>
      </c>
      <c r="BA23" s="24">
        <v>124.89143829346364</v>
      </c>
      <c r="BB23" s="24">
        <v>3.2302284240722656</v>
      </c>
      <c r="BC23" s="24">
        <v>31.90683663887155</v>
      </c>
      <c r="BD23" s="24">
        <v>15.642086055641414</v>
      </c>
      <c r="BE23" s="24">
        <v>24.700405120849609</v>
      </c>
      <c r="BF23" s="24">
        <v>0.46847629547119141</v>
      </c>
      <c r="BG23" s="24">
        <v>1.0424240417493325</v>
      </c>
      <c r="BH23" s="24">
        <v>3.967009880493773</v>
      </c>
      <c r="BI23" s="24">
        <v>124.37047010988937</v>
      </c>
      <c r="BJ23" s="24">
        <v>3.2311375141143799</v>
      </c>
      <c r="BK23" s="24">
        <v>31.910276491120641</v>
      </c>
      <c r="BL23" s="24">
        <v>17.410840466087194</v>
      </c>
      <c r="BM23" s="24">
        <v>27.3114013671875</v>
      </c>
      <c r="BN23" s="24">
        <v>0.429242342710495</v>
      </c>
      <c r="BO23" s="24">
        <v>1.0151674316338291</v>
      </c>
      <c r="BP23" s="24">
        <v>3.8740330864196992</v>
      </c>
      <c r="BQ23" s="24">
        <v>121.25068233706347</v>
      </c>
      <c r="BR23" s="24">
        <v>3.2365965843200684</v>
      </c>
      <c r="BS23" s="24">
        <v>31.930915604615201</v>
      </c>
      <c r="BT23" s="24">
        <v>18.918621945067585</v>
      </c>
      <c r="BU23" s="24">
        <v>29.711397171020508</v>
      </c>
      <c r="BV23" s="24">
        <v>0.4012787938117981</v>
      </c>
      <c r="BW23" s="24">
        <v>1.0151674316338291</v>
      </c>
      <c r="BX23" s="24">
        <v>3.8740330864196992</v>
      </c>
      <c r="BY23" s="24">
        <v>121.25068233706347</v>
      </c>
      <c r="BZ23" s="24">
        <v>3.2365965843200684</v>
      </c>
      <c r="CA23" s="24">
        <v>31.930915604615201</v>
      </c>
      <c r="CB23" s="24">
        <v>20.575470864871285</v>
      </c>
      <c r="CC23" s="24">
        <v>32.496402740478516</v>
      </c>
      <c r="CD23" s="24">
        <v>0.3864479660987854</v>
      </c>
      <c r="CE23" s="24">
        <v>1.0151674316338291</v>
      </c>
      <c r="CF23" s="24">
        <v>3.8740330864196992</v>
      </c>
      <c r="CG23" s="24">
        <v>121.25068233706347</v>
      </c>
      <c r="CH23" s="24">
        <v>3.2365965843200684</v>
      </c>
      <c r="CI23" s="24">
        <v>31.930915604615201</v>
      </c>
      <c r="CJ23" s="24">
        <v>22.155413122879224</v>
      </c>
      <c r="CK23" s="24">
        <v>35.384422302246094</v>
      </c>
      <c r="CL23" s="24">
        <v>0.37579253315925598</v>
      </c>
    </row>
    <row r="24" spans="2:90">
      <c r="B24" s="24">
        <f t="shared" si="0"/>
        <v>3</v>
      </c>
      <c r="C24" s="24">
        <v>1.093204927338123</v>
      </c>
      <c r="D24" s="24">
        <v>4.1374673362962398</v>
      </c>
      <c r="E24" s="24">
        <v>120.7456129122647</v>
      </c>
      <c r="F24" s="24">
        <v>3.4711441993713379</v>
      </c>
      <c r="G24" s="24">
        <v>31.872438116380614</v>
      </c>
      <c r="H24" s="24">
        <v>3.7123521438749081</v>
      </c>
      <c r="I24" s="24">
        <v>10.017402648925781</v>
      </c>
      <c r="J24" s="24">
        <v>1.6800004243850708</v>
      </c>
      <c r="K24" s="24">
        <v>1.0699844749515597</v>
      </c>
      <c r="L24" s="24">
        <v>4.0599866745678455</v>
      </c>
      <c r="M24" s="24">
        <v>118.32969170923788</v>
      </c>
      <c r="N24" s="24">
        <v>3.4756844043731689</v>
      </c>
      <c r="O24" s="24">
        <v>31.889637377626084</v>
      </c>
      <c r="P24" s="24">
        <v>5.693962608923699</v>
      </c>
      <c r="Q24" s="24">
        <v>12.201409339904785</v>
      </c>
      <c r="R24" s="24">
        <v>1.1237648725509644</v>
      </c>
      <c r="S24" s="24">
        <v>1.0699844749515597</v>
      </c>
      <c r="T24" s="24">
        <v>4.0599866745678455</v>
      </c>
      <c r="U24" s="24">
        <v>118.32969170923788</v>
      </c>
      <c r="V24" s="24">
        <v>3.4756844043731689</v>
      </c>
      <c r="W24" s="24">
        <v>31.889637377626084</v>
      </c>
      <c r="X24" s="24">
        <v>7.6852370990170309</v>
      </c>
      <c r="Y24" s="24">
        <v>14.473409652709961</v>
      </c>
      <c r="Z24" s="24">
        <v>0.86181783676147461</v>
      </c>
      <c r="AA24" s="24">
        <v>1.0699844749515597</v>
      </c>
      <c r="AB24" s="24">
        <v>4.0599866745678455</v>
      </c>
      <c r="AC24" s="24">
        <v>118.32969170923788</v>
      </c>
      <c r="AD24" s="24">
        <v>3.4756844043731689</v>
      </c>
      <c r="AE24" s="24">
        <v>31.889637377626084</v>
      </c>
      <c r="AF24" s="24">
        <v>9.6393281288929522</v>
      </c>
      <c r="AG24" s="24">
        <v>16.797399520874023</v>
      </c>
      <c r="AH24" s="24">
        <v>0.71154683828353882</v>
      </c>
      <c r="AI24" s="24">
        <v>1.0653689537802913</v>
      </c>
      <c r="AJ24" s="24">
        <v>4.0444905422221673</v>
      </c>
      <c r="AK24" s="24">
        <v>117.84724841383954</v>
      </c>
      <c r="AL24" s="24">
        <v>3.4765927791595459</v>
      </c>
      <c r="AM24" s="24">
        <v>31.893077229875175</v>
      </c>
      <c r="AN24" s="24">
        <v>11.527614123280033</v>
      </c>
      <c r="AO24" s="24">
        <v>19.147418975830078</v>
      </c>
      <c r="AP24" s="24">
        <v>0.57942807674407959</v>
      </c>
      <c r="AQ24" s="24">
        <v>1.0607624540871043</v>
      </c>
      <c r="AR24" s="24">
        <v>4.0289944098764892</v>
      </c>
      <c r="AS24" s="24">
        <v>117.36505180149385</v>
      </c>
      <c r="AT24" s="24">
        <v>3.477501392364502</v>
      </c>
      <c r="AU24" s="24">
        <v>31.896517082124269</v>
      </c>
      <c r="AV24" s="24">
        <v>13.364753359324656</v>
      </c>
      <c r="AW24" s="24">
        <v>21.543415069580078</v>
      </c>
      <c r="AX24" s="24">
        <v>0.52285128831863403</v>
      </c>
      <c r="AY24" s="24">
        <v>1.0561648264916308</v>
      </c>
      <c r="AZ24" s="24">
        <v>4.0134982775308092</v>
      </c>
      <c r="BA24" s="24">
        <v>116.88310174435618</v>
      </c>
      <c r="BB24" s="24">
        <v>3.4784102439880371</v>
      </c>
      <c r="BC24" s="24">
        <v>31.899956934373364</v>
      </c>
      <c r="BD24" s="24">
        <v>15.149927725632129</v>
      </c>
      <c r="BE24" s="24">
        <v>23.992410659790039</v>
      </c>
      <c r="BF24" s="24">
        <v>0.4726557731628418</v>
      </c>
      <c r="BG24" s="24">
        <v>1.051575956697036</v>
      </c>
      <c r="BH24" s="24">
        <v>3.9980021451851302</v>
      </c>
      <c r="BI24" s="24">
        <v>116.40139811466288</v>
      </c>
      <c r="BJ24" s="24">
        <v>3.4793190956115723</v>
      </c>
      <c r="BK24" s="24">
        <v>31.903396786622455</v>
      </c>
      <c r="BL24" s="24">
        <v>16.878295218314864</v>
      </c>
      <c r="BM24" s="24">
        <v>26.498407363891602</v>
      </c>
      <c r="BN24" s="24">
        <v>0.43828588724136353</v>
      </c>
      <c r="BO24" s="24">
        <v>1.0469957320974721</v>
      </c>
      <c r="BP24" s="24">
        <v>3.982506012839452</v>
      </c>
      <c r="BQ24" s="24">
        <v>115.91994078473134</v>
      </c>
      <c r="BR24" s="24">
        <v>3.4802284240722656</v>
      </c>
      <c r="BS24" s="24">
        <v>31.90683663887155</v>
      </c>
      <c r="BT24" s="24">
        <v>18.545966363059971</v>
      </c>
      <c r="BU24" s="24">
        <v>29.06939697265625</v>
      </c>
      <c r="BV24" s="24">
        <v>0.40854600071907043</v>
      </c>
      <c r="BW24" s="24">
        <v>1.0333058281750689</v>
      </c>
      <c r="BX24" s="24">
        <v>3.936017615802414</v>
      </c>
      <c r="BY24" s="24">
        <v>114.47704531789348</v>
      </c>
      <c r="BZ24" s="24">
        <v>3.4829566478729248</v>
      </c>
      <c r="CA24" s="24">
        <v>31.91715619561883</v>
      </c>
      <c r="CB24" s="24">
        <v>20.066880117120874</v>
      </c>
      <c r="CC24" s="24">
        <v>31.590398788452148</v>
      </c>
      <c r="CD24" s="24">
        <v>0.37759870290756226</v>
      </c>
      <c r="CE24" s="24">
        <v>1.0151674316338291</v>
      </c>
      <c r="CF24" s="24">
        <v>3.8740330864196992</v>
      </c>
      <c r="CG24" s="24">
        <v>112.55662516017028</v>
      </c>
      <c r="CH24" s="24">
        <v>3.4865965843200684</v>
      </c>
      <c r="CI24" s="24">
        <v>31.930915604615201</v>
      </c>
      <c r="CJ24" s="24">
        <v>21.465536466203901</v>
      </c>
      <c r="CK24" s="24">
        <v>34.091403961181641</v>
      </c>
      <c r="CL24" s="24">
        <v>0.36217287182807922</v>
      </c>
    </row>
    <row r="25" spans="2:90">
      <c r="B25" s="24">
        <f t="shared" si="0"/>
        <v>3.25</v>
      </c>
      <c r="C25" s="24">
        <v>1.1072527839103847</v>
      </c>
      <c r="D25" s="24">
        <v>4.1839557333332777</v>
      </c>
      <c r="E25" s="24">
        <v>113.98240913259482</v>
      </c>
      <c r="F25" s="24">
        <v>3.7184221744537354</v>
      </c>
      <c r="G25" s="24">
        <v>31.862118559633338</v>
      </c>
      <c r="H25" s="24">
        <v>3.5966504981479064</v>
      </c>
      <c r="I25" s="24">
        <v>9.8874025344848633</v>
      </c>
      <c r="J25" s="24">
        <v>1.680452823638916</v>
      </c>
      <c r="K25" s="24">
        <v>1.0978776606971723</v>
      </c>
      <c r="L25" s="24">
        <v>4.1529634686419197</v>
      </c>
      <c r="M25" s="24">
        <v>113.08291099222964</v>
      </c>
      <c r="N25" s="24">
        <v>3.7202367782592773</v>
      </c>
      <c r="O25" s="24">
        <v>31.868998264131523</v>
      </c>
      <c r="P25" s="24">
        <v>5.558137806879845</v>
      </c>
      <c r="Q25" s="24">
        <v>12.035404205322266</v>
      </c>
      <c r="R25" s="24">
        <v>1.1222145557403564</v>
      </c>
      <c r="S25" s="24">
        <v>1.0885419079995147</v>
      </c>
      <c r="T25" s="24">
        <v>4.1219712039505616</v>
      </c>
      <c r="U25" s="24">
        <v>112.18427066816854</v>
      </c>
      <c r="V25" s="24">
        <v>3.7220518589019775</v>
      </c>
      <c r="W25" s="24">
        <v>31.875877968629709</v>
      </c>
      <c r="X25" s="24">
        <v>7.468772375504126</v>
      </c>
      <c r="Y25" s="24">
        <v>14.210407257080078</v>
      </c>
      <c r="Z25" s="24">
        <v>0.85971063375473022</v>
      </c>
      <c r="AA25" s="24">
        <v>1.0699844749515597</v>
      </c>
      <c r="AB25" s="24">
        <v>4.0599866745678455</v>
      </c>
      <c r="AC25" s="24">
        <v>110.3895602729133</v>
      </c>
      <c r="AD25" s="24">
        <v>3.7256844043731689</v>
      </c>
      <c r="AE25" s="24">
        <v>31.889637377626084</v>
      </c>
      <c r="AF25" s="24">
        <v>9.2848811050379538</v>
      </c>
      <c r="AG25" s="24">
        <v>16.368406295776367</v>
      </c>
      <c r="AH25" s="24">
        <v>0.70845943689346313</v>
      </c>
      <c r="AI25" s="24">
        <v>1.0699844749515597</v>
      </c>
      <c r="AJ25" s="24">
        <v>4.0599866745678455</v>
      </c>
      <c r="AK25" s="24">
        <v>110.3895602729133</v>
      </c>
      <c r="AL25" s="24">
        <v>3.7256844043731689</v>
      </c>
      <c r="AM25" s="24">
        <v>31.889637377626084</v>
      </c>
      <c r="AN25" s="24">
        <v>11.137023629798257</v>
      </c>
      <c r="AO25" s="24">
        <v>18.649408340454102</v>
      </c>
      <c r="AP25" s="24">
        <v>0.59318065643310547</v>
      </c>
      <c r="AQ25" s="24">
        <v>1.0699844749515597</v>
      </c>
      <c r="AR25" s="24">
        <v>4.0599866745678455</v>
      </c>
      <c r="AS25" s="24">
        <v>110.3895602729133</v>
      </c>
      <c r="AT25" s="24">
        <v>3.7256844043731689</v>
      </c>
      <c r="AU25" s="24">
        <v>31.889637377626084</v>
      </c>
      <c r="AV25" s="24">
        <v>12.950779150742537</v>
      </c>
      <c r="AW25" s="24">
        <v>20.985410690307617</v>
      </c>
      <c r="AX25" s="24">
        <v>0.53193950653076172</v>
      </c>
      <c r="AY25" s="24">
        <v>1.0607624540871043</v>
      </c>
      <c r="AZ25" s="24">
        <v>4.0289944098764892</v>
      </c>
      <c r="BA25" s="24">
        <v>109.49348860592269</v>
      </c>
      <c r="BB25" s="24">
        <v>3.727501392364502</v>
      </c>
      <c r="BC25" s="24">
        <v>31.896517082124269</v>
      </c>
      <c r="BD25" s="24">
        <v>14.659063495024</v>
      </c>
      <c r="BE25" s="24">
        <v>23.302410125732422</v>
      </c>
      <c r="BF25" s="24">
        <v>0.46709579229354858</v>
      </c>
      <c r="BG25" s="24">
        <v>1.0607624540871043</v>
      </c>
      <c r="BH25" s="24">
        <v>4.0289944098764892</v>
      </c>
      <c r="BI25" s="24">
        <v>109.49348860592269</v>
      </c>
      <c r="BJ25" s="24">
        <v>3.727501392364502</v>
      </c>
      <c r="BK25" s="24">
        <v>31.896517082124269</v>
      </c>
      <c r="BL25" s="24">
        <v>16.380689104231955</v>
      </c>
      <c r="BM25" s="24">
        <v>25.752407073974609</v>
      </c>
      <c r="BN25" s="24">
        <v>0.4403458833694458</v>
      </c>
      <c r="BO25" s="24">
        <v>1.051575956697036</v>
      </c>
      <c r="BP25" s="24">
        <v>3.9980021451851302</v>
      </c>
      <c r="BQ25" s="24">
        <v>108.59827156364081</v>
      </c>
      <c r="BR25" s="24">
        <v>3.7293190956115723</v>
      </c>
      <c r="BS25" s="24">
        <v>31.903396786622455</v>
      </c>
      <c r="BT25" s="24">
        <v>17.977680430149555</v>
      </c>
      <c r="BU25" s="24">
        <v>28.170402526855469</v>
      </c>
      <c r="BV25" s="24">
        <v>0.40055957436561584</v>
      </c>
      <c r="BW25" s="24">
        <v>1.0469957320974721</v>
      </c>
      <c r="BX25" s="24">
        <v>3.982506012839452</v>
      </c>
      <c r="BY25" s="24">
        <v>108.15098327808185</v>
      </c>
      <c r="BZ25" s="24">
        <v>3.7302284240722656</v>
      </c>
      <c r="CA25" s="24">
        <v>31.90683663887155</v>
      </c>
      <c r="CB25" s="24">
        <v>19.550500651364832</v>
      </c>
      <c r="CC25" s="24">
        <v>30.701406478881836</v>
      </c>
      <c r="CD25" s="24">
        <v>0.38601213693618774</v>
      </c>
      <c r="CE25" s="24">
        <v>1.037860776342997</v>
      </c>
      <c r="CF25" s="24">
        <v>3.951513748148094</v>
      </c>
      <c r="CG25" s="24">
        <v>107.25704668124463</v>
      </c>
      <c r="CH25" s="24">
        <v>3.7320470809936523</v>
      </c>
      <c r="CI25" s="24">
        <v>31.913716343369735</v>
      </c>
      <c r="CJ25" s="24">
        <v>21.016905398599647</v>
      </c>
      <c r="CK25" s="24">
        <v>33.241397857666016</v>
      </c>
      <c r="CL25" s="24">
        <v>0.36795365810394287</v>
      </c>
    </row>
    <row r="26" spans="2:90">
      <c r="B26" s="24">
        <f t="shared" si="0"/>
        <v>3.5</v>
      </c>
      <c r="C26" s="24">
        <v>1.1072527839103847</v>
      </c>
      <c r="D26" s="24">
        <v>4.1839557333332777</v>
      </c>
      <c r="E26" s="24">
        <v>106.80182169866499</v>
      </c>
      <c r="F26" s="24">
        <v>3.9684221744537354</v>
      </c>
      <c r="G26" s="24">
        <v>31.862118559633338</v>
      </c>
      <c r="H26" s="24">
        <v>3.4631696021140419</v>
      </c>
      <c r="I26" s="24">
        <v>9.7444057464599609</v>
      </c>
      <c r="J26" s="24">
        <v>1.871713399887085</v>
      </c>
      <c r="K26" s="24">
        <v>1.0978776606971723</v>
      </c>
      <c r="L26" s="24">
        <v>4.1529634686419197</v>
      </c>
      <c r="M26" s="24">
        <v>105.96224548846618</v>
      </c>
      <c r="N26" s="24">
        <v>3.9702367782592773</v>
      </c>
      <c r="O26" s="24">
        <v>31.868998264131523</v>
      </c>
      <c r="P26" s="24">
        <v>5.3548324950633868</v>
      </c>
      <c r="Q26" s="24">
        <v>11.809401512145996</v>
      </c>
      <c r="R26" s="24">
        <v>1.1997877359390259</v>
      </c>
      <c r="S26" s="24">
        <v>1.0978776606971723</v>
      </c>
      <c r="T26" s="24">
        <v>4.1529634686419197</v>
      </c>
      <c r="U26" s="24">
        <v>105.96224548846618</v>
      </c>
      <c r="V26" s="24">
        <v>3.9702367782592773</v>
      </c>
      <c r="W26" s="24">
        <v>31.868998264131523</v>
      </c>
      <c r="X26" s="24">
        <v>7.2347499336318286</v>
      </c>
      <c r="Y26" s="24">
        <v>13.93441104888916</v>
      </c>
      <c r="Z26" s="24">
        <v>0.90109515190124512</v>
      </c>
      <c r="AA26" s="24">
        <v>1.0699844749515597</v>
      </c>
      <c r="AB26" s="24">
        <v>4.0599866745678455</v>
      </c>
      <c r="AC26" s="24">
        <v>103.44801560349075</v>
      </c>
      <c r="AD26" s="24">
        <v>3.9756844043731689</v>
      </c>
      <c r="AE26" s="24">
        <v>31.889637377626084</v>
      </c>
      <c r="AF26" s="24">
        <v>8.9543409324597256</v>
      </c>
      <c r="AG26" s="24">
        <v>15.971402168273926</v>
      </c>
      <c r="AH26" s="24">
        <v>0.7056846022605896</v>
      </c>
      <c r="AI26" s="24">
        <v>1.0699844749515597</v>
      </c>
      <c r="AJ26" s="24">
        <v>4.0599866745678455</v>
      </c>
      <c r="AK26" s="24">
        <v>103.44801560349075</v>
      </c>
      <c r="AL26" s="24">
        <v>3.9756844043731689</v>
      </c>
      <c r="AM26" s="24">
        <v>31.889637377626084</v>
      </c>
      <c r="AN26" s="24">
        <v>10.747500885376565</v>
      </c>
      <c r="AO26" s="24">
        <v>18.161405563354492</v>
      </c>
      <c r="AP26" s="24">
        <v>0.60816210508346558</v>
      </c>
      <c r="AQ26" s="24">
        <v>1.0699844749515597</v>
      </c>
      <c r="AR26" s="24">
        <v>4.0599866745678455</v>
      </c>
      <c r="AS26" s="24">
        <v>103.44801560349075</v>
      </c>
      <c r="AT26" s="24">
        <v>3.9756844043731689</v>
      </c>
      <c r="AU26" s="24">
        <v>31.889637377626084</v>
      </c>
      <c r="AV26" s="24">
        <v>12.50754919376066</v>
      </c>
      <c r="AW26" s="24">
        <v>20.4044189453125</v>
      </c>
      <c r="AX26" s="24">
        <v>0.5274956226348877</v>
      </c>
      <c r="AY26" s="24">
        <v>1.0653689537802913</v>
      </c>
      <c r="AZ26" s="24">
        <v>4.0444905422221673</v>
      </c>
      <c r="BA26" s="24">
        <v>103.02963253034751</v>
      </c>
      <c r="BB26" s="24">
        <v>3.9765927791595459</v>
      </c>
      <c r="BC26" s="24">
        <v>31.893077229875175</v>
      </c>
      <c r="BD26" s="24">
        <v>14.198699696943011</v>
      </c>
      <c r="BE26" s="24">
        <v>22.66441535949707</v>
      </c>
      <c r="BF26" s="24">
        <v>0.47247350215911865</v>
      </c>
      <c r="BG26" s="24">
        <v>1.0653689537802913</v>
      </c>
      <c r="BH26" s="24">
        <v>4.0444905422221673</v>
      </c>
      <c r="BI26" s="24">
        <v>103.02963253034751</v>
      </c>
      <c r="BJ26" s="24">
        <v>3.9765927791595459</v>
      </c>
      <c r="BK26" s="24">
        <v>31.893077229875175</v>
      </c>
      <c r="BL26" s="24">
        <v>15.879993194715791</v>
      </c>
      <c r="BM26" s="24">
        <v>25.020410537719727</v>
      </c>
      <c r="BN26" s="24">
        <v>0.43433377146720886</v>
      </c>
      <c r="BO26" s="24">
        <v>1.0607624540871043</v>
      </c>
      <c r="BP26" s="24">
        <v>4.0289944098764892</v>
      </c>
      <c r="BQ26" s="24">
        <v>102.61143645938976</v>
      </c>
      <c r="BR26" s="24">
        <v>3.977501392364502</v>
      </c>
      <c r="BS26" s="24">
        <v>31.896517082124269</v>
      </c>
      <c r="BT26" s="24">
        <v>17.478822817993009</v>
      </c>
      <c r="BU26" s="24">
        <v>27.391401290893555</v>
      </c>
      <c r="BV26" s="24">
        <v>0.40758416056632996</v>
      </c>
      <c r="BW26" s="24">
        <v>1.051575956697036</v>
      </c>
      <c r="BX26" s="24">
        <v>3.9980021451851302</v>
      </c>
      <c r="BY26" s="24">
        <v>101.77560501011331</v>
      </c>
      <c r="BZ26" s="24">
        <v>3.9793190956115723</v>
      </c>
      <c r="CA26" s="24">
        <v>31.903396786622455</v>
      </c>
      <c r="CB26" s="24">
        <v>18.984987882739286</v>
      </c>
      <c r="CC26" s="24">
        <v>29.767398834228516</v>
      </c>
      <c r="CD26" s="24">
        <v>0.3775346577167511</v>
      </c>
      <c r="CE26" s="24">
        <v>1.0469957320974721</v>
      </c>
      <c r="CF26" s="24">
        <v>3.982506012839452</v>
      </c>
      <c r="CG26" s="24">
        <v>101.35796947493175</v>
      </c>
      <c r="CH26" s="24">
        <v>3.9802284240722656</v>
      </c>
      <c r="CI26" s="24">
        <v>31.90683663887155</v>
      </c>
      <c r="CJ26" s="24">
        <v>20.471334988565793</v>
      </c>
      <c r="CK26" s="24">
        <v>32.265407562255859</v>
      </c>
      <c r="CL26" s="24">
        <v>0.36338838934898376</v>
      </c>
    </row>
    <row r="27" spans="2:90">
      <c r="B27" s="24">
        <f t="shared" si="0"/>
        <v>3.75</v>
      </c>
      <c r="C27" s="24">
        <v>1.1025602361968798</v>
      </c>
      <c r="D27" s="24">
        <v>4.1684596009875978</v>
      </c>
      <c r="E27" s="24">
        <v>100.07869046093148</v>
      </c>
      <c r="F27" s="24">
        <v>4.2193293571472168</v>
      </c>
      <c r="G27" s="24">
        <v>31.865558411882429</v>
      </c>
      <c r="H27" s="24">
        <v>3.3313959633949923</v>
      </c>
      <c r="I27" s="24">
        <v>9.6054105758666992</v>
      </c>
      <c r="J27" s="24">
        <v>1.8742580413818359</v>
      </c>
      <c r="K27" s="24">
        <v>1.1119554358975896</v>
      </c>
      <c r="L27" s="24">
        <v>4.199451865678955</v>
      </c>
      <c r="M27" s="24">
        <v>100.86614105218761</v>
      </c>
      <c r="N27" s="24">
        <v>4.2175149917602539</v>
      </c>
      <c r="O27" s="24">
        <v>31.858678707384243</v>
      </c>
      <c r="P27" s="24">
        <v>5.2048763265604849</v>
      </c>
      <c r="Q27" s="24">
        <v>11.636402130126953</v>
      </c>
      <c r="R27" s="24">
        <v>1.2891358137130737</v>
      </c>
      <c r="S27" s="24">
        <v>1.0978776606971723</v>
      </c>
      <c r="T27" s="24">
        <v>4.1529634686419197</v>
      </c>
      <c r="U27" s="24">
        <v>99.685213405513224</v>
      </c>
      <c r="V27" s="24">
        <v>4.2202367782592773</v>
      </c>
      <c r="W27" s="24">
        <v>31.868998264131523</v>
      </c>
      <c r="X27" s="24">
        <v>6.9841057041637091</v>
      </c>
      <c r="Y27" s="24">
        <v>13.646411895751953</v>
      </c>
      <c r="Z27" s="24">
        <v>0.89941525459289551</v>
      </c>
      <c r="AA27" s="24">
        <v>1.093204927338123</v>
      </c>
      <c r="AB27" s="24">
        <v>4.1374673362962398</v>
      </c>
      <c r="AC27" s="24">
        <v>99.291901759865723</v>
      </c>
      <c r="AD27" s="24">
        <v>4.2211441993713379</v>
      </c>
      <c r="AE27" s="24">
        <v>31.872438116380614</v>
      </c>
      <c r="AF27" s="24">
        <v>8.7525748165996262</v>
      </c>
      <c r="AG27" s="24">
        <v>15.714401245117188</v>
      </c>
      <c r="AH27" s="24">
        <v>0.73137003183364868</v>
      </c>
      <c r="AI27" s="24">
        <v>1.093204927338123</v>
      </c>
      <c r="AJ27" s="24">
        <v>4.1374673362962398</v>
      </c>
      <c r="AK27" s="24">
        <v>99.291901759865723</v>
      </c>
      <c r="AL27" s="24">
        <v>4.2211441993713379</v>
      </c>
      <c r="AM27" s="24">
        <v>31.872438116380614</v>
      </c>
      <c r="AN27" s="24">
        <v>10.50903467734098</v>
      </c>
      <c r="AO27" s="24">
        <v>17.846405029296875</v>
      </c>
      <c r="AP27" s="24">
        <v>0.62524533271789551</v>
      </c>
      <c r="AQ27" s="24">
        <v>1.0699844749515597</v>
      </c>
      <c r="AR27" s="24">
        <v>4.0599866745678455</v>
      </c>
      <c r="AS27" s="24">
        <v>97.327822483110026</v>
      </c>
      <c r="AT27" s="24">
        <v>4.2256841659545898</v>
      </c>
      <c r="AU27" s="24">
        <v>31.889637377626084</v>
      </c>
      <c r="AV27" s="24">
        <v>12.091683718358819</v>
      </c>
      <c r="AW27" s="24">
        <v>19.865415573120117</v>
      </c>
      <c r="AX27" s="24">
        <v>0.53759747743606567</v>
      </c>
      <c r="AY27" s="24">
        <v>1.0699844749515597</v>
      </c>
      <c r="AZ27" s="24">
        <v>4.0599866745678455</v>
      </c>
      <c r="BA27" s="24">
        <v>97.327822483110026</v>
      </c>
      <c r="BB27" s="24">
        <v>4.2256841659545898</v>
      </c>
      <c r="BC27" s="24">
        <v>31.889637377626084</v>
      </c>
      <c r="BD27" s="24">
        <v>13.767458233549924</v>
      </c>
      <c r="BE27" s="24">
        <v>22.07441520690918</v>
      </c>
      <c r="BF27" s="24">
        <v>0.47868368029594421</v>
      </c>
      <c r="BG27" s="24">
        <v>1.0699844749515597</v>
      </c>
      <c r="BH27" s="24">
        <v>4.0599866745678455</v>
      </c>
      <c r="BI27" s="24">
        <v>97.327822483110026</v>
      </c>
      <c r="BJ27" s="24">
        <v>4.2256841659545898</v>
      </c>
      <c r="BK27" s="24">
        <v>31.889637377626084</v>
      </c>
      <c r="BL27" s="24">
        <v>15.408083019895702</v>
      </c>
      <c r="BM27" s="24">
        <v>24.341413497924805</v>
      </c>
      <c r="BN27" s="24">
        <v>0.43751272559165955</v>
      </c>
      <c r="BO27" s="24">
        <v>1.0653689537802913</v>
      </c>
      <c r="BP27" s="24">
        <v>4.0444905422221673</v>
      </c>
      <c r="BQ27" s="24">
        <v>96.935501979414099</v>
      </c>
      <c r="BR27" s="24">
        <v>4.2265925407409668</v>
      </c>
      <c r="BS27" s="24">
        <v>31.893077229875175</v>
      </c>
      <c r="BT27" s="24">
        <v>16.972801829759181</v>
      </c>
      <c r="BU27" s="24">
        <v>26.622407913208008</v>
      </c>
      <c r="BV27" s="24">
        <v>0.40119785070419312</v>
      </c>
      <c r="BW27" s="24">
        <v>1.0653689537802913</v>
      </c>
      <c r="BX27" s="24">
        <v>4.0444905422221673</v>
      </c>
      <c r="BY27" s="24">
        <v>96.935501979414099</v>
      </c>
      <c r="BZ27" s="24">
        <v>4.2265925407409668</v>
      </c>
      <c r="CA27" s="24">
        <v>31.893077229875175</v>
      </c>
      <c r="CB27" s="24">
        <v>18.529593048153068</v>
      </c>
      <c r="CC27" s="24">
        <v>29.018398284912109</v>
      </c>
      <c r="CD27" s="24">
        <v>0.38261845707893372</v>
      </c>
      <c r="CE27" s="24">
        <v>1.0607624540871043</v>
      </c>
      <c r="CF27" s="24">
        <v>4.0289944098764892</v>
      </c>
      <c r="CG27" s="24">
        <v>96.543346446847579</v>
      </c>
      <c r="CH27" s="24">
        <v>4.227501392364502</v>
      </c>
      <c r="CI27" s="24">
        <v>31.896517082124269</v>
      </c>
      <c r="CJ27" s="24">
        <v>19.996888185381895</v>
      </c>
      <c r="CK27" s="24">
        <v>31.430398941040039</v>
      </c>
      <c r="CL27" s="24">
        <v>0.36058035492897034</v>
      </c>
    </row>
    <row r="28" spans="2:90">
      <c r="B28" s="24">
        <f t="shared" si="0"/>
        <v>4</v>
      </c>
      <c r="C28" s="24">
        <v>1.1119554358975896</v>
      </c>
      <c r="D28" s="24">
        <v>4.199451865678955</v>
      </c>
      <c r="E28" s="24">
        <v>95.221720240810967</v>
      </c>
      <c r="F28" s="24">
        <v>4.4675149917602539</v>
      </c>
      <c r="G28" s="24">
        <v>31.858678707384243</v>
      </c>
      <c r="H28" s="24">
        <v>3.2335291017966137</v>
      </c>
      <c r="I28" s="24">
        <v>9.4974126815795898</v>
      </c>
      <c r="J28" s="24">
        <v>1.875404953956604</v>
      </c>
      <c r="K28" s="24">
        <v>1.1119554358975896</v>
      </c>
      <c r="L28" s="24">
        <v>4.199451865678955</v>
      </c>
      <c r="M28" s="24">
        <v>95.221720240810967</v>
      </c>
      <c r="N28" s="24">
        <v>4.4675149917602539</v>
      </c>
      <c r="O28" s="24">
        <v>31.858678707384243</v>
      </c>
      <c r="P28" s="24">
        <v>5.028179451417552</v>
      </c>
      <c r="Q28" s="24">
        <v>11.441401481628418</v>
      </c>
      <c r="R28" s="24">
        <v>1.289040207862854</v>
      </c>
      <c r="S28" s="24">
        <v>1.1025602361968798</v>
      </c>
      <c r="T28" s="24">
        <v>4.1684596009875978</v>
      </c>
      <c r="U28" s="24">
        <v>94.480608385094087</v>
      </c>
      <c r="V28" s="24">
        <v>4.4693293571472168</v>
      </c>
      <c r="W28" s="24">
        <v>31.865558411882429</v>
      </c>
      <c r="X28" s="24">
        <v>6.7660856892547958</v>
      </c>
      <c r="Y28" s="24">
        <v>13.394410133361816</v>
      </c>
      <c r="Z28" s="24">
        <v>0.89786356687545776</v>
      </c>
      <c r="AA28" s="24">
        <v>1.0978776606971723</v>
      </c>
      <c r="AB28" s="24">
        <v>4.1529634686419197</v>
      </c>
      <c r="AC28" s="24">
        <v>94.11027300780566</v>
      </c>
      <c r="AD28" s="24">
        <v>4.4702367782592773</v>
      </c>
      <c r="AE28" s="24">
        <v>31.868998264131523</v>
      </c>
      <c r="AF28" s="24">
        <v>8.4830074807039324</v>
      </c>
      <c r="AG28" s="24">
        <v>15.39140510559082</v>
      </c>
      <c r="AH28" s="24">
        <v>0.72907191514968872</v>
      </c>
      <c r="AI28" s="24">
        <v>1.0885419079995147</v>
      </c>
      <c r="AJ28" s="24">
        <v>4.1219712039505616</v>
      </c>
      <c r="AK28" s="24">
        <v>93.370043102039816</v>
      </c>
      <c r="AL28" s="24">
        <v>4.4720520973205566</v>
      </c>
      <c r="AM28" s="24">
        <v>31.875877968629709</v>
      </c>
      <c r="AN28" s="24">
        <v>10.141207991004185</v>
      </c>
      <c r="AO28" s="24">
        <v>17.396400451660156</v>
      </c>
      <c r="AP28" s="24">
        <v>0.62206792831420898</v>
      </c>
      <c r="AQ28" s="24">
        <v>1.0885419079995147</v>
      </c>
      <c r="AR28" s="24">
        <v>4.1219712039505616</v>
      </c>
      <c r="AS28" s="24">
        <v>93.370043102039816</v>
      </c>
      <c r="AT28" s="24">
        <v>4.4720520973205566</v>
      </c>
      <c r="AU28" s="24">
        <v>31.875877968629709</v>
      </c>
      <c r="AV28" s="24">
        <v>11.813991553583531</v>
      </c>
      <c r="AW28" s="24">
        <v>19.492424011230469</v>
      </c>
      <c r="AX28" s="24">
        <v>0.54947137832641602</v>
      </c>
      <c r="AY28" s="24">
        <v>1.0699844749515597</v>
      </c>
      <c r="AZ28" s="24">
        <v>4.0599866745678455</v>
      </c>
      <c r="BA28" s="24">
        <v>91.891345273886586</v>
      </c>
      <c r="BB28" s="24">
        <v>4.4756841659545898</v>
      </c>
      <c r="BC28" s="24">
        <v>31.889637377626084</v>
      </c>
      <c r="BD28" s="24">
        <v>13.330286900560118</v>
      </c>
      <c r="BE28" s="24">
        <v>21.488412857055664</v>
      </c>
      <c r="BF28" s="24">
        <v>0.48545852303504944</v>
      </c>
      <c r="BG28" s="24">
        <v>1.0699844749515597</v>
      </c>
      <c r="BH28" s="24">
        <v>4.0599866745678455</v>
      </c>
      <c r="BI28" s="24">
        <v>91.891345273886586</v>
      </c>
      <c r="BJ28" s="24">
        <v>4.4756841659545898</v>
      </c>
      <c r="BK28" s="24">
        <v>31.889637377626084</v>
      </c>
      <c r="BL28" s="24">
        <v>14.929470009028567</v>
      </c>
      <c r="BM28" s="24">
        <v>23.668415069580078</v>
      </c>
      <c r="BN28" s="24">
        <v>0.44115683436393738</v>
      </c>
      <c r="BO28" s="24">
        <v>1.0699844749515597</v>
      </c>
      <c r="BP28" s="24">
        <v>4.0599866745678455</v>
      </c>
      <c r="BQ28" s="24">
        <v>91.891345273886586</v>
      </c>
      <c r="BR28" s="24">
        <v>4.4756841659545898</v>
      </c>
      <c r="BS28" s="24">
        <v>31.889637377626084</v>
      </c>
      <c r="BT28" s="24">
        <v>16.494593684864078</v>
      </c>
      <c r="BU28" s="24">
        <v>25.908414840698242</v>
      </c>
      <c r="BV28" s="24">
        <v>0.40253451466560364</v>
      </c>
      <c r="BW28" s="24">
        <v>1.0699844749515597</v>
      </c>
      <c r="BX28" s="24">
        <v>4.0599866745678455</v>
      </c>
      <c r="BY28" s="24">
        <v>91.891345273886586</v>
      </c>
      <c r="BZ28" s="24">
        <v>4.4756841659545898</v>
      </c>
      <c r="CA28" s="24">
        <v>31.889637377626084</v>
      </c>
      <c r="CB28" s="24">
        <v>18.0215636473221</v>
      </c>
      <c r="CC28" s="24">
        <v>28.214393615722656</v>
      </c>
      <c r="CD28" s="24">
        <v>0.38180366158485413</v>
      </c>
      <c r="CE28" s="24">
        <v>1.0653689537802913</v>
      </c>
      <c r="CF28" s="24">
        <v>4.0444905422221673</v>
      </c>
      <c r="CG28" s="24">
        <v>91.522037602797951</v>
      </c>
      <c r="CH28" s="24">
        <v>4.4765925407409668</v>
      </c>
      <c r="CI28" s="24">
        <v>31.893077229875175</v>
      </c>
      <c r="CJ28" s="24">
        <v>19.463890472477352</v>
      </c>
      <c r="CK28" s="24">
        <v>30.531396865844727</v>
      </c>
      <c r="CL28" s="24">
        <v>0.36262941360473633</v>
      </c>
    </row>
    <row r="29" spans="2:90">
      <c r="B29" s="24">
        <f t="shared" si="0"/>
        <v>4.25</v>
      </c>
      <c r="C29" s="24">
        <v>1.1166683262395976</v>
      </c>
      <c r="D29" s="24">
        <v>4.214947998024634</v>
      </c>
      <c r="E29" s="24">
        <v>90.525693922181517</v>
      </c>
      <c r="F29" s="24">
        <v>4.7166080474853516</v>
      </c>
      <c r="G29" s="24">
        <v>31.855238855135148</v>
      </c>
      <c r="H29" s="24">
        <v>3.1337226657483033</v>
      </c>
      <c r="I29" s="24">
        <v>9.3894157409667969</v>
      </c>
      <c r="J29" s="24">
        <v>1.8768715858459473</v>
      </c>
      <c r="K29" s="24">
        <v>1.1119554358975896</v>
      </c>
      <c r="L29" s="24">
        <v>4.199451865678955</v>
      </c>
      <c r="M29" s="24">
        <v>90.175540312563115</v>
      </c>
      <c r="N29" s="24">
        <v>4.7175149917602539</v>
      </c>
      <c r="O29" s="24">
        <v>31.858678707384243</v>
      </c>
      <c r="P29" s="24">
        <v>4.8636285418100318</v>
      </c>
      <c r="Q29" s="24">
        <v>11.260400772094727</v>
      </c>
      <c r="R29" s="24">
        <v>1.1982533931732178</v>
      </c>
      <c r="S29" s="24">
        <v>1.1025602361968798</v>
      </c>
      <c r="T29" s="24">
        <v>4.1684596009875978</v>
      </c>
      <c r="U29" s="24">
        <v>89.475627748211181</v>
      </c>
      <c r="V29" s="24">
        <v>4.7193293571472168</v>
      </c>
      <c r="W29" s="24">
        <v>31.865558411882429</v>
      </c>
      <c r="X29" s="24">
        <v>6.5455580599352308</v>
      </c>
      <c r="Y29" s="24">
        <v>13.143407821655273</v>
      </c>
      <c r="Z29" s="24">
        <v>0.94456779956817627</v>
      </c>
      <c r="AA29" s="24">
        <v>1.1072527839103847</v>
      </c>
      <c r="AB29" s="24">
        <v>4.1839557333332777</v>
      </c>
      <c r="AC29" s="24">
        <v>89.82551826821269</v>
      </c>
      <c r="AD29" s="24">
        <v>4.7184219360351563</v>
      </c>
      <c r="AE29" s="24">
        <v>31.862118559633338</v>
      </c>
      <c r="AF29" s="24">
        <v>8.2517567061857928</v>
      </c>
      <c r="AG29" s="24">
        <v>15.112406730651855</v>
      </c>
      <c r="AH29" s="24">
        <v>0.75719720125198364</v>
      </c>
      <c r="AI29" s="24">
        <v>1.1025602361968798</v>
      </c>
      <c r="AJ29" s="24">
        <v>4.1684596009875978</v>
      </c>
      <c r="AK29" s="24">
        <v>89.475627748211181</v>
      </c>
      <c r="AL29" s="24">
        <v>4.7193293571472168</v>
      </c>
      <c r="AM29" s="24">
        <v>31.865558411882429</v>
      </c>
      <c r="AN29" s="24">
        <v>9.8926090233772648</v>
      </c>
      <c r="AO29" s="24">
        <v>17.081394195556641</v>
      </c>
      <c r="AP29" s="24">
        <v>0.64059329032897949</v>
      </c>
      <c r="AQ29" s="24">
        <v>1.0978776606971723</v>
      </c>
      <c r="AR29" s="24">
        <v>4.1529634686419197</v>
      </c>
      <c r="AS29" s="24">
        <v>89.125868711652615</v>
      </c>
      <c r="AT29" s="24">
        <v>4.7202367782592773</v>
      </c>
      <c r="AU29" s="24">
        <v>31.868998264131523</v>
      </c>
      <c r="AV29" s="24">
        <v>11.500724962819978</v>
      </c>
      <c r="AW29" s="24">
        <v>19.085412979125977</v>
      </c>
      <c r="AX29" s="24">
        <v>0.56198287010192871</v>
      </c>
      <c r="AY29" s="24">
        <v>1.093204927338123</v>
      </c>
      <c r="AZ29" s="24">
        <v>4.1374673362962398</v>
      </c>
      <c r="BA29" s="24">
        <v>88.776241117644005</v>
      </c>
      <c r="BB29" s="24">
        <v>4.7211441993713379</v>
      </c>
      <c r="BC29" s="24">
        <v>31.872438116380614</v>
      </c>
      <c r="BD29" s="24">
        <v>13.075838345927787</v>
      </c>
      <c r="BE29" s="24">
        <v>21.128419876098633</v>
      </c>
      <c r="BF29" s="24">
        <v>0.49421742558479309</v>
      </c>
      <c r="BG29" s="24">
        <v>1.0699844749515597</v>
      </c>
      <c r="BH29" s="24">
        <v>4.0599866745678455</v>
      </c>
      <c r="BI29" s="24">
        <v>87.03007335550619</v>
      </c>
      <c r="BJ29" s="24">
        <v>4.7256841659545898</v>
      </c>
      <c r="BK29" s="24">
        <v>31.889637377626084</v>
      </c>
      <c r="BL29" s="24">
        <v>14.476420849925015</v>
      </c>
      <c r="BM29" s="24">
        <v>23.040416717529297</v>
      </c>
      <c r="BN29" s="24">
        <v>0.44556114077568054</v>
      </c>
      <c r="BO29" s="24">
        <v>1.0699844749515597</v>
      </c>
      <c r="BP29" s="24">
        <v>4.0599866745678455</v>
      </c>
      <c r="BQ29" s="24">
        <v>87.03007335550619</v>
      </c>
      <c r="BR29" s="24">
        <v>4.7256841659545898</v>
      </c>
      <c r="BS29" s="24">
        <v>31.889637377626084</v>
      </c>
      <c r="BT29" s="24">
        <v>16.004382170922799</v>
      </c>
      <c r="BU29" s="24">
        <v>25.194406509399414</v>
      </c>
      <c r="BV29" s="24">
        <v>0.41164788603782654</v>
      </c>
      <c r="BW29" s="24">
        <v>1.0699844749515597</v>
      </c>
      <c r="BX29" s="24">
        <v>4.0599866745678455</v>
      </c>
      <c r="BY29" s="24">
        <v>87.03007335550619</v>
      </c>
      <c r="BZ29" s="24">
        <v>4.7256841659545898</v>
      </c>
      <c r="CA29" s="24">
        <v>31.889637377626084</v>
      </c>
      <c r="CB29" s="24">
        <v>17.499650539580045</v>
      </c>
      <c r="CC29" s="24">
        <v>27.411397933959961</v>
      </c>
      <c r="CD29" s="24">
        <v>0.38134282827377319</v>
      </c>
      <c r="CE29" s="24">
        <v>1.0699844749515597</v>
      </c>
      <c r="CF29" s="24">
        <v>4.0599866745678455</v>
      </c>
      <c r="CG29" s="24">
        <v>87.03007335550619</v>
      </c>
      <c r="CH29" s="24">
        <v>4.7256841659545898</v>
      </c>
      <c r="CI29" s="24">
        <v>31.889637377626084</v>
      </c>
      <c r="CJ29" s="24">
        <v>18.956930353054869</v>
      </c>
      <c r="CK29" s="24">
        <v>29.696390151977539</v>
      </c>
      <c r="CL29" s="24">
        <v>0.3658565878868103</v>
      </c>
    </row>
    <row r="31" spans="2:90">
      <c r="C31" s="19"/>
    </row>
    <row r="33" spans="2:27">
      <c r="C33" s="26" t="s">
        <v>93</v>
      </c>
      <c r="D33" s="24"/>
      <c r="F33" s="24"/>
      <c r="P33" s="26" t="s">
        <v>93</v>
      </c>
      <c r="Q33" s="26"/>
      <c r="S33" s="24"/>
    </row>
    <row r="34" spans="2:27">
      <c r="B34" s="19" t="s">
        <v>148</v>
      </c>
      <c r="C34" s="26">
        <v>0.1</v>
      </c>
      <c r="D34" s="31" t="s">
        <v>334</v>
      </c>
      <c r="E34" s="24">
        <v>0.5</v>
      </c>
      <c r="F34" s="24"/>
      <c r="G34" s="24">
        <v>1</v>
      </c>
      <c r="H34" s="24"/>
      <c r="I34" s="24">
        <v>2</v>
      </c>
      <c r="J34" s="24"/>
      <c r="K34" s="24">
        <v>3</v>
      </c>
      <c r="L34" s="24"/>
      <c r="M34" s="24">
        <v>4</v>
      </c>
      <c r="N34" s="24"/>
      <c r="O34" s="19" t="s">
        <v>148</v>
      </c>
      <c r="P34" s="26">
        <v>0.1</v>
      </c>
      <c r="Q34" s="31" t="s">
        <v>335</v>
      </c>
      <c r="R34" s="24">
        <v>0.5</v>
      </c>
      <c r="S34" s="24"/>
      <c r="T34" s="24">
        <v>1</v>
      </c>
      <c r="U34" s="24"/>
      <c r="V34" s="24">
        <v>2</v>
      </c>
      <c r="W34" s="24"/>
      <c r="X34" s="24">
        <v>3</v>
      </c>
      <c r="Y34" s="24"/>
      <c r="Z34" s="24">
        <v>4</v>
      </c>
    </row>
    <row r="35" spans="2:27">
      <c r="B35" s="24">
        <v>15</v>
      </c>
      <c r="C35" s="24">
        <v>569.28395418059017</v>
      </c>
      <c r="D35" s="24">
        <f>100*(C35-$C$40)/$C$40</f>
        <v>13.920355313957119</v>
      </c>
      <c r="E35" s="24">
        <v>374.52676834540858</v>
      </c>
      <c r="F35" s="24">
        <f>100*(E35-$E$40)/$E$40</f>
        <v>9.3690532863491462</v>
      </c>
      <c r="G35" s="24">
        <v>260.33901891187855</v>
      </c>
      <c r="H35" s="24">
        <f>100*(G35-$G$40)/$G$40</f>
        <v>7.9741376830807198</v>
      </c>
      <c r="I35" s="24">
        <v>164.04361652000918</v>
      </c>
      <c r="J35" s="24">
        <f>100*(I35-$I$40)/$I$40</f>
        <v>3.9422007161038488</v>
      </c>
      <c r="K35" s="24">
        <v>120.7456129122647</v>
      </c>
      <c r="L35" s="24">
        <f>100*(K35-$K$40)/$K$40</f>
        <v>2.8803813902698989</v>
      </c>
      <c r="M35" s="24">
        <v>95.221720240810967</v>
      </c>
      <c r="N35" s="24">
        <f t="shared" ref="N35:N39" si="1">100*(M35-$M$40)/$M$40</f>
        <v>1.9831597772184157</v>
      </c>
      <c r="O35" s="24">
        <v>15</v>
      </c>
      <c r="P35" s="24">
        <v>0.90009428548273474</v>
      </c>
      <c r="Q35" s="24">
        <f>100*(P35-$P$40)/$P$40</f>
        <v>11.11497795106273</v>
      </c>
      <c r="R35" s="24">
        <v>0.96592287912266406</v>
      </c>
      <c r="S35" s="24">
        <f>100*(R35-$R$40)/$R$40</f>
        <v>8.3576840141636666</v>
      </c>
      <c r="T35" s="24">
        <v>1.0061471357809459</v>
      </c>
      <c r="U35" s="24">
        <f>100*(T35-$T$40)/$T$40</f>
        <v>7.6063144007895724</v>
      </c>
      <c r="V35" s="24">
        <v>1.0561648264916308</v>
      </c>
      <c r="W35" s="24">
        <f>100*(V35-$V$40)/$V$40</f>
        <v>4.0384860250904406</v>
      </c>
      <c r="X35" s="24">
        <v>1.093204927338123</v>
      </c>
      <c r="Y35" s="24">
        <f>100*(X35-$X$40)/$X$40</f>
        <v>3.0584107804738223</v>
      </c>
      <c r="Z35" s="24">
        <v>1.1119554358975896</v>
      </c>
      <c r="AA35" s="24">
        <f t="shared" ref="AA35:AA39" si="2">100*(Z35-$Z$40)/$Z$40</f>
        <v>2.1509073491808435</v>
      </c>
    </row>
    <row r="36" spans="2:27">
      <c r="B36" s="24">
        <v>20</v>
      </c>
      <c r="C36" s="24">
        <v>545.62228044550454</v>
      </c>
      <c r="D36" s="24">
        <f t="shared" ref="D36:D45" si="3">100*(C36-$C$40)/$C$40</f>
        <v>9.185378577955893</v>
      </c>
      <c r="E36" s="24">
        <v>361.19764100632125</v>
      </c>
      <c r="F36" s="24">
        <f t="shared" ref="F36:F45" si="4">100*(E36-$E$40)/$E$40</f>
        <v>5.4766905464321942</v>
      </c>
      <c r="G36" s="24">
        <v>256.70591475557336</v>
      </c>
      <c r="H36" s="24">
        <f t="shared" ref="H36:H45" si="5">100*(G36-$G$40)/$G$40</f>
        <v>6.4673282542464969</v>
      </c>
      <c r="I36" s="24">
        <v>163.35033431679071</v>
      </c>
      <c r="J36" s="24">
        <f t="shared" ref="J36:J45" si="6">100*(I36-$I$40)/$I$40</f>
        <v>3.5029195087729463</v>
      </c>
      <c r="K36" s="24">
        <v>118.32969170923788</v>
      </c>
      <c r="L36" s="24">
        <f t="shared" ref="L36:L45" si="7">100*(K36-$K$40)/$K$40</f>
        <v>0.82191409873492782</v>
      </c>
      <c r="M36" s="24">
        <v>95.221720240810967</v>
      </c>
      <c r="N36" s="24">
        <f t="shared" si="1"/>
        <v>1.9831597772184157</v>
      </c>
      <c r="O36" s="24">
        <v>20</v>
      </c>
      <c r="P36" s="24">
        <v>0.86983120241683287</v>
      </c>
      <c r="Q36" s="24">
        <f t="shared" ref="Q36:Q45" si="8">100*(P36-$P$40)/$P$40</f>
        <v>7.3790562128246027</v>
      </c>
      <c r="R36" s="24">
        <v>0.93502611011604653</v>
      </c>
      <c r="S36" s="24">
        <f t="shared" ref="S36:S45" si="9">100*(R36-$R$40)/$R$40</f>
        <v>4.8916698991252829</v>
      </c>
      <c r="T36" s="24">
        <v>0.9926734685838724</v>
      </c>
      <c r="U36" s="24">
        <f t="shared" ref="U36:U45" si="10">100*(T36-$T$40)/$T$40</f>
        <v>6.1653207160890116</v>
      </c>
      <c r="V36" s="24">
        <v>1.051575956697036</v>
      </c>
      <c r="W36" s="24">
        <f t="shared" ref="W36:W45" si="11">100*(V36-$V$40)/$V$40</f>
        <v>3.5864551923824388</v>
      </c>
      <c r="X36" s="24">
        <v>1.0699844749515597</v>
      </c>
      <c r="Y36" s="24">
        <f t="shared" ref="Y36:Y45" si="12">100*(X36-$X$40)/$X$40</f>
        <v>0.86937662894486967</v>
      </c>
      <c r="Z36" s="24">
        <v>1.1119554358975896</v>
      </c>
      <c r="AA36" s="24">
        <f t="shared" si="2"/>
        <v>2.1509073491808435</v>
      </c>
    </row>
    <row r="37" spans="2:27">
      <c r="B37" s="24">
        <v>25</v>
      </c>
      <c r="C37" s="24">
        <v>542.28143691764342</v>
      </c>
      <c r="D37" s="24">
        <f t="shared" si="3"/>
        <v>8.5168368441737012</v>
      </c>
      <c r="E37" s="24">
        <v>361.19764100632125</v>
      </c>
      <c r="F37" s="24">
        <f t="shared" si="4"/>
        <v>5.4766905464321942</v>
      </c>
      <c r="G37" s="24">
        <v>250.67969246491637</v>
      </c>
      <c r="H37" s="24">
        <f t="shared" si="5"/>
        <v>3.9679865956667144</v>
      </c>
      <c r="I37" s="24">
        <v>161.27347209276491</v>
      </c>
      <c r="J37" s="24">
        <f t="shared" si="6"/>
        <v>2.1869668692927466</v>
      </c>
      <c r="K37" s="24">
        <v>118.32969170923788</v>
      </c>
      <c r="L37" s="24">
        <f t="shared" si="7"/>
        <v>0.82191409873492782</v>
      </c>
      <c r="M37" s="24">
        <v>94.480608385094087</v>
      </c>
      <c r="N37" s="24">
        <f t="shared" si="1"/>
        <v>1.1894235518779672</v>
      </c>
      <c r="O37" s="24">
        <v>25</v>
      </c>
      <c r="P37" s="24">
        <v>0.86552967359616417</v>
      </c>
      <c r="Q37" s="24">
        <f t="shared" si="8"/>
        <v>6.8480404206199852</v>
      </c>
      <c r="R37" s="24">
        <v>0.93502611011604653</v>
      </c>
      <c r="S37" s="24">
        <f t="shared" si="9"/>
        <v>4.8916698991252829</v>
      </c>
      <c r="T37" s="24">
        <v>0.97036314252112443</v>
      </c>
      <c r="U37" s="24">
        <f t="shared" si="10"/>
        <v>3.7792562178495968</v>
      </c>
      <c r="V37" s="24">
        <v>1.037860776342997</v>
      </c>
      <c r="W37" s="24">
        <f t="shared" si="11"/>
        <v>2.235428758056675</v>
      </c>
      <c r="X37" s="24">
        <v>1.0699844749515597</v>
      </c>
      <c r="Y37" s="24">
        <f t="shared" si="12"/>
        <v>0.86937662894486967</v>
      </c>
      <c r="Z37" s="24">
        <v>1.1025602361968798</v>
      </c>
      <c r="AA37" s="24">
        <f t="shared" si="2"/>
        <v>1.2878078551084502</v>
      </c>
    </row>
    <row r="38" spans="2:27">
      <c r="B38" s="24">
        <v>30</v>
      </c>
      <c r="C38" s="24">
        <v>522.43920948189043</v>
      </c>
      <c r="D38" s="24">
        <f t="shared" si="3"/>
        <v>4.5461758355476523</v>
      </c>
      <c r="E38" s="24">
        <v>346.16731534998593</v>
      </c>
      <c r="F38" s="24">
        <f t="shared" si="4"/>
        <v>1.0875450258565595</v>
      </c>
      <c r="G38" s="24">
        <v>249.47877035126547</v>
      </c>
      <c r="H38" s="24">
        <f t="shared" si="5"/>
        <v>3.4699109319111781</v>
      </c>
      <c r="I38" s="24">
        <v>160.58217809795812</v>
      </c>
      <c r="J38" s="24">
        <f t="shared" si="6"/>
        <v>1.7489454412947874</v>
      </c>
      <c r="K38" s="24">
        <v>118.32969170923788</v>
      </c>
      <c r="L38" s="24">
        <f t="shared" si="7"/>
        <v>0.82191409873492782</v>
      </c>
      <c r="M38" s="24">
        <v>94.11027300780566</v>
      </c>
      <c r="N38" s="24">
        <f t="shared" si="1"/>
        <v>0.79279165048352906</v>
      </c>
      <c r="O38" s="24">
        <v>30</v>
      </c>
      <c r="P38" s="24">
        <v>0.83982580202965906</v>
      </c>
      <c r="Q38" s="24">
        <f t="shared" si="8"/>
        <v>3.674944925588151</v>
      </c>
      <c r="R38" s="24">
        <v>0.90009428548273474</v>
      </c>
      <c r="S38" s="24">
        <f t="shared" si="9"/>
        <v>0.9730013413491525</v>
      </c>
      <c r="T38" s="24">
        <v>0.96592287912266406</v>
      </c>
      <c r="U38" s="24">
        <f t="shared" si="10"/>
        <v>3.3043749979113328</v>
      </c>
      <c r="V38" s="24">
        <v>1.0333058281750689</v>
      </c>
      <c r="W38" s="24">
        <f t="shared" si="11"/>
        <v>1.7867394063309896</v>
      </c>
      <c r="X38" s="24">
        <v>1.0699844749515597</v>
      </c>
      <c r="Y38" s="24">
        <f t="shared" si="12"/>
        <v>0.86937662894486967</v>
      </c>
      <c r="Z38" s="24">
        <v>1.0978776606971723</v>
      </c>
      <c r="AA38" s="24">
        <f t="shared" si="2"/>
        <v>0.8576383351941459</v>
      </c>
    </row>
    <row r="39" spans="2:27">
      <c r="B39" s="24">
        <v>35</v>
      </c>
      <c r="C39" s="24">
        <v>519.1656047551121</v>
      </c>
      <c r="D39" s="24">
        <f t="shared" si="3"/>
        <v>3.8910893696576707</v>
      </c>
      <c r="E39" s="24">
        <v>346.16731534998593</v>
      </c>
      <c r="F39" s="24">
        <f t="shared" si="4"/>
        <v>1.0875450258565595</v>
      </c>
      <c r="G39" s="24">
        <v>248.27928377015201</v>
      </c>
      <c r="H39" s="24">
        <f t="shared" si="5"/>
        <v>2.9724306471675712</v>
      </c>
      <c r="I39" s="24">
        <v>157.82195815543645</v>
      </c>
      <c r="J39" s="24">
        <f t="shared" si="6"/>
        <v>0</v>
      </c>
      <c r="K39" s="24">
        <v>117.84724841383954</v>
      </c>
      <c r="L39" s="24">
        <f t="shared" si="7"/>
        <v>0.41085195715778772</v>
      </c>
      <c r="M39" s="24">
        <v>93.370043102039816</v>
      </c>
      <c r="N39" s="24">
        <f t="shared" si="1"/>
        <v>0</v>
      </c>
      <c r="O39" s="24">
        <v>35</v>
      </c>
      <c r="P39" s="24">
        <v>0.83555930284102564</v>
      </c>
      <c r="Q39" s="24">
        <f t="shared" si="8"/>
        <v>3.148253476792898</v>
      </c>
      <c r="R39" s="24">
        <v>0.90009428548273474</v>
      </c>
      <c r="S39" s="24">
        <f t="shared" si="9"/>
        <v>0.9730013413491525</v>
      </c>
      <c r="T39" s="24">
        <v>0.96148939087602647</v>
      </c>
      <c r="U39" s="24">
        <f t="shared" si="10"/>
        <v>2.8302183729067818</v>
      </c>
      <c r="V39" s="24">
        <v>1.0151674316338291</v>
      </c>
      <c r="W39" s="24">
        <f t="shared" si="11"/>
        <v>0</v>
      </c>
      <c r="X39" s="24">
        <v>1.0653689537802913</v>
      </c>
      <c r="Y39" s="24">
        <f t="shared" si="12"/>
        <v>0.43426307892385835</v>
      </c>
      <c r="Z39" s="24">
        <v>1.0885419079995147</v>
      </c>
      <c r="AA39" s="24">
        <f t="shared" si="2"/>
        <v>0</v>
      </c>
    </row>
    <row r="40" spans="2:27">
      <c r="B40" s="24">
        <v>40</v>
      </c>
      <c r="C40" s="24">
        <v>499.72101352008644</v>
      </c>
      <c r="D40" s="24">
        <f t="shared" si="3"/>
        <v>0</v>
      </c>
      <c r="E40" s="24">
        <v>342.44309253077807</v>
      </c>
      <c r="F40" s="24">
        <f t="shared" si="4"/>
        <v>0</v>
      </c>
      <c r="G40" s="24">
        <v>241.11238533435682</v>
      </c>
      <c r="H40" s="24">
        <f t="shared" si="5"/>
        <v>0</v>
      </c>
      <c r="I40" s="24">
        <v>157.82195815543645</v>
      </c>
      <c r="J40" s="24">
        <f t="shared" si="6"/>
        <v>0</v>
      </c>
      <c r="K40" s="24">
        <v>117.36505180149385</v>
      </c>
      <c r="L40" s="24">
        <f t="shared" si="7"/>
        <v>0</v>
      </c>
      <c r="M40" s="24">
        <v>93.370043102039816</v>
      </c>
      <c r="N40" s="24">
        <f>100*(M40-$M$40)/$M$40</f>
        <v>0</v>
      </c>
      <c r="O40" s="24">
        <v>40</v>
      </c>
      <c r="P40" s="24">
        <v>0.81005666569915924</v>
      </c>
      <c r="Q40" s="24">
        <f t="shared" si="8"/>
        <v>0</v>
      </c>
      <c r="R40" s="24">
        <v>0.89142074963175311</v>
      </c>
      <c r="S40" s="24">
        <f t="shared" si="9"/>
        <v>0</v>
      </c>
      <c r="T40" s="24">
        <v>0.93502611011604653</v>
      </c>
      <c r="U40" s="24">
        <f t="shared" si="10"/>
        <v>0</v>
      </c>
      <c r="V40" s="24">
        <v>1.0151674316338291</v>
      </c>
      <c r="W40" s="24">
        <f t="shared" si="11"/>
        <v>0</v>
      </c>
      <c r="X40" s="24">
        <v>1.0607624540871043</v>
      </c>
      <c r="Y40" s="24">
        <f t="shared" si="12"/>
        <v>0</v>
      </c>
      <c r="Z40" s="24">
        <v>1.0885419079995147</v>
      </c>
      <c r="AA40" s="24">
        <f>100*(Z40-$Z$40)/$Z$40</f>
        <v>0</v>
      </c>
    </row>
    <row r="41" spans="2:27">
      <c r="B41" s="24">
        <v>45</v>
      </c>
      <c r="C41" s="24">
        <v>477.45448429709427</v>
      </c>
      <c r="D41" s="24">
        <f t="shared" si="3"/>
        <v>-4.4557920560803401</v>
      </c>
      <c r="E41" s="24">
        <v>331.3494460535033</v>
      </c>
      <c r="F41" s="24">
        <f t="shared" si="4"/>
        <v>-3.2395591323769217</v>
      </c>
      <c r="G41" s="24">
        <v>241.11238533435682</v>
      </c>
      <c r="H41" s="24">
        <f t="shared" si="5"/>
        <v>0</v>
      </c>
      <c r="I41" s="24">
        <v>157.82195815543645</v>
      </c>
      <c r="J41" s="24">
        <f t="shared" si="6"/>
        <v>0</v>
      </c>
      <c r="K41" s="24">
        <v>116.88310174435618</v>
      </c>
      <c r="L41" s="24">
        <f t="shared" si="7"/>
        <v>-0.41064188166747956</v>
      </c>
      <c r="M41" s="24">
        <v>91.891345273886586</v>
      </c>
      <c r="N41" s="24">
        <f t="shared" ref="N41:N45" si="13">100*(M41-$M$40)/$M$40</f>
        <v>-1.5836962038640479</v>
      </c>
      <c r="O41" s="24">
        <v>45</v>
      </c>
      <c r="P41" s="24">
        <v>0.78050439107602398</v>
      </c>
      <c r="Q41" s="24">
        <f t="shared" si="8"/>
        <v>-3.6481737481449783</v>
      </c>
      <c r="R41" s="24">
        <v>0.86552967359616417</v>
      </c>
      <c r="S41" s="24">
        <f t="shared" si="9"/>
        <v>-2.9044731173561491</v>
      </c>
      <c r="T41" s="24">
        <v>0.93502611011604653</v>
      </c>
      <c r="U41" s="24">
        <f t="shared" si="10"/>
        <v>0</v>
      </c>
      <c r="V41" s="24">
        <v>1.0151674316338291</v>
      </c>
      <c r="W41" s="24">
        <f t="shared" si="11"/>
        <v>0</v>
      </c>
      <c r="X41" s="24">
        <v>1.0561648264916308</v>
      </c>
      <c r="Y41" s="24">
        <f t="shared" si="12"/>
        <v>-0.4334266901848714</v>
      </c>
      <c r="Z41" s="24">
        <v>1.0699844749515597</v>
      </c>
      <c r="AA41" s="24">
        <f t="shared" ref="AA41:AA45" si="14">100*(Z41-$Z$40)/$Z$40</f>
        <v>-1.7047972991741958</v>
      </c>
    </row>
    <row r="42" spans="2:27">
      <c r="B42" s="24">
        <v>50</v>
      </c>
      <c r="C42" s="24">
        <v>474.30967501322402</v>
      </c>
      <c r="D42" s="24">
        <f t="shared" si="3"/>
        <v>-5.0851050524896539</v>
      </c>
      <c r="E42" s="24">
        <v>320.37299344350805</v>
      </c>
      <c r="F42" s="24">
        <f t="shared" si="4"/>
        <v>-6.4448953909871634</v>
      </c>
      <c r="G42" s="24">
        <v>231.6359563560577</v>
      </c>
      <c r="H42" s="24">
        <f t="shared" si="5"/>
        <v>-3.9302953953020294</v>
      </c>
      <c r="I42" s="24">
        <v>155.06964808289354</v>
      </c>
      <c r="J42" s="24">
        <f t="shared" si="6"/>
        <v>-1.7439335468339605</v>
      </c>
      <c r="K42" s="24">
        <v>116.40139811466288</v>
      </c>
      <c r="L42" s="24">
        <f t="shared" si="7"/>
        <v>-0.82107379670470237</v>
      </c>
      <c r="M42" s="24">
        <v>91.891345273886586</v>
      </c>
      <c r="N42" s="24">
        <f t="shared" si="13"/>
        <v>-1.5836962038640479</v>
      </c>
      <c r="O42" s="24">
        <v>50</v>
      </c>
      <c r="P42" s="24">
        <v>0.77629948339222743</v>
      </c>
      <c r="Q42" s="24">
        <f t="shared" si="8"/>
        <v>-4.1672618393672511</v>
      </c>
      <c r="R42" s="24">
        <v>0.83982580202965906</v>
      </c>
      <c r="S42" s="24">
        <f t="shared" si="9"/>
        <v>-5.7879455491032683</v>
      </c>
      <c r="T42" s="24">
        <v>0.90009428548273474</v>
      </c>
      <c r="U42" s="24">
        <f t="shared" si="10"/>
        <v>-3.7359196984324199</v>
      </c>
      <c r="V42" s="24">
        <v>0.99715724866499789</v>
      </c>
      <c r="W42" s="24">
        <f t="shared" si="11"/>
        <v>-1.774109610652624</v>
      </c>
      <c r="X42" s="24">
        <v>1.051575956697036</v>
      </c>
      <c r="Y42" s="24">
        <f t="shared" si="12"/>
        <v>-0.86602776660061109</v>
      </c>
      <c r="Z42" s="24">
        <v>1.0699844749515597</v>
      </c>
      <c r="AA42" s="24">
        <f t="shared" si="14"/>
        <v>-1.7047972991741958</v>
      </c>
    </row>
    <row r="43" spans="2:27">
      <c r="B43" s="24">
        <v>55</v>
      </c>
      <c r="C43" s="24">
        <v>455.62690871200283</v>
      </c>
      <c r="D43" s="24">
        <f t="shared" si="3"/>
        <v>-8.8237443723809381</v>
      </c>
      <c r="E43" s="24">
        <v>307.7129937360807</v>
      </c>
      <c r="F43" s="24">
        <f t="shared" si="4"/>
        <v>-10.141859932997743</v>
      </c>
      <c r="G43" s="24">
        <v>231.6359563560577</v>
      </c>
      <c r="H43" s="24">
        <f t="shared" si="5"/>
        <v>-3.9302953953020294</v>
      </c>
      <c r="I43" s="24">
        <v>153.69645102690399</v>
      </c>
      <c r="J43" s="24">
        <f t="shared" si="6"/>
        <v>-2.6140260688372101</v>
      </c>
      <c r="K43" s="24">
        <v>115.91994078473134</v>
      </c>
      <c r="L43" s="24">
        <f t="shared" si="7"/>
        <v>-1.2312958539026664</v>
      </c>
      <c r="M43" s="24">
        <v>91.891345273886586</v>
      </c>
      <c r="N43" s="24">
        <f t="shared" si="13"/>
        <v>-1.5836962038640479</v>
      </c>
      <c r="O43" s="24">
        <v>55</v>
      </c>
      <c r="P43" s="24">
        <v>0.75115034823547178</v>
      </c>
      <c r="Q43" s="24">
        <f t="shared" si="8"/>
        <v>-7.2718761486698549</v>
      </c>
      <c r="R43" s="24">
        <v>0.81005666569915924</v>
      </c>
      <c r="S43" s="24">
        <f t="shared" si="9"/>
        <v>-9.1274612988541559</v>
      </c>
      <c r="T43" s="24">
        <v>0.90009428548273474</v>
      </c>
      <c r="U43" s="24">
        <f t="shared" si="10"/>
        <v>-3.7359196984324199</v>
      </c>
      <c r="V43" s="24">
        <v>0.98819700569029334</v>
      </c>
      <c r="W43" s="24">
        <f t="shared" si="11"/>
        <v>-2.6567465723490575</v>
      </c>
      <c r="X43" s="24">
        <v>1.0469957320974721</v>
      </c>
      <c r="Y43" s="24">
        <f t="shared" si="12"/>
        <v>-1.2978138448046723</v>
      </c>
      <c r="Z43" s="24">
        <v>1.0699844749515597</v>
      </c>
      <c r="AA43" s="24">
        <f t="shared" si="14"/>
        <v>-1.7047972991741958</v>
      </c>
    </row>
    <row r="44" spans="2:27">
      <c r="B44" s="24">
        <v>60</v>
      </c>
      <c r="C44" s="24">
        <v>440.29773169442984</v>
      </c>
      <c r="D44" s="24">
        <f t="shared" si="3"/>
        <v>-11.89129138418112</v>
      </c>
      <c r="E44" s="24">
        <v>305.91710140123837</v>
      </c>
      <c r="F44" s="24">
        <f t="shared" si="4"/>
        <v>-10.66629519655352</v>
      </c>
      <c r="G44" s="24">
        <v>223.41774657585347</v>
      </c>
      <c r="H44" s="24">
        <f t="shared" si="5"/>
        <v>-7.3387514846928035</v>
      </c>
      <c r="I44" s="24">
        <v>150.95595649530662</v>
      </c>
      <c r="J44" s="24">
        <f t="shared" si="6"/>
        <v>-4.3504729889155254</v>
      </c>
      <c r="K44" s="24">
        <v>114.47704531789348</v>
      </c>
      <c r="L44" s="24">
        <f t="shared" si="7"/>
        <v>-2.4607039653380061</v>
      </c>
      <c r="M44" s="24">
        <v>91.891345273886586</v>
      </c>
      <c r="N44" s="24">
        <f t="shared" si="13"/>
        <v>-1.5836962038640479</v>
      </c>
      <c r="O44" s="24">
        <v>60</v>
      </c>
      <c r="P44" s="24">
        <v>0.73029461148562569</v>
      </c>
      <c r="Q44" s="24">
        <f t="shared" si="8"/>
        <v>-9.8464783503375024</v>
      </c>
      <c r="R44" s="24">
        <v>0.80582244827751714</v>
      </c>
      <c r="S44" s="24">
        <f t="shared" si="9"/>
        <v>-9.6024578056542556</v>
      </c>
      <c r="T44" s="24">
        <v>0.86983120241683287</v>
      </c>
      <c r="U44" s="24">
        <f t="shared" si="10"/>
        <v>-6.9725226914917151</v>
      </c>
      <c r="V44" s="24">
        <v>0.97036314252112443</v>
      </c>
      <c r="W44" s="24">
        <f t="shared" si="11"/>
        <v>-4.4134876392356057</v>
      </c>
      <c r="X44" s="24">
        <v>1.0333058281750689</v>
      </c>
      <c r="Y44" s="24">
        <f t="shared" si="12"/>
        <v>-2.5883859111194432</v>
      </c>
      <c r="Z44" s="24">
        <v>1.0699844749515597</v>
      </c>
      <c r="AA44" s="24">
        <f t="shared" si="14"/>
        <v>-1.7047972991741958</v>
      </c>
    </row>
    <row r="45" spans="2:27">
      <c r="B45" s="24">
        <v>65</v>
      </c>
      <c r="C45" s="24">
        <v>422.1840112345414</v>
      </c>
      <c r="D45" s="24">
        <f t="shared" si="3"/>
        <v>-15.516057997914954</v>
      </c>
      <c r="E45" s="24">
        <v>295.20756868776027</v>
      </c>
      <c r="F45" s="24">
        <f t="shared" si="4"/>
        <v>-13.793685687724119</v>
      </c>
      <c r="G45" s="24">
        <v>221.08220457784714</v>
      </c>
      <c r="H45" s="24">
        <f t="shared" si="5"/>
        <v>-8.3074043370826054</v>
      </c>
      <c r="I45" s="24">
        <v>149.58865248870251</v>
      </c>
      <c r="J45" s="24">
        <f t="shared" si="6"/>
        <v>-5.2168315251956781</v>
      </c>
      <c r="K45" s="24">
        <v>112.55662516017028</v>
      </c>
      <c r="L45" s="24">
        <f t="shared" si="7"/>
        <v>-4.0969833587738949</v>
      </c>
      <c r="M45" s="24">
        <v>91.522037602797951</v>
      </c>
      <c r="N45" s="24">
        <f t="shared" si="13"/>
        <v>-1.9792274243916375</v>
      </c>
      <c r="O45" s="24">
        <v>65</v>
      </c>
      <c r="P45" s="24">
        <v>0.70538203065779637</v>
      </c>
      <c r="Q45" s="24">
        <f t="shared" si="8"/>
        <v>-12.9218904644181</v>
      </c>
      <c r="R45" s="24">
        <v>0.78050439107602398</v>
      </c>
      <c r="S45" s="24">
        <f t="shared" si="9"/>
        <v>-12.442649400022244</v>
      </c>
      <c r="T45" s="24">
        <v>0.86123343270964103</v>
      </c>
      <c r="U45" s="24">
        <f t="shared" si="10"/>
        <v>-7.8920445758725446</v>
      </c>
      <c r="V45" s="24">
        <v>0.96592287912266406</v>
      </c>
      <c r="W45" s="24">
        <f t="shared" si="11"/>
        <v>-4.8508798624390375</v>
      </c>
      <c r="X45" s="24">
        <v>1.0151674316338291</v>
      </c>
      <c r="Y45" s="24">
        <f t="shared" si="12"/>
        <v>-4.2983254429489133</v>
      </c>
      <c r="Z45" s="24">
        <v>1.0653689537802913</v>
      </c>
      <c r="AA45" s="24">
        <f t="shared" si="14"/>
        <v>-2.1288068055928</v>
      </c>
    </row>
    <row r="46" spans="2:27">
      <c r="B46" s="24"/>
      <c r="C46" s="24"/>
      <c r="D46" s="24"/>
      <c r="E46" s="24"/>
      <c r="F46" s="24"/>
      <c r="G46" s="24"/>
      <c r="H46" s="24"/>
      <c r="I46" s="24"/>
      <c r="J46" s="24"/>
      <c r="K46" s="24"/>
      <c r="L46" s="24"/>
      <c r="M46" s="24"/>
      <c r="N46" s="24"/>
      <c r="O46" s="24"/>
      <c r="P46" s="24"/>
      <c r="Q46" s="24"/>
      <c r="Z46" s="24"/>
    </row>
    <row r="47" spans="2:27">
      <c r="B47" s="19" t="s">
        <v>337</v>
      </c>
      <c r="C47" s="24"/>
      <c r="D47" s="24"/>
      <c r="E47" s="24"/>
      <c r="F47" s="24"/>
      <c r="G47" s="24"/>
      <c r="H47" s="24"/>
      <c r="I47" s="24"/>
      <c r="J47" s="24"/>
      <c r="K47" s="24"/>
      <c r="L47" s="24"/>
      <c r="M47" s="24"/>
      <c r="N47" s="24"/>
      <c r="O47" s="24"/>
      <c r="P47" s="24"/>
      <c r="Q47" s="24"/>
      <c r="R47" s="24"/>
      <c r="S47" s="24"/>
      <c r="T47" s="24"/>
      <c r="U47" s="24"/>
      <c r="V47" s="24"/>
      <c r="W47" s="24"/>
      <c r="X47" s="24"/>
      <c r="Y47" s="24"/>
      <c r="Z47" s="24"/>
    </row>
    <row r="48" spans="2:27">
      <c r="B48" s="24"/>
      <c r="C48" s="19" t="s">
        <v>281</v>
      </c>
      <c r="D48" s="24"/>
      <c r="E48" s="24"/>
      <c r="F48" s="24"/>
      <c r="G48" s="24"/>
      <c r="H48" s="24"/>
      <c r="I48" s="24"/>
      <c r="J48" s="24"/>
      <c r="K48" s="24"/>
      <c r="L48" s="24"/>
      <c r="M48" s="24"/>
      <c r="N48" s="24"/>
      <c r="O48" s="24"/>
      <c r="P48" s="24"/>
      <c r="Q48" s="24"/>
      <c r="R48" s="24"/>
      <c r="S48" s="24"/>
      <c r="T48" s="24"/>
      <c r="U48" s="24"/>
      <c r="V48" s="24"/>
      <c r="W48" s="24"/>
      <c r="X48" s="24"/>
      <c r="Y48" s="24"/>
      <c r="Z48" s="24"/>
    </row>
    <row r="49" spans="2:90">
      <c r="B49" s="24" t="s">
        <v>276</v>
      </c>
      <c r="C49" s="24">
        <v>25</v>
      </c>
      <c r="D49" s="19" t="s">
        <v>336</v>
      </c>
      <c r="E49" s="24"/>
      <c r="F49" s="24"/>
      <c r="G49" s="24"/>
      <c r="H49" s="24"/>
      <c r="I49" s="24"/>
      <c r="J49" s="24"/>
      <c r="K49" s="24"/>
      <c r="L49" s="24"/>
      <c r="M49" s="24"/>
      <c r="N49" s="24"/>
      <c r="O49" s="24"/>
      <c r="P49" s="24"/>
      <c r="Q49" s="24"/>
      <c r="R49" s="24"/>
      <c r="S49" s="24"/>
      <c r="T49" s="24"/>
      <c r="U49" s="24"/>
      <c r="V49" s="24"/>
      <c r="W49" s="24"/>
      <c r="X49" s="24"/>
      <c r="Y49" s="24"/>
      <c r="Z49" s="24"/>
    </row>
    <row r="50" spans="2:90">
      <c r="B50" s="19" t="s">
        <v>243</v>
      </c>
      <c r="C50" s="24">
        <v>100</v>
      </c>
      <c r="D50" s="24"/>
      <c r="E50" s="24"/>
      <c r="F50" s="24"/>
      <c r="G50" s="24"/>
      <c r="H50" s="24"/>
      <c r="I50" s="24"/>
      <c r="J50" s="24"/>
      <c r="R50" s="24"/>
      <c r="S50" s="24"/>
      <c r="T50" s="24"/>
      <c r="U50" s="24"/>
      <c r="V50" s="24"/>
      <c r="W50" s="24"/>
      <c r="X50" s="24"/>
      <c r="Y50" s="24"/>
      <c r="Z50" s="24"/>
    </row>
    <row r="51" spans="2:90">
      <c r="B51" s="19" t="s">
        <v>232</v>
      </c>
      <c r="C51" s="24">
        <v>452</v>
      </c>
      <c r="D51" s="24"/>
      <c r="E51" s="24"/>
      <c r="F51" s="24"/>
      <c r="G51" s="24"/>
      <c r="H51" s="24"/>
      <c r="I51" s="24"/>
      <c r="J51" s="24"/>
      <c r="R51" s="24"/>
      <c r="S51" s="24"/>
      <c r="T51" s="24"/>
      <c r="U51" s="24"/>
      <c r="V51" s="24"/>
      <c r="W51" s="24"/>
      <c r="X51" s="24"/>
      <c r="Y51" s="24"/>
      <c r="Z51" s="24"/>
    </row>
    <row r="52" spans="2:90">
      <c r="D52" s="24"/>
      <c r="E52" s="24"/>
      <c r="F52" s="24"/>
      <c r="G52" s="24"/>
      <c r="H52" s="24"/>
      <c r="I52" s="24"/>
      <c r="J52" s="24"/>
      <c r="R52" s="24"/>
      <c r="S52" s="24"/>
    </row>
    <row r="53" spans="2:90">
      <c r="B53" s="19" t="s">
        <v>148</v>
      </c>
      <c r="C53" s="24">
        <v>15</v>
      </c>
      <c r="D53" s="24"/>
      <c r="E53" s="24"/>
      <c r="F53" s="24"/>
      <c r="G53" s="24"/>
      <c r="H53" s="24"/>
      <c r="I53" s="24"/>
      <c r="J53" s="24"/>
      <c r="K53">
        <v>20</v>
      </c>
      <c r="R53" s="24"/>
      <c r="S53" s="24">
        <v>25</v>
      </c>
      <c r="AA53">
        <v>30</v>
      </c>
      <c r="AI53">
        <v>35</v>
      </c>
      <c r="AQ53">
        <v>40</v>
      </c>
      <c r="AY53">
        <v>45</v>
      </c>
      <c r="BG53">
        <v>50</v>
      </c>
      <c r="BO53">
        <v>55</v>
      </c>
      <c r="BW53">
        <v>60</v>
      </c>
      <c r="CE53">
        <v>65</v>
      </c>
    </row>
    <row r="54" spans="2:90">
      <c r="B54" s="26" t="s">
        <v>93</v>
      </c>
      <c r="C54" s="24" t="s">
        <v>154</v>
      </c>
      <c r="D54" s="24" t="s">
        <v>155</v>
      </c>
      <c r="E54" s="24" t="s">
        <v>156</v>
      </c>
      <c r="F54" s="24" t="s">
        <v>159</v>
      </c>
      <c r="G54" s="24" t="s">
        <v>238</v>
      </c>
      <c r="H54" s="24" t="s">
        <v>157</v>
      </c>
      <c r="I54" s="24" t="s">
        <v>160</v>
      </c>
      <c r="J54" s="24" t="s">
        <v>265</v>
      </c>
      <c r="K54" s="24" t="s">
        <v>154</v>
      </c>
      <c r="L54" s="24" t="s">
        <v>155</v>
      </c>
      <c r="M54" s="24" t="s">
        <v>156</v>
      </c>
      <c r="N54" s="24" t="s">
        <v>159</v>
      </c>
      <c r="O54" s="24" t="s">
        <v>238</v>
      </c>
      <c r="P54" s="24" t="s">
        <v>157</v>
      </c>
      <c r="Q54" s="24" t="s">
        <v>160</v>
      </c>
      <c r="R54" s="24" t="s">
        <v>265</v>
      </c>
      <c r="S54" s="24" t="s">
        <v>154</v>
      </c>
      <c r="T54" s="24" t="s">
        <v>155</v>
      </c>
      <c r="U54" s="24" t="s">
        <v>156</v>
      </c>
      <c r="V54" s="24" t="s">
        <v>159</v>
      </c>
      <c r="W54" s="24" t="s">
        <v>238</v>
      </c>
      <c r="X54" s="24" t="s">
        <v>157</v>
      </c>
      <c r="Y54" s="24" t="s">
        <v>160</v>
      </c>
      <c r="Z54" s="24" t="s">
        <v>265</v>
      </c>
      <c r="AA54" s="24" t="s">
        <v>154</v>
      </c>
      <c r="AB54" s="24" t="s">
        <v>155</v>
      </c>
      <c r="AC54" s="24" t="s">
        <v>156</v>
      </c>
      <c r="AD54" s="24" t="s">
        <v>159</v>
      </c>
      <c r="AE54" s="24" t="s">
        <v>238</v>
      </c>
      <c r="AF54" s="24" t="s">
        <v>157</v>
      </c>
      <c r="AG54" s="24" t="s">
        <v>160</v>
      </c>
      <c r="AH54" s="24" t="s">
        <v>265</v>
      </c>
      <c r="AI54" s="24" t="s">
        <v>154</v>
      </c>
      <c r="AJ54" s="24" t="s">
        <v>155</v>
      </c>
      <c r="AK54" s="24" t="s">
        <v>156</v>
      </c>
      <c r="AL54" s="24" t="s">
        <v>159</v>
      </c>
      <c r="AM54" s="24" t="s">
        <v>238</v>
      </c>
      <c r="AN54" s="24" t="s">
        <v>157</v>
      </c>
      <c r="AO54" s="24" t="s">
        <v>160</v>
      </c>
      <c r="AP54" s="24" t="s">
        <v>265</v>
      </c>
      <c r="AQ54" s="24" t="s">
        <v>154</v>
      </c>
      <c r="AR54" s="24" t="s">
        <v>155</v>
      </c>
      <c r="AS54" s="24" t="s">
        <v>156</v>
      </c>
      <c r="AT54" s="24" t="s">
        <v>159</v>
      </c>
      <c r="AU54" s="24" t="s">
        <v>238</v>
      </c>
      <c r="AV54" s="24" t="s">
        <v>157</v>
      </c>
      <c r="AW54" s="24" t="s">
        <v>160</v>
      </c>
      <c r="AX54" s="24" t="s">
        <v>265</v>
      </c>
      <c r="AY54" s="24" t="s">
        <v>154</v>
      </c>
      <c r="AZ54" s="24" t="s">
        <v>155</v>
      </c>
      <c r="BA54" s="24" t="s">
        <v>156</v>
      </c>
      <c r="BB54" s="24" t="s">
        <v>159</v>
      </c>
      <c r="BC54" s="24" t="s">
        <v>238</v>
      </c>
      <c r="BD54" s="24" t="s">
        <v>157</v>
      </c>
      <c r="BE54" s="24" t="s">
        <v>160</v>
      </c>
      <c r="BF54" s="24" t="s">
        <v>265</v>
      </c>
      <c r="BG54" s="24" t="s">
        <v>154</v>
      </c>
      <c r="BH54" s="24" t="s">
        <v>155</v>
      </c>
      <c r="BI54" s="24" t="s">
        <v>156</v>
      </c>
      <c r="BJ54" s="24" t="s">
        <v>159</v>
      </c>
      <c r="BK54" s="24" t="s">
        <v>238</v>
      </c>
      <c r="BL54" s="24" t="s">
        <v>157</v>
      </c>
      <c r="BM54" s="24" t="s">
        <v>160</v>
      </c>
      <c r="BN54" s="24" t="s">
        <v>265</v>
      </c>
      <c r="BO54" s="24" t="s">
        <v>154</v>
      </c>
      <c r="BP54" s="24" t="s">
        <v>155</v>
      </c>
      <c r="BQ54" s="24" t="s">
        <v>156</v>
      </c>
      <c r="BR54" s="24" t="s">
        <v>159</v>
      </c>
      <c r="BS54" s="24" t="s">
        <v>238</v>
      </c>
      <c r="BT54" s="24" t="s">
        <v>157</v>
      </c>
      <c r="BU54" s="24" t="s">
        <v>160</v>
      </c>
      <c r="BV54" s="24" t="s">
        <v>265</v>
      </c>
      <c r="BW54" s="24" t="s">
        <v>154</v>
      </c>
      <c r="BX54" s="24" t="s">
        <v>155</v>
      </c>
      <c r="BY54" s="24" t="s">
        <v>156</v>
      </c>
      <c r="BZ54" s="24" t="s">
        <v>159</v>
      </c>
      <c r="CA54" s="24" t="s">
        <v>238</v>
      </c>
      <c r="CB54" s="24" t="s">
        <v>157</v>
      </c>
      <c r="CC54" s="24" t="s">
        <v>160</v>
      </c>
      <c r="CD54" s="24" t="s">
        <v>265</v>
      </c>
      <c r="CE54" s="24" t="s">
        <v>154</v>
      </c>
      <c r="CF54" s="24" t="s">
        <v>155</v>
      </c>
      <c r="CG54" s="24" t="s">
        <v>156</v>
      </c>
      <c r="CH54" s="24" t="s">
        <v>159</v>
      </c>
      <c r="CI54" s="24" t="s">
        <v>238</v>
      </c>
      <c r="CJ54" s="24" t="s">
        <v>157</v>
      </c>
      <c r="CK54" s="24" t="s">
        <v>160</v>
      </c>
      <c r="CL54" s="24" t="s">
        <v>265</v>
      </c>
    </row>
    <row r="55" spans="2:90">
      <c r="B55" s="26">
        <v>0.1</v>
      </c>
      <c r="C55" s="24">
        <v>0.86123438120389528</v>
      </c>
      <c r="D55" s="24">
        <v>3.9157628286419697</v>
      </c>
      <c r="E55" s="24">
        <v>737.06626066024114</v>
      </c>
      <c r="F55" s="24">
        <v>0.5381697416305542</v>
      </c>
      <c r="G55" s="24">
        <v>27.227654563735438</v>
      </c>
      <c r="H55" s="24">
        <v>9.0919276979233121</v>
      </c>
      <c r="I55" s="24">
        <v>13.001893997192383</v>
      </c>
      <c r="J55" s="24">
        <v>1.542919397354126</v>
      </c>
      <c r="K55" s="24">
        <v>0.83556021839417494</v>
      </c>
      <c r="L55" s="24">
        <v>3.8054596503703642</v>
      </c>
      <c r="M55" s="24">
        <v>709.52766444433814</v>
      </c>
      <c r="N55" s="24">
        <v>0.54330939054489136</v>
      </c>
      <c r="O55" s="24">
        <v>27.252336626784718</v>
      </c>
      <c r="P55" s="24">
        <v>12.947369248850748</v>
      </c>
      <c r="Q55" s="24">
        <v>17.042901992797852</v>
      </c>
      <c r="R55" s="24">
        <v>1.1901719570159912</v>
      </c>
      <c r="S55" s="24">
        <v>0.81005754905946747</v>
      </c>
      <c r="T55" s="24">
        <v>3.6951564720987591</v>
      </c>
      <c r="U55" s="24">
        <v>682.49713870796199</v>
      </c>
      <c r="V55" s="24">
        <v>0.54845553636550903</v>
      </c>
      <c r="W55" s="24">
        <v>27.277018689833998</v>
      </c>
      <c r="X55" s="24">
        <v>16.403266940515767</v>
      </c>
      <c r="Y55" s="24">
        <v>21.104896545410156</v>
      </c>
      <c r="Z55" s="24">
        <v>0.98665356636047363</v>
      </c>
      <c r="AA55" s="24">
        <v>0.78050523759319224</v>
      </c>
      <c r="AB55" s="24">
        <v>3.5664694307818872</v>
      </c>
      <c r="AC55" s="24">
        <v>651.58604778063079</v>
      </c>
      <c r="AD55" s="24">
        <v>0.55446761846542358</v>
      </c>
      <c r="AE55" s="24">
        <v>27.305814430058156</v>
      </c>
      <c r="AF55" s="24">
        <v>19.440694524222987</v>
      </c>
      <c r="AG55" s="24">
        <v>25.16490364074707</v>
      </c>
      <c r="AH55" s="24">
        <v>0.86796224117279053</v>
      </c>
      <c r="AI55" s="24">
        <v>0.75533284536777079</v>
      </c>
      <c r="AJ55" s="24">
        <v>3.4561662525102821</v>
      </c>
      <c r="AK55" s="24">
        <v>625.61156721344628</v>
      </c>
      <c r="AL55" s="24">
        <v>0.55962783098220825</v>
      </c>
      <c r="AM55" s="24">
        <v>27.330496493107436</v>
      </c>
      <c r="AN55" s="24">
        <v>22.098451087787083</v>
      </c>
      <c r="AO55" s="24">
        <v>29.275909423828125</v>
      </c>
      <c r="AP55" s="24">
        <v>0.85148471593856812</v>
      </c>
      <c r="AQ55" s="24">
        <v>0.73029539713939484</v>
      </c>
      <c r="AR55" s="24">
        <v>3.3458630742386766</v>
      </c>
      <c r="AS55" s="24">
        <v>600.10480216056646</v>
      </c>
      <c r="AT55" s="24">
        <v>0.56479454040527344</v>
      </c>
      <c r="AU55" s="24">
        <v>27.355178556156716</v>
      </c>
      <c r="AV55" s="24">
        <v>24.36458732251954</v>
      </c>
      <c r="AW55" s="24">
        <v>33.419883728027344</v>
      </c>
      <c r="AX55" s="24">
        <v>0.85879474878311157</v>
      </c>
      <c r="AY55" s="24">
        <v>0.7012424039779217</v>
      </c>
      <c r="AZ55" s="24">
        <v>3.2171760329218047</v>
      </c>
      <c r="BA55" s="24">
        <v>570.92225850823752</v>
      </c>
      <c r="BB55" s="24">
        <v>0.57083064317703247</v>
      </c>
      <c r="BC55" s="24">
        <v>27.383974296380874</v>
      </c>
      <c r="BD55" s="24">
        <v>26.24603909413819</v>
      </c>
      <c r="BE55" s="24">
        <v>37.549903869628906</v>
      </c>
      <c r="BF55" s="24">
        <v>0.88245666027069092</v>
      </c>
      <c r="BG55" s="24">
        <v>0.66000246705982624</v>
      </c>
      <c r="BH55" s="24">
        <v>3.0333374024691291</v>
      </c>
      <c r="BI55" s="24">
        <v>530.27346062022184</v>
      </c>
      <c r="BJ55" s="24">
        <v>0.57946908473968506</v>
      </c>
      <c r="BK55" s="24">
        <v>27.425111068129674</v>
      </c>
      <c r="BL55" s="24">
        <v>27.750788185113688</v>
      </c>
      <c r="BM55" s="24">
        <v>41.518886566162109</v>
      </c>
      <c r="BN55" s="24">
        <v>0.89146798849105835</v>
      </c>
      <c r="BO55" s="24">
        <v>0.6353938710763688</v>
      </c>
      <c r="BP55" s="24">
        <v>2.9230342241975245</v>
      </c>
      <c r="BQ55" s="24">
        <v>506.45320083117855</v>
      </c>
      <c r="BR55" s="24">
        <v>0.58466088771820068</v>
      </c>
      <c r="BS55" s="24">
        <v>27.44979313117895</v>
      </c>
      <c r="BT55" s="24">
        <v>29.074223439500035</v>
      </c>
      <c r="BU55" s="24">
        <v>45.695907592773438</v>
      </c>
      <c r="BV55" s="24">
        <v>0.9583163857460022</v>
      </c>
      <c r="BW55" s="24">
        <v>0.61495659472827569</v>
      </c>
      <c r="BX55" s="24">
        <v>2.8311149089711867</v>
      </c>
      <c r="BY55" s="24">
        <v>486.91963380265838</v>
      </c>
      <c r="BZ55" s="24">
        <v>0.58899235725402832</v>
      </c>
      <c r="CA55" s="24">
        <v>27.470361517053352</v>
      </c>
      <c r="CB55" s="24">
        <v>30.201745919240782</v>
      </c>
      <c r="CC55" s="24">
        <v>49.946907043457031</v>
      </c>
      <c r="CD55" s="24">
        <v>1.0512125492095947</v>
      </c>
      <c r="CE55" s="24">
        <v>0.59050975535453654</v>
      </c>
      <c r="CF55" s="24">
        <v>2.7208117306995816</v>
      </c>
      <c r="CG55" s="24">
        <v>463.85058069058476</v>
      </c>
      <c r="CH55" s="24">
        <v>0.5941961407661438</v>
      </c>
      <c r="CI55" s="24">
        <v>27.495043580102628</v>
      </c>
      <c r="CJ55" s="24">
        <v>31.140517063590217</v>
      </c>
      <c r="CK55" s="24">
        <v>54.118907928466797</v>
      </c>
      <c r="CL55" s="24">
        <v>1.1012493371963501</v>
      </c>
    </row>
    <row r="56" spans="2:90">
      <c r="B56" s="26">
        <v>0.15</v>
      </c>
      <c r="C56" s="24">
        <v>0.86983216116124351</v>
      </c>
      <c r="D56" s="24">
        <v>3.9709144177777724</v>
      </c>
      <c r="E56" s="24">
        <v>686.90574826791453</v>
      </c>
      <c r="F56" s="24">
        <v>0.58560234308242798</v>
      </c>
      <c r="G56" s="24">
        <v>27.2153135322108</v>
      </c>
      <c r="H56" s="24">
        <v>8.9770788904962657</v>
      </c>
      <c r="I56" s="24">
        <v>12.882893562316895</v>
      </c>
      <c r="J56" s="24">
        <v>1.5396555662155151</v>
      </c>
      <c r="K56" s="24">
        <v>0.83982672200577047</v>
      </c>
      <c r="L56" s="24">
        <v>3.8422273764608992</v>
      </c>
      <c r="M56" s="24">
        <v>657.91177722904808</v>
      </c>
      <c r="N56" s="24">
        <v>0.59159547090530396</v>
      </c>
      <c r="O56" s="24">
        <v>27.244109272434958</v>
      </c>
      <c r="P56" s="24">
        <v>12.778693249591702</v>
      </c>
      <c r="Q56" s="24">
        <v>16.85289192199707</v>
      </c>
      <c r="R56" s="24">
        <v>1.1191391944885254</v>
      </c>
      <c r="S56" s="24">
        <v>0.83129855685865128</v>
      </c>
      <c r="T56" s="24">
        <v>3.8054596503703642</v>
      </c>
      <c r="U56" s="24">
        <v>649.73359724672116</v>
      </c>
      <c r="V56" s="24">
        <v>0.59330940246582031</v>
      </c>
      <c r="W56" s="24">
        <v>27.252336626784718</v>
      </c>
      <c r="X56" s="24">
        <v>16.28042857757848</v>
      </c>
      <c r="Y56" s="24">
        <v>20.938899993896484</v>
      </c>
      <c r="Z56" s="24">
        <v>0.98266458511352539</v>
      </c>
      <c r="AA56" s="24">
        <v>0.80582332616236396</v>
      </c>
      <c r="AB56" s="24">
        <v>3.6951564720987591</v>
      </c>
      <c r="AC56" s="24">
        <v>625.47559993668835</v>
      </c>
      <c r="AD56" s="24">
        <v>0.59845554828643799</v>
      </c>
      <c r="AE56" s="24">
        <v>27.277018689833998</v>
      </c>
      <c r="AF56" s="24">
        <v>19.330229377039721</v>
      </c>
      <c r="AG56" s="24">
        <v>24.991909027099609</v>
      </c>
      <c r="AH56" s="24">
        <v>0.89344149827957153</v>
      </c>
      <c r="AI56" s="24">
        <v>0.78050523759319224</v>
      </c>
      <c r="AJ56" s="24">
        <v>3.5848532938271545</v>
      </c>
      <c r="AK56" s="24">
        <v>601.6247632397484</v>
      </c>
      <c r="AL56" s="24">
        <v>0.60360819101333618</v>
      </c>
      <c r="AM56" s="24">
        <v>27.301700752883278</v>
      </c>
      <c r="AN56" s="24">
        <v>21.98780437624054</v>
      </c>
      <c r="AO56" s="24">
        <v>29.076902389526367</v>
      </c>
      <c r="AP56" s="24">
        <v>0.87017011642456055</v>
      </c>
      <c r="AQ56" s="24">
        <v>0.7511511588180253</v>
      </c>
      <c r="AR56" s="24">
        <v>3.4561662525102821</v>
      </c>
      <c r="AS56" s="24">
        <v>574.30062467038385</v>
      </c>
      <c r="AT56" s="24">
        <v>0.60962784290313721</v>
      </c>
      <c r="AU56" s="24">
        <v>27.330496493107436</v>
      </c>
      <c r="AV56" s="24">
        <v>24.23895331920475</v>
      </c>
      <c r="AW56" s="24">
        <v>33.159893035888672</v>
      </c>
      <c r="AX56" s="24">
        <v>0.87047702074050903</v>
      </c>
      <c r="AY56" s="24">
        <v>0.70538278672706478</v>
      </c>
      <c r="AZ56" s="24">
        <v>3.2539437590123392</v>
      </c>
      <c r="BA56" s="24">
        <v>532.4208638418379</v>
      </c>
      <c r="BB56" s="24">
        <v>0.61910516023635864</v>
      </c>
      <c r="BC56" s="24">
        <v>27.375746942031114</v>
      </c>
      <c r="BD56" s="24">
        <v>26.046435039810632</v>
      </c>
      <c r="BE56" s="24">
        <v>37.0718994140625</v>
      </c>
      <c r="BF56" s="24">
        <v>0.84554451704025269</v>
      </c>
      <c r="BG56" s="24">
        <v>0.68058551086134389</v>
      </c>
      <c r="BH56" s="24">
        <v>3.1436405807407346</v>
      </c>
      <c r="BI56" s="24">
        <v>510.10576072806532</v>
      </c>
      <c r="BJ56" s="24">
        <v>0.62428385019302368</v>
      </c>
      <c r="BK56" s="24">
        <v>27.400429005080394</v>
      </c>
      <c r="BL56" s="24">
        <v>27.645775218476466</v>
      </c>
      <c r="BM56" s="24">
        <v>41.215896606445313</v>
      </c>
      <c r="BN56" s="24">
        <v>0.91134577989578247</v>
      </c>
      <c r="BO56" s="24">
        <v>0.66000246705982624</v>
      </c>
      <c r="BP56" s="24">
        <v>3.0517212655143973</v>
      </c>
      <c r="BQ56" s="24">
        <v>491.78680595263739</v>
      </c>
      <c r="BR56" s="24">
        <v>0.62860441207885742</v>
      </c>
      <c r="BS56" s="24">
        <v>27.420997390954792</v>
      </c>
      <c r="BT56" s="24">
        <v>28.999288083018051</v>
      </c>
      <c r="BU56" s="24">
        <v>45.442882537841797</v>
      </c>
      <c r="BV56" s="24">
        <v>0.97973966598510742</v>
      </c>
      <c r="BW56" s="24">
        <v>0.61495659472827569</v>
      </c>
      <c r="BX56" s="24">
        <v>2.8494987720164544</v>
      </c>
      <c r="BY56" s="24">
        <v>452.3469748090161</v>
      </c>
      <c r="BZ56" s="24">
        <v>0.6381257176399231</v>
      </c>
      <c r="CA56" s="24">
        <v>27.46624783987847</v>
      </c>
      <c r="CB56" s="24">
        <v>30.027559777048818</v>
      </c>
      <c r="CC56" s="24">
        <v>49.240901947021484</v>
      </c>
      <c r="CD56" s="24">
        <v>0.97812294960021973</v>
      </c>
      <c r="CE56" s="24">
        <v>0.60679889480518456</v>
      </c>
      <c r="CF56" s="24">
        <v>2.8127310459259189</v>
      </c>
      <c r="CG56" s="24">
        <v>445.30055511453372</v>
      </c>
      <c r="CH56" s="24">
        <v>0.63985919952392578</v>
      </c>
      <c r="CI56" s="24">
        <v>27.47447519422823</v>
      </c>
      <c r="CJ56" s="24">
        <v>31.04928681697498</v>
      </c>
      <c r="CK56" s="24">
        <v>53.698890686035156</v>
      </c>
      <c r="CL56" s="24">
        <v>1.0984921455383301</v>
      </c>
    </row>
    <row r="57" spans="2:90">
      <c r="B57" s="26">
        <v>0.2</v>
      </c>
      <c r="C57" s="24">
        <v>0.86983216116124351</v>
      </c>
      <c r="D57" s="24">
        <v>3.9709144177777724</v>
      </c>
      <c r="E57" s="24">
        <v>632.86994015872858</v>
      </c>
      <c r="F57" s="24">
        <v>0.63560235500335693</v>
      </c>
      <c r="G57" s="24">
        <v>27.2153135322108</v>
      </c>
      <c r="H57" s="24">
        <v>8.8309981346687518</v>
      </c>
      <c r="I57" s="24">
        <v>12.738890647888184</v>
      </c>
      <c r="J57" s="24">
        <v>1.5353093147277832</v>
      </c>
      <c r="K57" s="24">
        <v>0.85694312052728805</v>
      </c>
      <c r="L57" s="24">
        <v>3.9157628286419697</v>
      </c>
      <c r="M57" s="24">
        <v>621.56936566106003</v>
      </c>
      <c r="N57" s="24">
        <v>0.63816976547241211</v>
      </c>
      <c r="O57" s="24">
        <v>27.227654563735438</v>
      </c>
      <c r="P57" s="24">
        <v>12.648485120422217</v>
      </c>
      <c r="Q57" s="24">
        <v>16.701898574829102</v>
      </c>
      <c r="R57" s="24">
        <v>1.1808797121047974</v>
      </c>
      <c r="S57" s="24">
        <v>0.83556021839417494</v>
      </c>
      <c r="T57" s="24">
        <v>3.823843513415631</v>
      </c>
      <c r="U57" s="24">
        <v>602.93240836786083</v>
      </c>
      <c r="V57" s="24">
        <v>0.64245235919952393</v>
      </c>
      <c r="W57" s="24">
        <v>27.24822294960984</v>
      </c>
      <c r="X57" s="24">
        <v>16.072566382547155</v>
      </c>
      <c r="Y57" s="24">
        <v>20.679899215698242</v>
      </c>
      <c r="Z57" s="24">
        <v>0.97513777017593384</v>
      </c>
      <c r="AA57" s="24">
        <v>0.81005754905946747</v>
      </c>
      <c r="AB57" s="24">
        <v>3.7135403351440273</v>
      </c>
      <c r="AC57" s="24">
        <v>580.88810241612714</v>
      </c>
      <c r="AD57" s="24">
        <v>0.64759743213653564</v>
      </c>
      <c r="AE57" s="24">
        <v>27.272905012659116</v>
      </c>
      <c r="AF57" s="24">
        <v>19.103874360080564</v>
      </c>
      <c r="AG57" s="24">
        <v>24.669910430908203</v>
      </c>
      <c r="AH57" s="24">
        <v>0.88326168060302734</v>
      </c>
      <c r="AI57" s="24">
        <v>0.78050523759319224</v>
      </c>
      <c r="AJ57" s="24">
        <v>3.5848532938271545</v>
      </c>
      <c r="AK57" s="24">
        <v>555.60141424282563</v>
      </c>
      <c r="AL57" s="24">
        <v>0.65360820293426514</v>
      </c>
      <c r="AM57" s="24">
        <v>27.301700752883278</v>
      </c>
      <c r="AN57" s="24">
        <v>21.734645324753302</v>
      </c>
      <c r="AO57" s="24">
        <v>28.659902572631836</v>
      </c>
      <c r="AP57" s="24">
        <v>0.83119428157806396</v>
      </c>
      <c r="AQ57" s="24">
        <v>0.75533284536777079</v>
      </c>
      <c r="AR57" s="24">
        <v>3.4745501155555494</v>
      </c>
      <c r="AS57" s="24">
        <v>534.28867381778491</v>
      </c>
      <c r="AT57" s="24">
        <v>0.65876734256744385</v>
      </c>
      <c r="AU57" s="24">
        <v>27.326382815932554</v>
      </c>
      <c r="AV57" s="24">
        <v>24.013072193841374</v>
      </c>
      <c r="AW57" s="24">
        <v>32.715896606445312</v>
      </c>
      <c r="AX57" s="24">
        <v>0.83268254995346069</v>
      </c>
      <c r="AY57" s="24">
        <v>0.73029539713939484</v>
      </c>
      <c r="AZ57" s="24">
        <v>3.3642469372839439</v>
      </c>
      <c r="BA57" s="24">
        <v>513.30212712225648</v>
      </c>
      <c r="BB57" s="24">
        <v>0.66393297910690308</v>
      </c>
      <c r="BC57" s="24">
        <v>27.351064878981834</v>
      </c>
      <c r="BD57" s="24">
        <v>25.938176380416369</v>
      </c>
      <c r="BE57" s="24">
        <v>36.810901641845703</v>
      </c>
      <c r="BF57" s="24">
        <v>0.85339117050170898</v>
      </c>
      <c r="BG57" s="24">
        <v>0.7012424039779217</v>
      </c>
      <c r="BH57" s="24">
        <v>3.2355598959670715</v>
      </c>
      <c r="BI57" s="24">
        <v>489.22083649150142</v>
      </c>
      <c r="BJ57" s="24">
        <v>0.66996783018112183</v>
      </c>
      <c r="BK57" s="24">
        <v>27.379860619205992</v>
      </c>
      <c r="BL57" s="24">
        <v>27.527971315417116</v>
      </c>
      <c r="BM57" s="24">
        <v>40.880901336669922</v>
      </c>
      <c r="BN57" s="24">
        <v>0.89833331108093262</v>
      </c>
      <c r="BO57" s="24">
        <v>0.66000246705982624</v>
      </c>
      <c r="BP57" s="24">
        <v>3.0517212655143973</v>
      </c>
      <c r="BQ57" s="24">
        <v>455.55164558852925</v>
      </c>
      <c r="BR57" s="24">
        <v>0.67860442399978638</v>
      </c>
      <c r="BS57" s="24">
        <v>27.420997390954792</v>
      </c>
      <c r="BT57" s="24">
        <v>28.795708494237491</v>
      </c>
      <c r="BU57" s="24">
        <v>44.754901885986328</v>
      </c>
      <c r="BV57" s="24">
        <v>0.90568506717681885</v>
      </c>
      <c r="BW57" s="24">
        <v>0.6353938710763688</v>
      </c>
      <c r="BX57" s="24">
        <v>2.9414180872427917</v>
      </c>
      <c r="BY57" s="24">
        <v>435.75282387513369</v>
      </c>
      <c r="BZ57" s="24">
        <v>0.68379509449005127</v>
      </c>
      <c r="CA57" s="24">
        <v>27.445679454004072</v>
      </c>
      <c r="CB57" s="24">
        <v>29.931579101567689</v>
      </c>
      <c r="CC57" s="24">
        <v>48.867885589599609</v>
      </c>
      <c r="CD57" s="24">
        <v>0.95149636268615723</v>
      </c>
      <c r="CE57" s="24">
        <v>0.61495659472827569</v>
      </c>
      <c r="CF57" s="24">
        <v>2.8494987720164544</v>
      </c>
      <c r="CG57" s="24">
        <v>419.47892605625606</v>
      </c>
      <c r="CH57" s="24">
        <v>0.68812566995620728</v>
      </c>
      <c r="CI57" s="24">
        <v>27.46624783987847</v>
      </c>
      <c r="CJ57" s="24">
        <v>30.911446500348791</v>
      </c>
      <c r="CK57" s="24">
        <v>53.056892395019531</v>
      </c>
      <c r="CL57" s="24">
        <v>1.0311822891235352</v>
      </c>
    </row>
    <row r="58" spans="2:90">
      <c r="B58" s="24">
        <v>0.25</v>
      </c>
      <c r="C58" s="24">
        <v>0.90009528567253816</v>
      </c>
      <c r="D58" s="24">
        <v>4.0996014590946448</v>
      </c>
      <c r="E58" s="24">
        <v>611.06325875979019</v>
      </c>
      <c r="F58" s="24">
        <v>0.67961806058883667</v>
      </c>
      <c r="G58" s="24">
        <v>27.186517791986642</v>
      </c>
      <c r="H58" s="24">
        <v>8.776489138148353</v>
      </c>
      <c r="I58" s="24">
        <v>12.672892570495605</v>
      </c>
      <c r="J58" s="24">
        <v>1.5340961217880249</v>
      </c>
      <c r="K58" s="24">
        <v>0.86553062788129864</v>
      </c>
      <c r="L58" s="24">
        <v>3.9525305547325047</v>
      </c>
      <c r="M58" s="24">
        <v>583.2714520799957</v>
      </c>
      <c r="N58" s="24">
        <v>0.68645799160003662</v>
      </c>
      <c r="O58" s="24">
        <v>27.219427209385678</v>
      </c>
      <c r="P58" s="24">
        <v>12.493762965091799</v>
      </c>
      <c r="Q58" s="24">
        <v>16.528896331787109</v>
      </c>
      <c r="R58" s="24">
        <v>1.110808253288269</v>
      </c>
      <c r="S58" s="24">
        <v>0.83982672200577047</v>
      </c>
      <c r="T58" s="24">
        <v>3.8422273764608992</v>
      </c>
      <c r="U58" s="24">
        <v>562.78221134108901</v>
      </c>
      <c r="V58" s="24">
        <v>0.69159549474716187</v>
      </c>
      <c r="W58" s="24">
        <v>27.244109272434958</v>
      </c>
      <c r="X58" s="24">
        <v>15.870396802244208</v>
      </c>
      <c r="Y58" s="24">
        <v>20.429901123046875</v>
      </c>
      <c r="Z58" s="24">
        <v>0.92794102430343628</v>
      </c>
      <c r="AA58" s="24">
        <v>0.81005754905946747</v>
      </c>
      <c r="AB58" s="24">
        <v>3.7135403351440273</v>
      </c>
      <c r="AC58" s="24">
        <v>539.25319333712571</v>
      </c>
      <c r="AD58" s="24">
        <v>0.6975974440574646</v>
      </c>
      <c r="AE58" s="24">
        <v>27.272905012659116</v>
      </c>
      <c r="AF58" s="24">
        <v>18.861805382701018</v>
      </c>
      <c r="AG58" s="24">
        <v>24.331903457641602</v>
      </c>
      <c r="AH58" s="24">
        <v>0.81672203540802002</v>
      </c>
      <c r="AI58" s="24">
        <v>0.80159331584045357</v>
      </c>
      <c r="AJ58" s="24">
        <v>3.6767726090534922</v>
      </c>
      <c r="AK58" s="24">
        <v>532.60356322543078</v>
      </c>
      <c r="AL58" s="24">
        <v>0.69931387901306152</v>
      </c>
      <c r="AM58" s="24">
        <v>27.281132367008876</v>
      </c>
      <c r="AN58" s="24">
        <v>21.598411190436238</v>
      </c>
      <c r="AO58" s="24">
        <v>28.427902221679688</v>
      </c>
      <c r="AP58" s="24">
        <v>0.8243105411529541</v>
      </c>
      <c r="AQ58" s="24">
        <v>0.75533284536777079</v>
      </c>
      <c r="AR58" s="24">
        <v>3.4745501155555494</v>
      </c>
      <c r="AS58" s="24">
        <v>496.59727311999512</v>
      </c>
      <c r="AT58" s="24">
        <v>0.7087673544883728</v>
      </c>
      <c r="AU58" s="24">
        <v>27.326382815932554</v>
      </c>
      <c r="AV58" s="24">
        <v>23.767073382936029</v>
      </c>
      <c r="AW58" s="24">
        <v>32.243888854980469</v>
      </c>
      <c r="AX58" s="24">
        <v>0.77809017896652222</v>
      </c>
      <c r="AY58" s="24">
        <v>0.73029539713939484</v>
      </c>
      <c r="AZ58" s="24">
        <v>3.3642469372839439</v>
      </c>
      <c r="BA58" s="24">
        <v>477.35322602688666</v>
      </c>
      <c r="BB58" s="24">
        <v>0.71393299102783203</v>
      </c>
      <c r="BC58" s="24">
        <v>27.351064878981834</v>
      </c>
      <c r="BD58" s="24">
        <v>25.704661171762108</v>
      </c>
      <c r="BE58" s="24">
        <v>36.27288818359375</v>
      </c>
      <c r="BF58" s="24">
        <v>0.79908108711242676</v>
      </c>
      <c r="BG58" s="24">
        <v>0.70538278672706478</v>
      </c>
      <c r="BH58" s="24">
        <v>3.2539437590123392</v>
      </c>
      <c r="BI58" s="24">
        <v>458.38150280303955</v>
      </c>
      <c r="BJ58" s="24">
        <v>0.71910518407821655</v>
      </c>
      <c r="BK58" s="24">
        <v>27.375746942031114</v>
      </c>
      <c r="BL58" s="24">
        <v>27.331665175557401</v>
      </c>
      <c r="BM58" s="24">
        <v>40.335895538330078</v>
      </c>
      <c r="BN58" s="24">
        <v>0.85964721441268921</v>
      </c>
      <c r="BO58" s="24">
        <v>0.68058551086134389</v>
      </c>
      <c r="BP58" s="24">
        <v>3.1436405807407346</v>
      </c>
      <c r="BQ58" s="24">
        <v>439.67677668841895</v>
      </c>
      <c r="BR58" s="24">
        <v>0.72428387403488159</v>
      </c>
      <c r="BS58" s="24">
        <v>27.400429005080394</v>
      </c>
      <c r="BT58" s="24">
        <v>28.694540158103415</v>
      </c>
      <c r="BU58" s="24">
        <v>44.422908782958984</v>
      </c>
      <c r="BV58" s="24">
        <v>0.90693104267120361</v>
      </c>
      <c r="BW58" s="24">
        <v>0.65589462963902867</v>
      </c>
      <c r="BX58" s="24">
        <v>3.0333374024691291</v>
      </c>
      <c r="BY58" s="24">
        <v>421.2338586010336</v>
      </c>
      <c r="BZ58" s="24">
        <v>0.72946906089782715</v>
      </c>
      <c r="CA58" s="24">
        <v>27.425111068129674</v>
      </c>
      <c r="CB58" s="24">
        <v>29.840482932087095</v>
      </c>
      <c r="CC58" s="24">
        <v>48.518894195556641</v>
      </c>
      <c r="CD58" s="24">
        <v>0.96418863534927368</v>
      </c>
      <c r="CE58" s="24">
        <v>0.61495659472827569</v>
      </c>
      <c r="CF58" s="24">
        <v>2.8494987720164544</v>
      </c>
      <c r="CG58" s="24">
        <v>391.06378406175617</v>
      </c>
      <c r="CH58" s="24">
        <v>0.73812568187713623</v>
      </c>
      <c r="CI58" s="24">
        <v>27.46624783987847</v>
      </c>
      <c r="CJ58" s="24">
        <v>30.737709830179909</v>
      </c>
      <c r="CK58" s="24">
        <v>52.260902404785156</v>
      </c>
      <c r="CL58" s="24">
        <v>0.95087313652038574</v>
      </c>
    </row>
    <row r="59" spans="2:90">
      <c r="B59" s="24">
        <f t="shared" ref="B59:B69" si="15">B58+0.25</f>
        <v>0.5</v>
      </c>
      <c r="C59" s="24">
        <v>0.93063977001698839</v>
      </c>
      <c r="D59" s="24">
        <v>4.2282885004115167</v>
      </c>
      <c r="E59" s="24">
        <v>463.73526312846775</v>
      </c>
      <c r="F59" s="24">
        <v>0.92364257574081421</v>
      </c>
      <c r="G59" s="24">
        <v>27.157722051762484</v>
      </c>
      <c r="H59" s="24">
        <v>8.2269300032213675</v>
      </c>
      <c r="I59" s="24">
        <v>12.124889373779297</v>
      </c>
      <c r="J59" s="24">
        <v>1.5185085535049438</v>
      </c>
      <c r="K59" s="24">
        <v>0.90009528567253816</v>
      </c>
      <c r="L59" s="24">
        <v>4.0996014590946448</v>
      </c>
      <c r="M59" s="24">
        <v>446.73145315060037</v>
      </c>
      <c r="N59" s="24">
        <v>0.92961806058883667</v>
      </c>
      <c r="O59" s="24">
        <v>27.186517791986642</v>
      </c>
      <c r="P59" s="24">
        <v>11.767840564931756</v>
      </c>
      <c r="Q59" s="24">
        <v>15.730897903442383</v>
      </c>
      <c r="R59" s="24">
        <v>1.0325877666473389</v>
      </c>
      <c r="S59" s="24">
        <v>0.89575575027805843</v>
      </c>
      <c r="T59" s="24">
        <v>4.0812175960493775</v>
      </c>
      <c r="U59" s="24">
        <v>444.31982294239032</v>
      </c>
      <c r="V59" s="24">
        <v>0.93047243356704712</v>
      </c>
      <c r="W59" s="24">
        <v>27.19063146916152</v>
      </c>
      <c r="X59" s="24">
        <v>15.111135196592015</v>
      </c>
      <c r="Y59" s="24">
        <v>19.48790168762207</v>
      </c>
      <c r="Z59" s="24">
        <v>0.9041784405708313</v>
      </c>
      <c r="AA59" s="24">
        <v>0.86553062788129864</v>
      </c>
      <c r="AB59" s="24">
        <v>3.9525305547325047</v>
      </c>
      <c r="AC59" s="24">
        <v>427.55932671887996</v>
      </c>
      <c r="AD59" s="24">
        <v>0.93645799160003662</v>
      </c>
      <c r="AE59" s="24">
        <v>27.219427209385678</v>
      </c>
      <c r="AF59" s="24">
        <v>18.026835806911819</v>
      </c>
      <c r="AG59" s="24">
        <v>23.166900634765625</v>
      </c>
      <c r="AH59" s="24">
        <v>0.78626590967178345</v>
      </c>
      <c r="AI59" s="24">
        <v>0.83556021839417494</v>
      </c>
      <c r="AJ59" s="24">
        <v>3.823843513415631</v>
      </c>
      <c r="AK59" s="24">
        <v>411.00788206645728</v>
      </c>
      <c r="AL59" s="24">
        <v>0.94245237112045288</v>
      </c>
      <c r="AM59" s="24">
        <v>27.24822294960984</v>
      </c>
      <c r="AN59" s="24">
        <v>20.61726665837255</v>
      </c>
      <c r="AO59" s="24">
        <v>26.869901657104492</v>
      </c>
      <c r="AP59" s="24">
        <v>0.73455721139907837</v>
      </c>
      <c r="AQ59" s="24">
        <v>0.81005754905946747</v>
      </c>
      <c r="AR59" s="24">
        <v>3.7135403351440273</v>
      </c>
      <c r="AS59" s="24">
        <v>396.98465650146545</v>
      </c>
      <c r="AT59" s="24">
        <v>0.9475974440574646</v>
      </c>
      <c r="AU59" s="24">
        <v>27.272905012659116</v>
      </c>
      <c r="AV59" s="24">
        <v>22.910324218698616</v>
      </c>
      <c r="AW59" s="24">
        <v>30.646900177001953</v>
      </c>
      <c r="AX59" s="24">
        <v>0.71053862571716309</v>
      </c>
      <c r="AY59" s="24">
        <v>0.78050523759319224</v>
      </c>
      <c r="AZ59" s="24">
        <v>3.5848532938271545</v>
      </c>
      <c r="BA59" s="24">
        <v>380.81220334757757</v>
      </c>
      <c r="BB59" s="24">
        <v>0.95360821485519409</v>
      </c>
      <c r="BC59" s="24">
        <v>27.301700752883278</v>
      </c>
      <c r="BD59" s="24">
        <v>24.863061927888879</v>
      </c>
      <c r="BE59" s="24">
        <v>34.418899536132813</v>
      </c>
      <c r="BF59" s="24">
        <v>0.70615494251251221</v>
      </c>
      <c r="BG59" s="24">
        <v>0.75533284536777079</v>
      </c>
      <c r="BH59" s="24">
        <v>3.4745501155555494</v>
      </c>
      <c r="BI59" s="24">
        <v>367.10880024289088</v>
      </c>
      <c r="BJ59" s="24">
        <v>0.9587673544883728</v>
      </c>
      <c r="BK59" s="24">
        <v>27.326382815932554</v>
      </c>
      <c r="BL59" s="24">
        <v>26.548684888129689</v>
      </c>
      <c r="BM59" s="24">
        <v>38.278907775878906</v>
      </c>
      <c r="BN59" s="24">
        <v>0.74202239513397217</v>
      </c>
      <c r="BO59" s="24">
        <v>0.73029539713939484</v>
      </c>
      <c r="BP59" s="24">
        <v>3.3642469372839439</v>
      </c>
      <c r="BQ59" s="24">
        <v>353.54969605632328</v>
      </c>
      <c r="BR59" s="24">
        <v>0.96393299102783203</v>
      </c>
      <c r="BS59" s="24">
        <v>27.351064878981834</v>
      </c>
      <c r="BT59" s="24">
        <v>27.975812797124025</v>
      </c>
      <c r="BU59" s="24">
        <v>42.175910949707031</v>
      </c>
      <c r="BV59" s="24">
        <v>0.77142608165740967</v>
      </c>
      <c r="BW59" s="24">
        <v>0.70538278672706478</v>
      </c>
      <c r="BX59" s="24">
        <v>3.2539437590123392</v>
      </c>
      <c r="BY59" s="24">
        <v>340.13285371803852</v>
      </c>
      <c r="BZ59" s="24">
        <v>0.96910518407821655</v>
      </c>
      <c r="CA59" s="24">
        <v>27.375746942031114</v>
      </c>
      <c r="CB59" s="24">
        <v>29.183233845717876</v>
      </c>
      <c r="CC59" s="24">
        <v>46.093902587890625</v>
      </c>
      <c r="CD59" s="24">
        <v>0.82275068759918213</v>
      </c>
      <c r="CE59" s="24">
        <v>0.68058551086134389</v>
      </c>
      <c r="CF59" s="24">
        <v>3.1436405807407346</v>
      </c>
      <c r="CG59" s="24">
        <v>326.85627412764615</v>
      </c>
      <c r="CH59" s="24">
        <v>0.97428387403488159</v>
      </c>
      <c r="CI59" s="24">
        <v>27.400429005080394</v>
      </c>
      <c r="CJ59" s="24">
        <v>30.210267979661886</v>
      </c>
      <c r="CK59" s="24">
        <v>50.019893646240234</v>
      </c>
      <c r="CL59" s="24">
        <v>0.85967707633972168</v>
      </c>
    </row>
    <row r="60" spans="2:90">
      <c r="B60" s="24">
        <f t="shared" si="15"/>
        <v>0.75</v>
      </c>
      <c r="C60" s="24">
        <v>0.96149047515584185</v>
      </c>
      <c r="D60" s="24">
        <v>4.3569755417283895</v>
      </c>
      <c r="E60" s="24">
        <v>377.98300397428733</v>
      </c>
      <c r="F60" s="24">
        <v>1.1676758527755737</v>
      </c>
      <c r="G60" s="24">
        <v>27.128926311538322</v>
      </c>
      <c r="H60" s="24">
        <v>7.7663932450111854</v>
      </c>
      <c r="I60" s="24">
        <v>11.669894218444824</v>
      </c>
      <c r="J60" s="24">
        <v>1.5059053897857666</v>
      </c>
      <c r="K60" s="24">
        <v>0.9350271579258348</v>
      </c>
      <c r="L60" s="24">
        <v>4.2466723634567849</v>
      </c>
      <c r="M60" s="24">
        <v>366.807395177513</v>
      </c>
      <c r="N60" s="24">
        <v>1.1727895736694336</v>
      </c>
      <c r="O60" s="24">
        <v>27.153608374587602</v>
      </c>
      <c r="P60" s="24">
        <v>11.157503714995112</v>
      </c>
      <c r="Q60" s="24">
        <v>15.070896148681641</v>
      </c>
      <c r="R60" s="24">
        <v>1.0168135166168213</v>
      </c>
      <c r="S60" s="24">
        <v>0.92625849907946878</v>
      </c>
      <c r="T60" s="24">
        <v>4.2099046373662494</v>
      </c>
      <c r="U60" s="24">
        <v>363.10337520749829</v>
      </c>
      <c r="V60" s="24">
        <v>1.1744956970214844</v>
      </c>
      <c r="W60" s="24">
        <v>27.161835728937362</v>
      </c>
      <c r="X60" s="24">
        <v>14.358728149266742</v>
      </c>
      <c r="Y60" s="24">
        <v>18.591899871826172</v>
      </c>
      <c r="Z60" s="24">
        <v>0.84696048498153687</v>
      </c>
      <c r="AA60" s="24">
        <v>0.90009528567253816</v>
      </c>
      <c r="AB60" s="24">
        <v>4.0996014590946448</v>
      </c>
      <c r="AC60" s="24">
        <v>352.05431411258172</v>
      </c>
      <c r="AD60" s="24">
        <v>1.1796181201934814</v>
      </c>
      <c r="AE60" s="24">
        <v>27.186517791986642</v>
      </c>
      <c r="AF60" s="24">
        <v>17.209402842222815</v>
      </c>
      <c r="AG60" s="24">
        <v>22.077909469604492</v>
      </c>
      <c r="AH60" s="24">
        <v>0.73568296432495117</v>
      </c>
      <c r="AI60" s="24">
        <v>0.88277000942486328</v>
      </c>
      <c r="AJ60" s="24">
        <v>4.0260660069135747</v>
      </c>
      <c r="AK60" s="24">
        <v>344.74038381264415</v>
      </c>
      <c r="AL60" s="24">
        <v>1.1830365657806396</v>
      </c>
      <c r="AM60" s="24">
        <v>27.202972500686162</v>
      </c>
      <c r="AN60" s="24">
        <v>19.832431206387259</v>
      </c>
      <c r="AO60" s="24">
        <v>25.675897598266602</v>
      </c>
      <c r="AP60" s="24">
        <v>0.70317947864532471</v>
      </c>
      <c r="AQ60" s="24">
        <v>0.86123438120389528</v>
      </c>
      <c r="AR60" s="24">
        <v>3.9341466916872374</v>
      </c>
      <c r="AS60" s="24">
        <v>335.65605439167729</v>
      </c>
      <c r="AT60" s="24">
        <v>1.1873137950897217</v>
      </c>
      <c r="AU60" s="24">
        <v>27.22354088656056</v>
      </c>
      <c r="AV60" s="24">
        <v>22.147625747744129</v>
      </c>
      <c r="AW60" s="24">
        <v>29.30589485168457</v>
      </c>
      <c r="AX60" s="24">
        <v>0.67221969366073608</v>
      </c>
      <c r="AY60" s="24">
        <v>0.83556021839417494</v>
      </c>
      <c r="AZ60" s="24">
        <v>3.823843513415631</v>
      </c>
      <c r="BA60" s="24">
        <v>324.83926512792419</v>
      </c>
      <c r="BB60" s="24">
        <v>1.1924523115158081</v>
      </c>
      <c r="BC60" s="24">
        <v>27.24822294960984</v>
      </c>
      <c r="BD60" s="24">
        <v>24.149756021715664</v>
      </c>
      <c r="BE60" s="24">
        <v>32.950897216796875</v>
      </c>
      <c r="BF60" s="24">
        <v>0.6612926721572876</v>
      </c>
      <c r="BG60" s="24">
        <v>0.81005754905946747</v>
      </c>
      <c r="BH60" s="24">
        <v>3.7135403351440273</v>
      </c>
      <c r="BI60" s="24">
        <v>314.11359938586668</v>
      </c>
      <c r="BJ60" s="24">
        <v>1.1975973844528198</v>
      </c>
      <c r="BK60" s="24">
        <v>27.272905012659116</v>
      </c>
      <c r="BL60" s="24">
        <v>25.87729415442243</v>
      </c>
      <c r="BM60" s="24">
        <v>36.647907257080078</v>
      </c>
      <c r="BN60" s="24">
        <v>0.67701292037963867</v>
      </c>
      <c r="BO60" s="24">
        <v>0.78050523759319224</v>
      </c>
      <c r="BP60" s="24">
        <v>3.5848532938271545</v>
      </c>
      <c r="BQ60" s="24">
        <v>301.71416208551386</v>
      </c>
      <c r="BR60" s="24">
        <v>1.2036081552505493</v>
      </c>
      <c r="BS60" s="24">
        <v>27.301700752883278</v>
      </c>
      <c r="BT60" s="24">
        <v>27.32849846271046</v>
      </c>
      <c r="BU60" s="24">
        <v>40.319908142089844</v>
      </c>
      <c r="BV60" s="24">
        <v>0.69801163673400879</v>
      </c>
      <c r="BW60" s="24">
        <v>0.75533284536777079</v>
      </c>
      <c r="BX60" s="24">
        <v>3.4745501155555494</v>
      </c>
      <c r="BY60" s="24">
        <v>291.18252620275626</v>
      </c>
      <c r="BZ60" s="24">
        <v>1.208767294883728</v>
      </c>
      <c r="CA60" s="24">
        <v>27.326382815932554</v>
      </c>
      <c r="CB60" s="24">
        <v>28.588563041605479</v>
      </c>
      <c r="CC60" s="24">
        <v>44.086887359619141</v>
      </c>
      <c r="CD60" s="24">
        <v>0.73377734422683716</v>
      </c>
      <c r="CE60" s="24">
        <v>0.72613518415210365</v>
      </c>
      <c r="CF60" s="24">
        <v>3.3458630742386766</v>
      </c>
      <c r="CG60" s="24">
        <v>279.00678828850653</v>
      </c>
      <c r="CH60" s="24">
        <v>1.2147945165634155</v>
      </c>
      <c r="CI60" s="24">
        <v>27.355178556156716</v>
      </c>
      <c r="CJ60" s="24">
        <v>29.641203234804721</v>
      </c>
      <c r="CK60" s="24">
        <v>47.780902862548828</v>
      </c>
      <c r="CL60" s="24">
        <v>0.76453220844268799</v>
      </c>
    </row>
    <row r="61" spans="2:90">
      <c r="B61" s="24">
        <f t="shared" si="15"/>
        <v>1</v>
      </c>
      <c r="C61" s="24">
        <v>0.97036423983484033</v>
      </c>
      <c r="D61" s="24">
        <v>4.3937432678189241</v>
      </c>
      <c r="E61" s="24">
        <v>314.33247271099822</v>
      </c>
      <c r="F61" s="24">
        <v>1.4159727096557617</v>
      </c>
      <c r="G61" s="24">
        <v>27.120698957188566</v>
      </c>
      <c r="H61" s="24">
        <v>7.3093192799532529</v>
      </c>
      <c r="I61" s="24">
        <v>11.231893539428711</v>
      </c>
      <c r="J61" s="24">
        <v>1.3754351139068604</v>
      </c>
      <c r="K61" s="24">
        <v>0.97036423983484033</v>
      </c>
      <c r="L61" s="24">
        <v>4.3937432678189241</v>
      </c>
      <c r="M61" s="24">
        <v>314.33247271099822</v>
      </c>
      <c r="N61" s="24">
        <v>1.4159727096557617</v>
      </c>
      <c r="O61" s="24">
        <v>27.120698957188566</v>
      </c>
      <c r="P61" s="24">
        <v>10.637710246614434</v>
      </c>
      <c r="Q61" s="24">
        <v>14.515898704528809</v>
      </c>
      <c r="R61" s="24">
        <v>1.0040018558502197</v>
      </c>
      <c r="S61" s="24">
        <v>0.9526434727739147</v>
      </c>
      <c r="T61" s="24">
        <v>4.3202078156378549</v>
      </c>
      <c r="U61" s="24">
        <v>308.3297899988782</v>
      </c>
      <c r="V61" s="24">
        <v>1.419379711151123</v>
      </c>
      <c r="W61" s="24">
        <v>27.137153665888082</v>
      </c>
      <c r="X61" s="24">
        <v>13.683500532560926</v>
      </c>
      <c r="Y61" s="24">
        <v>17.807895660400391</v>
      </c>
      <c r="Z61" s="24">
        <v>0.8292573094367981</v>
      </c>
      <c r="AA61" s="24">
        <v>0.9350271579258348</v>
      </c>
      <c r="AB61" s="24">
        <v>4.2466723634567849</v>
      </c>
      <c r="AC61" s="24">
        <v>302.35524662418476</v>
      </c>
      <c r="AD61" s="24">
        <v>1.4227895736694336</v>
      </c>
      <c r="AE61" s="24">
        <v>27.153608374587602</v>
      </c>
      <c r="AF61" s="24">
        <v>16.497183706839536</v>
      </c>
      <c r="AG61" s="24">
        <v>21.15690803527832</v>
      </c>
      <c r="AH61" s="24">
        <v>0.7151373028755188</v>
      </c>
      <c r="AI61" s="24">
        <v>0.91751400475159217</v>
      </c>
      <c r="AJ61" s="24">
        <v>4.1731369112757148</v>
      </c>
      <c r="AK61" s="24">
        <v>296.40867626837797</v>
      </c>
      <c r="AL61" s="24">
        <v>1.4262024164199829</v>
      </c>
      <c r="AM61" s="24">
        <v>27.170063083287122</v>
      </c>
      <c r="AN61" s="24">
        <v>19.072768849646387</v>
      </c>
      <c r="AO61" s="24">
        <v>24.571903228759766</v>
      </c>
      <c r="AP61" s="24">
        <v>0.65879029035568237</v>
      </c>
      <c r="AQ61" s="24">
        <v>0.90009528567253816</v>
      </c>
      <c r="AR61" s="24">
        <v>4.0996014590946448</v>
      </c>
      <c r="AS61" s="24">
        <v>290.48991390343446</v>
      </c>
      <c r="AT61" s="24">
        <v>1.4296181201934814</v>
      </c>
      <c r="AU61" s="24">
        <v>27.186517791986642</v>
      </c>
      <c r="AV61" s="24">
        <v>21.399581984681983</v>
      </c>
      <c r="AW61" s="24">
        <v>28.060892105102539</v>
      </c>
      <c r="AX61" s="24">
        <v>0.62564468383789063</v>
      </c>
      <c r="AY61" s="24">
        <v>0.86553062788129864</v>
      </c>
      <c r="AZ61" s="24">
        <v>3.9525305547325047</v>
      </c>
      <c r="BA61" s="24">
        <v>278.73515941183933</v>
      </c>
      <c r="BB61" s="24">
        <v>1.4364579916000366</v>
      </c>
      <c r="BC61" s="24">
        <v>27.219427209385678</v>
      </c>
      <c r="BD61" s="24">
        <v>23.352099586773136</v>
      </c>
      <c r="BE61" s="24">
        <v>31.421895980834961</v>
      </c>
      <c r="BF61" s="24">
        <v>0.60626018047332764</v>
      </c>
      <c r="BG61" s="24">
        <v>0.83982672200577047</v>
      </c>
      <c r="BH61" s="24">
        <v>3.8422273764608992</v>
      </c>
      <c r="BI61" s="24">
        <v>269.99088080142752</v>
      </c>
      <c r="BJ61" s="24">
        <v>1.4415954351425171</v>
      </c>
      <c r="BK61" s="24">
        <v>27.244109272434958</v>
      </c>
      <c r="BL61" s="24">
        <v>25.110997764820219</v>
      </c>
      <c r="BM61" s="24">
        <v>34.925907135009766</v>
      </c>
      <c r="BN61" s="24">
        <v>0.61419028043746948</v>
      </c>
      <c r="BO61" s="24">
        <v>0.81005754905946747</v>
      </c>
      <c r="BP61" s="24">
        <v>3.7135403351440273</v>
      </c>
      <c r="BQ61" s="24">
        <v>259.86619689215428</v>
      </c>
      <c r="BR61" s="24">
        <v>1.4475973844528198</v>
      </c>
      <c r="BS61" s="24">
        <v>27.272905012659116</v>
      </c>
      <c r="BT61" s="24">
        <v>26.60398674148113</v>
      </c>
      <c r="BU61" s="24">
        <v>38.407905578613281</v>
      </c>
      <c r="BV61" s="24">
        <v>0.61988592147827148</v>
      </c>
      <c r="BW61" s="24">
        <v>0.78050523759319224</v>
      </c>
      <c r="BX61" s="24">
        <v>3.5848532938271545</v>
      </c>
      <c r="BY61" s="24">
        <v>249.82360404359667</v>
      </c>
      <c r="BZ61" s="24">
        <v>1.4536081552505493</v>
      </c>
      <c r="CA61" s="24">
        <v>27.301700752883278</v>
      </c>
      <c r="CB61" s="24">
        <v>27.885651764136448</v>
      </c>
      <c r="CC61" s="24">
        <v>41.908905029296875</v>
      </c>
      <c r="CD61" s="24">
        <v>0.63898366689682007</v>
      </c>
      <c r="CE61" s="24">
        <v>0.75533284536777079</v>
      </c>
      <c r="CF61" s="24">
        <v>3.4745501155555494</v>
      </c>
      <c r="CG61" s="24">
        <v>241.28037270859397</v>
      </c>
      <c r="CH61" s="24">
        <v>1.458767294883728</v>
      </c>
      <c r="CI61" s="24">
        <v>27.326382815932554</v>
      </c>
      <c r="CJ61" s="24">
        <v>29.012853515346318</v>
      </c>
      <c r="CK61" s="24">
        <v>45.510894775390625</v>
      </c>
      <c r="CL61" s="24">
        <v>0.66902285814285278</v>
      </c>
    </row>
    <row r="62" spans="2:90">
      <c r="B62" s="24">
        <f t="shared" si="15"/>
        <v>1.25</v>
      </c>
      <c r="C62" s="24">
        <v>1.0061482846650671</v>
      </c>
      <c r="D62" s="24">
        <v>4.5408141721810642</v>
      </c>
      <c r="E62" s="24">
        <v>277.23817239586106</v>
      </c>
      <c r="F62" s="24">
        <v>1.6591671705245972</v>
      </c>
      <c r="G62" s="24">
        <v>27.087789539789526</v>
      </c>
      <c r="H62" s="24">
        <v>6.9875183982648954</v>
      </c>
      <c r="I62" s="24">
        <v>10.915889739990234</v>
      </c>
      <c r="J62" s="24">
        <v>1.3674716949462891</v>
      </c>
      <c r="K62" s="24">
        <v>0.97036423983484033</v>
      </c>
      <c r="L62" s="24">
        <v>4.3937432678189241</v>
      </c>
      <c r="M62" s="24">
        <v>267.16296072798553</v>
      </c>
      <c r="N62" s="24">
        <v>1.6659727096557617</v>
      </c>
      <c r="O62" s="24">
        <v>27.120698957188566</v>
      </c>
      <c r="P62" s="24">
        <v>10.043043947025691</v>
      </c>
      <c r="Q62" s="24">
        <v>13.907899856567383</v>
      </c>
      <c r="R62" s="24">
        <v>0.98979425430297852</v>
      </c>
      <c r="S62" s="24">
        <v>0.97036423983484033</v>
      </c>
      <c r="T62" s="24">
        <v>4.3937432678189241</v>
      </c>
      <c r="U62" s="24">
        <v>267.16296072798553</v>
      </c>
      <c r="V62" s="24">
        <v>1.6659727096557617</v>
      </c>
      <c r="W62" s="24">
        <v>27.120698957188566</v>
      </c>
      <c r="X62" s="24">
        <v>13.045972169140949</v>
      </c>
      <c r="Y62" s="24">
        <v>17.086887359619141</v>
      </c>
      <c r="Z62" s="24">
        <v>0.78222423791885376</v>
      </c>
      <c r="AA62" s="24">
        <v>0.96149047515584185</v>
      </c>
      <c r="AB62" s="24">
        <v>4.3569755417283895</v>
      </c>
      <c r="AC62" s="24">
        <v>264.65672242573061</v>
      </c>
      <c r="AD62" s="24">
        <v>1.6676758527755737</v>
      </c>
      <c r="AE62" s="24">
        <v>27.128926311538322</v>
      </c>
      <c r="AF62" s="24">
        <v>15.822023596561129</v>
      </c>
      <c r="AG62" s="24">
        <v>20.310911178588867</v>
      </c>
      <c r="AH62" s="24">
        <v>0.69716686010360718</v>
      </c>
      <c r="AI62" s="24">
        <v>0.9350271579258348</v>
      </c>
      <c r="AJ62" s="24">
        <v>4.2466723634567849</v>
      </c>
      <c r="AK62" s="24">
        <v>257.167967746334</v>
      </c>
      <c r="AL62" s="24">
        <v>1.6727895736694336</v>
      </c>
      <c r="AM62" s="24">
        <v>27.153608374587602</v>
      </c>
      <c r="AN62" s="24">
        <v>18.283463836037765</v>
      </c>
      <c r="AO62" s="24">
        <v>23.476900100708008</v>
      </c>
      <c r="AP62" s="24">
        <v>0.63411039113998413</v>
      </c>
      <c r="AQ62" s="24">
        <v>0.92625849907946878</v>
      </c>
      <c r="AR62" s="24">
        <v>4.2099046373662494</v>
      </c>
      <c r="AS62" s="24">
        <v>254.68166262450248</v>
      </c>
      <c r="AT62" s="24">
        <v>1.6744956970214844</v>
      </c>
      <c r="AU62" s="24">
        <v>27.161835728937362</v>
      </c>
      <c r="AV62" s="24">
        <v>20.641969018061936</v>
      </c>
      <c r="AW62" s="24">
        <v>26.863897323608398</v>
      </c>
      <c r="AX62" s="24">
        <v>0.59683364629745483</v>
      </c>
      <c r="AY62" s="24">
        <v>0.90009528567253816</v>
      </c>
      <c r="AZ62" s="24">
        <v>4.0996014590946448</v>
      </c>
      <c r="BA62" s="24">
        <v>247.25241836216389</v>
      </c>
      <c r="BB62" s="24">
        <v>1.6796181201934814</v>
      </c>
      <c r="BC62" s="24">
        <v>27.186517791986642</v>
      </c>
      <c r="BD62" s="24">
        <v>22.65137950255405</v>
      </c>
      <c r="BE62" s="24">
        <v>30.151895523071289</v>
      </c>
      <c r="BF62" s="24">
        <v>0.58447259664535522</v>
      </c>
      <c r="BG62" s="24">
        <v>0.86983216116124351</v>
      </c>
      <c r="BH62" s="24">
        <v>3.9709144177777724</v>
      </c>
      <c r="BI62" s="24">
        <v>238.64087933294584</v>
      </c>
      <c r="BJ62" s="24">
        <v>1.6856023073196411</v>
      </c>
      <c r="BK62" s="24">
        <v>27.2153135322108</v>
      </c>
      <c r="BL62" s="24">
        <v>24.397181107732585</v>
      </c>
      <c r="BM62" s="24">
        <v>33.430900573730469</v>
      </c>
      <c r="BN62" s="24">
        <v>0.56428235769271851</v>
      </c>
      <c r="BO62" s="24">
        <v>0.85694312052728805</v>
      </c>
      <c r="BP62" s="24">
        <v>3.9157628286419697</v>
      </c>
      <c r="BQ62" s="24">
        <v>234.96853416191894</v>
      </c>
      <c r="BR62" s="24">
        <v>1.6881697177886963</v>
      </c>
      <c r="BS62" s="24">
        <v>27.227654563735438</v>
      </c>
      <c r="BT62" s="24">
        <v>26.046072576676259</v>
      </c>
      <c r="BU62" s="24">
        <v>37.033916473388672</v>
      </c>
      <c r="BV62" s="24">
        <v>0.59772634506225586</v>
      </c>
      <c r="BW62" s="24">
        <v>0.83129855685865128</v>
      </c>
      <c r="BX62" s="24">
        <v>3.8054596503703642</v>
      </c>
      <c r="BY62" s="24">
        <v>227.65659863099239</v>
      </c>
      <c r="BZ62" s="24">
        <v>1.6933094263076782</v>
      </c>
      <c r="CA62" s="24">
        <v>27.252336626784718</v>
      </c>
      <c r="CB62" s="24">
        <v>27.393800901304974</v>
      </c>
      <c r="CC62" s="24">
        <v>40.497905731201172</v>
      </c>
      <c r="CD62" s="24">
        <v>0.61389875411987305</v>
      </c>
      <c r="CE62" s="24">
        <v>0.80582332616236396</v>
      </c>
      <c r="CF62" s="24">
        <v>3.6951564720987591</v>
      </c>
      <c r="CG62" s="24">
        <v>220.38807453645433</v>
      </c>
      <c r="CH62" s="24">
        <v>1.6984555721282959</v>
      </c>
      <c r="CI62" s="24">
        <v>27.277018689833998</v>
      </c>
      <c r="CJ62" s="24">
        <v>28.558544763160391</v>
      </c>
      <c r="CK62" s="24">
        <v>43.997886657714844</v>
      </c>
      <c r="CL62" s="24">
        <v>0.63977855443954468</v>
      </c>
    </row>
    <row r="63" spans="2:90">
      <c r="B63" s="24">
        <f t="shared" si="15"/>
        <v>1.5</v>
      </c>
      <c r="C63" s="24">
        <v>1.0151685943196853</v>
      </c>
      <c r="D63" s="24">
        <v>4.5775818982715997</v>
      </c>
      <c r="E63" s="24">
        <v>243.10192693075865</v>
      </c>
      <c r="F63" s="24">
        <v>1.9074676036834717</v>
      </c>
      <c r="G63" s="24">
        <v>27.079562185439766</v>
      </c>
      <c r="H63" s="24">
        <v>6.6310471188532407</v>
      </c>
      <c r="I63" s="24">
        <v>10.579891204833984</v>
      </c>
      <c r="J63" s="24">
        <v>1.3588082790374756</v>
      </c>
      <c r="K63" s="24">
        <v>1.0061482846650671</v>
      </c>
      <c r="L63" s="24">
        <v>4.5408141721810642</v>
      </c>
      <c r="M63" s="24">
        <v>240.93462393699346</v>
      </c>
      <c r="N63" s="24">
        <v>1.9091671705245972</v>
      </c>
      <c r="O63" s="24">
        <v>27.087789539789526</v>
      </c>
      <c r="P63" s="24">
        <v>9.6568867723072547</v>
      </c>
      <c r="Q63" s="24">
        <v>13.503896713256836</v>
      </c>
      <c r="R63" s="24">
        <v>1.0361244678497314</v>
      </c>
      <c r="S63" s="24">
        <v>0.99715838392196043</v>
      </c>
      <c r="T63" s="24">
        <v>4.5224303091357969</v>
      </c>
      <c r="U63" s="24">
        <v>239.85238518337505</v>
      </c>
      <c r="V63" s="24">
        <v>1.9100172519683838</v>
      </c>
      <c r="W63" s="24">
        <v>27.091903216964404</v>
      </c>
      <c r="X63" s="24">
        <v>12.544987537518466</v>
      </c>
      <c r="Y63" s="24">
        <v>16.522897720336914</v>
      </c>
      <c r="Z63" s="24">
        <v>0.83540046215057373</v>
      </c>
      <c r="AA63" s="24">
        <v>0.97036423983484033</v>
      </c>
      <c r="AB63" s="24">
        <v>4.3937432678189241</v>
      </c>
      <c r="AC63" s="24">
        <v>232.30299588396784</v>
      </c>
      <c r="AD63" s="24">
        <v>1.9159727096557617</v>
      </c>
      <c r="AE63" s="24">
        <v>27.120698957188566</v>
      </c>
      <c r="AF63" s="24">
        <v>15.114298938137841</v>
      </c>
      <c r="AG63" s="24">
        <v>19.455907821655273</v>
      </c>
      <c r="AH63" s="24">
        <v>0.67964053153991699</v>
      </c>
      <c r="AI63" s="24">
        <v>0.96592396989977802</v>
      </c>
      <c r="AJ63" s="24">
        <v>4.3753594047736568</v>
      </c>
      <c r="AK63" s="24">
        <v>231.2282548351119</v>
      </c>
      <c r="AL63" s="24">
        <v>1.9168242216110229</v>
      </c>
      <c r="AM63" s="24">
        <v>27.124812634363444</v>
      </c>
      <c r="AN63" s="24">
        <v>17.654784408874789</v>
      </c>
      <c r="AO63" s="24">
        <v>22.624904632568359</v>
      </c>
      <c r="AP63" s="24">
        <v>0.63277798891067505</v>
      </c>
      <c r="AQ63" s="24">
        <v>0.9350271579258348</v>
      </c>
      <c r="AR63" s="24">
        <v>4.2466723634567849</v>
      </c>
      <c r="AS63" s="24">
        <v>223.73113678523873</v>
      </c>
      <c r="AT63" s="24">
        <v>1.9227895736694336</v>
      </c>
      <c r="AU63" s="24">
        <v>27.153608374587602</v>
      </c>
      <c r="AV63" s="24">
        <v>19.824379204838952</v>
      </c>
      <c r="AW63" s="24">
        <v>25.638898849487305</v>
      </c>
      <c r="AX63" s="24">
        <v>0.56936883926391602</v>
      </c>
      <c r="AY63" s="24">
        <v>0.9350271579258348</v>
      </c>
      <c r="AZ63" s="24">
        <v>4.2466723634567849</v>
      </c>
      <c r="BA63" s="24">
        <v>223.73113678523873</v>
      </c>
      <c r="BB63" s="24">
        <v>1.9227895736694336</v>
      </c>
      <c r="BC63" s="24">
        <v>27.153608374587602</v>
      </c>
      <c r="BD63" s="24">
        <v>22.015452361812219</v>
      </c>
      <c r="BE63" s="24">
        <v>29.051900863647461</v>
      </c>
      <c r="BF63" s="24">
        <v>0.55836778879165649</v>
      </c>
      <c r="BG63" s="24">
        <v>0.90009528567253816</v>
      </c>
      <c r="BH63" s="24">
        <v>4.0996014590946448</v>
      </c>
      <c r="BI63" s="24">
        <v>215.21856368330893</v>
      </c>
      <c r="BJ63" s="24">
        <v>1.9296181201934814</v>
      </c>
      <c r="BK63" s="24">
        <v>27.186517791986642</v>
      </c>
      <c r="BL63" s="24">
        <v>23.735576559827294</v>
      </c>
      <c r="BM63" s="24">
        <v>32.125892639160156</v>
      </c>
      <c r="BN63" s="24">
        <v>0.54023492336273193</v>
      </c>
      <c r="BO63" s="24">
        <v>0.88709317999510595</v>
      </c>
      <c r="BP63" s="24">
        <v>4.044449869958842</v>
      </c>
      <c r="BQ63" s="24">
        <v>212.04153573733294</v>
      </c>
      <c r="BR63" s="24">
        <v>1.932181715965271</v>
      </c>
      <c r="BS63" s="24">
        <v>27.19885882351128</v>
      </c>
      <c r="BT63" s="24">
        <v>25.413812588551803</v>
      </c>
      <c r="BU63" s="24">
        <v>35.574901580810547</v>
      </c>
      <c r="BV63" s="24">
        <v>0.55792969465255737</v>
      </c>
      <c r="BW63" s="24">
        <v>0.86123438120389528</v>
      </c>
      <c r="BX63" s="24">
        <v>3.9341466916872374</v>
      </c>
      <c r="BY63" s="24">
        <v>205.71218936159852</v>
      </c>
      <c r="BZ63" s="24">
        <v>1.9373137950897217</v>
      </c>
      <c r="CA63" s="24">
        <v>27.22354088656056</v>
      </c>
      <c r="CB63" s="24">
        <v>26.794899261061712</v>
      </c>
      <c r="CC63" s="24">
        <v>38.888904571533203</v>
      </c>
      <c r="CD63" s="24">
        <v>0.5688401460647583</v>
      </c>
      <c r="CE63" s="24">
        <v>0.83556021839417494</v>
      </c>
      <c r="CF63" s="24">
        <v>3.823843513415631</v>
      </c>
      <c r="CG63" s="24">
        <v>199.41562333236303</v>
      </c>
      <c r="CH63" s="24">
        <v>1.9424523115158081</v>
      </c>
      <c r="CI63" s="24">
        <v>27.24822294960984</v>
      </c>
      <c r="CJ63" s="24">
        <v>27.997217833681415</v>
      </c>
      <c r="CK63" s="24">
        <v>42.244899749755859</v>
      </c>
      <c r="CL63" s="24">
        <v>0.59005242586135864</v>
      </c>
    </row>
    <row r="64" spans="2:90">
      <c r="B64" s="24">
        <f t="shared" si="15"/>
        <v>1.75</v>
      </c>
      <c r="C64" s="24">
        <v>1.0378619718996447</v>
      </c>
      <c r="D64" s="24">
        <v>4.6878850765432043</v>
      </c>
      <c r="E64" s="24">
        <v>220.63217388446117</v>
      </c>
      <c r="F64" s="24">
        <v>2.1523730754852295</v>
      </c>
      <c r="G64" s="24">
        <v>27.054880122390486</v>
      </c>
      <c r="H64" s="24">
        <v>6.3659173871358563</v>
      </c>
      <c r="I64" s="24">
        <v>10.324885368347168</v>
      </c>
      <c r="J64" s="24">
        <v>1.352388858795166</v>
      </c>
      <c r="K64" s="24">
        <v>1.0151685943196853</v>
      </c>
      <c r="L64" s="24">
        <v>4.595965761316867</v>
      </c>
      <c r="M64" s="24">
        <v>215.88028948876743</v>
      </c>
      <c r="N64" s="24">
        <v>2.1566181182861328</v>
      </c>
      <c r="O64" s="24">
        <v>27.075448508264884</v>
      </c>
      <c r="P64" s="24">
        <v>9.2291198092492586</v>
      </c>
      <c r="Q64" s="24">
        <v>13.071900367736816</v>
      </c>
      <c r="R64" s="24">
        <v>0.97148507833480835</v>
      </c>
      <c r="S64" s="24">
        <v>1.010654589715664</v>
      </c>
      <c r="T64" s="24">
        <v>4.5775818982715997</v>
      </c>
      <c r="U64" s="24">
        <v>214.93210317080133</v>
      </c>
      <c r="V64" s="24">
        <v>2.1574676036834717</v>
      </c>
      <c r="W64" s="24">
        <v>27.079562185439766</v>
      </c>
      <c r="X64" s="24">
        <v>12.012702413054702</v>
      </c>
      <c r="Y64" s="24">
        <v>15.941897392272949</v>
      </c>
      <c r="Z64" s="24">
        <v>0.79006153345108032</v>
      </c>
      <c r="AA64" s="24">
        <v>1.0016495814886457</v>
      </c>
      <c r="AB64" s="24">
        <v>4.5408141721810642</v>
      </c>
      <c r="AC64" s="24">
        <v>213.03791605495607</v>
      </c>
      <c r="AD64" s="24">
        <v>2.1591672897338867</v>
      </c>
      <c r="AE64" s="24">
        <v>27.087789539789526</v>
      </c>
      <c r="AF64" s="24">
        <v>14.630182957449451</v>
      </c>
      <c r="AG64" s="24">
        <v>18.869909286499023</v>
      </c>
      <c r="AH64" s="24">
        <v>0.69021743535995483</v>
      </c>
      <c r="AI64" s="24">
        <v>0.97481170702151654</v>
      </c>
      <c r="AJ64" s="24">
        <v>4.4305109939094596</v>
      </c>
      <c r="AK64" s="24">
        <v>207.37279367321037</v>
      </c>
      <c r="AL64" s="24">
        <v>2.1642701625823975</v>
      </c>
      <c r="AM64" s="24">
        <v>27.112471602838802</v>
      </c>
      <c r="AN64" s="24">
        <v>16.972503872187016</v>
      </c>
      <c r="AO64" s="24">
        <v>21.735906600952148</v>
      </c>
      <c r="AP64" s="24">
        <v>0.59897595643997192</v>
      </c>
      <c r="AQ64" s="24">
        <v>0.97036423983484033</v>
      </c>
      <c r="AR64" s="24">
        <v>4.3937432678189241</v>
      </c>
      <c r="AS64" s="24">
        <v>205.49021584636603</v>
      </c>
      <c r="AT64" s="24">
        <v>2.1659727096557617</v>
      </c>
      <c r="AU64" s="24">
        <v>27.120698957188566</v>
      </c>
      <c r="AV64" s="24">
        <v>19.259437531263917</v>
      </c>
      <c r="AW64" s="24">
        <v>24.809900283813477</v>
      </c>
      <c r="AX64" s="24">
        <v>0.5648643970489502</v>
      </c>
      <c r="AY64" s="24">
        <v>0.95706367068518905</v>
      </c>
      <c r="AZ64" s="24">
        <v>4.3385916786831222</v>
      </c>
      <c r="BA64" s="24">
        <v>202.67176598953819</v>
      </c>
      <c r="BB64" s="24">
        <v>2.1685276031494141</v>
      </c>
      <c r="BC64" s="24">
        <v>27.133039988713204</v>
      </c>
      <c r="BD64" s="24">
        <v>21.337998165100633</v>
      </c>
      <c r="BE64" s="24">
        <v>27.936893463134766</v>
      </c>
      <c r="BF64" s="24">
        <v>0.54334259033203125</v>
      </c>
      <c r="BG64" s="24">
        <v>0.9350271579258348</v>
      </c>
      <c r="BH64" s="24">
        <v>4.2466723634567849</v>
      </c>
      <c r="BI64" s="24">
        <v>197.98875319523759</v>
      </c>
      <c r="BJ64" s="24">
        <v>2.1727895736694336</v>
      </c>
      <c r="BK64" s="24">
        <v>27.153608374587602</v>
      </c>
      <c r="BL64" s="24">
        <v>23.15925681029055</v>
      </c>
      <c r="BM64" s="24">
        <v>31.041893005371094</v>
      </c>
      <c r="BN64" s="24">
        <v>0.53176486492156982</v>
      </c>
      <c r="BO64" s="24">
        <v>0.90009528567253816</v>
      </c>
      <c r="BP64" s="24">
        <v>4.0996014590946448</v>
      </c>
      <c r="BQ64" s="24">
        <v>190.53321084389302</v>
      </c>
      <c r="BR64" s="24">
        <v>2.1796181201934814</v>
      </c>
      <c r="BS64" s="24">
        <v>27.186517791986642</v>
      </c>
      <c r="BT64" s="24">
        <v>24.682776777610858</v>
      </c>
      <c r="BU64" s="24">
        <v>34.00390625</v>
      </c>
      <c r="BV64" s="24">
        <v>0.51771485805511475</v>
      </c>
      <c r="BW64" s="24">
        <v>0.8914217378213154</v>
      </c>
      <c r="BX64" s="24">
        <v>4.0628337330041093</v>
      </c>
      <c r="BY64" s="24">
        <v>188.67646338893354</v>
      </c>
      <c r="BZ64" s="24">
        <v>2.1813268661499023</v>
      </c>
      <c r="CA64" s="24">
        <v>27.194745146336402</v>
      </c>
      <c r="CB64" s="24">
        <v>26.229512931223738</v>
      </c>
      <c r="CC64" s="24">
        <v>37.467910766601562</v>
      </c>
      <c r="CD64" s="24">
        <v>0.54490840435028076</v>
      </c>
      <c r="CE64" s="24">
        <v>0.86553062788129864</v>
      </c>
      <c r="CF64" s="24">
        <v>3.9525305547325047</v>
      </c>
      <c r="CG64" s="24">
        <v>183.12327430981335</v>
      </c>
      <c r="CH64" s="24">
        <v>2.1864578723907471</v>
      </c>
      <c r="CI64" s="24">
        <v>27.219427209385678</v>
      </c>
      <c r="CJ64" s="24">
        <v>27.463685722578635</v>
      </c>
      <c r="CK64" s="24">
        <v>40.692901611328125</v>
      </c>
      <c r="CL64" s="24">
        <v>0.55476701259613037</v>
      </c>
    </row>
    <row r="65" spans="2:90">
      <c r="B65" s="24">
        <f t="shared" si="15"/>
        <v>2</v>
      </c>
      <c r="C65" s="24">
        <v>1.0469969420262586</v>
      </c>
      <c r="D65" s="24">
        <v>4.7246528026337389</v>
      </c>
      <c r="E65" s="24">
        <v>199.36353493117889</v>
      </c>
      <c r="F65" s="24">
        <v>2.4006764888763428</v>
      </c>
      <c r="G65" s="24">
        <v>27.046652768040726</v>
      </c>
      <c r="H65" s="24">
        <v>6.0790786426549008</v>
      </c>
      <c r="I65" s="24">
        <v>10.057882308959961</v>
      </c>
      <c r="J65" s="24">
        <v>1.4624258279800415</v>
      </c>
      <c r="K65" s="24">
        <v>1.0333070166167508</v>
      </c>
      <c r="L65" s="24">
        <v>4.669501213497937</v>
      </c>
      <c r="M65" s="24">
        <v>196.82764364218164</v>
      </c>
      <c r="N65" s="24">
        <v>2.4032218456268311</v>
      </c>
      <c r="O65" s="24">
        <v>27.058993799565368</v>
      </c>
      <c r="P65" s="24">
        <v>8.8622843062308654</v>
      </c>
      <c r="Q65" s="24">
        <v>12.702899932861328</v>
      </c>
      <c r="R65" s="24">
        <v>1.0179022550582886</v>
      </c>
      <c r="S65" s="24">
        <v>1.0151685943196853</v>
      </c>
      <c r="T65" s="24">
        <v>4.595965761316867</v>
      </c>
      <c r="U65" s="24">
        <v>193.45459875867454</v>
      </c>
      <c r="V65" s="24">
        <v>2.4066181182861328</v>
      </c>
      <c r="W65" s="24">
        <v>27.075448508264884</v>
      </c>
      <c r="X65" s="24">
        <v>11.485110739279964</v>
      </c>
      <c r="Y65" s="24">
        <v>15.378893852233887</v>
      </c>
      <c r="Z65" s="24">
        <v>0.77880126237869263</v>
      </c>
      <c r="AA65" s="24">
        <v>1.0151685943196853</v>
      </c>
      <c r="AB65" s="24">
        <v>4.595965761316867</v>
      </c>
      <c r="AC65" s="24">
        <v>193.45459875867454</v>
      </c>
      <c r="AD65" s="24">
        <v>2.4066181182861328</v>
      </c>
      <c r="AE65" s="24">
        <v>27.075448508264884</v>
      </c>
      <c r="AF65" s="24">
        <v>14.068320360442582</v>
      </c>
      <c r="AG65" s="24">
        <v>18.214902877807617</v>
      </c>
      <c r="AH65" s="24">
        <v>0.67756617069244385</v>
      </c>
      <c r="AI65" s="24">
        <v>1.0061482846650671</v>
      </c>
      <c r="AJ65" s="24">
        <v>4.5591980352263315</v>
      </c>
      <c r="AK65" s="24">
        <v>191.77155863590681</v>
      </c>
      <c r="AL65" s="24">
        <v>2.4083173274993896</v>
      </c>
      <c r="AM65" s="24">
        <v>27.083675862614644</v>
      </c>
      <c r="AN65" s="24">
        <v>16.466644314939447</v>
      </c>
      <c r="AO65" s="24">
        <v>21.082904815673828</v>
      </c>
      <c r="AP65" s="24">
        <v>0.61878794431686401</v>
      </c>
      <c r="AQ65" s="24">
        <v>0.9881981274902838</v>
      </c>
      <c r="AR65" s="24">
        <v>4.4856625830452614</v>
      </c>
      <c r="AS65" s="24">
        <v>188.4124258510592</v>
      </c>
      <c r="AT65" s="24">
        <v>2.4117178916931152</v>
      </c>
      <c r="AU65" s="24">
        <v>27.100130571314164</v>
      </c>
      <c r="AV65" s="24">
        <v>18.653579799869604</v>
      </c>
      <c r="AW65" s="24">
        <v>23.95390510559082</v>
      </c>
      <c r="AX65" s="24">
        <v>0.56029069423675537</v>
      </c>
      <c r="AY65" s="24">
        <v>0.97036423983484033</v>
      </c>
      <c r="AZ65" s="24">
        <v>4.4121271308641923</v>
      </c>
      <c r="BA65" s="24">
        <v>185.06253351860343</v>
      </c>
      <c r="BB65" s="24">
        <v>2.41512131690979</v>
      </c>
      <c r="BC65" s="24">
        <v>27.116585280013684</v>
      </c>
      <c r="BD65" s="24">
        <v>20.675357586858194</v>
      </c>
      <c r="BE65" s="24">
        <v>26.892892837524414</v>
      </c>
      <c r="BF65" s="24">
        <v>0.53111845254898071</v>
      </c>
      <c r="BG65" s="24">
        <v>0.95706367068518905</v>
      </c>
      <c r="BH65" s="24">
        <v>4.3569755417283895</v>
      </c>
      <c r="BI65" s="24">
        <v>182.55616188655682</v>
      </c>
      <c r="BJ65" s="24">
        <v>2.4176757335662842</v>
      </c>
      <c r="BK65" s="24">
        <v>27.128926311538322</v>
      </c>
      <c r="BL65" s="24">
        <v>22.561262762077035</v>
      </c>
      <c r="BM65" s="24">
        <v>29.969894409179687</v>
      </c>
      <c r="BN65" s="24">
        <v>0.51600450277328491</v>
      </c>
      <c r="BO65" s="24">
        <v>0.9350271579258348</v>
      </c>
      <c r="BP65" s="24">
        <v>4.2466723634567849</v>
      </c>
      <c r="BQ65" s="24">
        <v>177.55891990635072</v>
      </c>
      <c r="BR65" s="24">
        <v>2.4227895736694336</v>
      </c>
      <c r="BS65" s="24">
        <v>27.153608374587602</v>
      </c>
      <c r="BT65" s="24">
        <v>24.163960640590251</v>
      </c>
      <c r="BU65" s="24">
        <v>32.943897247314453</v>
      </c>
      <c r="BV65" s="24">
        <v>0.50043946504592896</v>
      </c>
      <c r="BW65" s="24">
        <v>0.90009528567253816</v>
      </c>
      <c r="BX65" s="24">
        <v>4.0996014590946448</v>
      </c>
      <c r="BY65" s="24">
        <v>170.92794718050132</v>
      </c>
      <c r="BZ65" s="24">
        <v>2.4296181201934814</v>
      </c>
      <c r="CA65" s="24">
        <v>27.186517791986642</v>
      </c>
      <c r="CB65" s="24">
        <v>25.517690262902089</v>
      </c>
      <c r="CC65" s="24">
        <v>35.803901672363281</v>
      </c>
      <c r="CD65" s="24">
        <v>0.49663683772087097</v>
      </c>
      <c r="CE65" s="24">
        <v>0.8914217378213154</v>
      </c>
      <c r="CF65" s="24">
        <v>4.0628337330041093</v>
      </c>
      <c r="CG65" s="24">
        <v>169.27589878519683</v>
      </c>
      <c r="CH65" s="24">
        <v>2.4313268661499023</v>
      </c>
      <c r="CI65" s="24">
        <v>27.194745146336402</v>
      </c>
      <c r="CJ65" s="24">
        <v>26.92348788069388</v>
      </c>
      <c r="CK65" s="24">
        <v>39.221900939941406</v>
      </c>
      <c r="CL65" s="24">
        <v>0.5231403112411499</v>
      </c>
    </row>
    <row r="66" spans="2:90">
      <c r="B66" s="24">
        <f t="shared" si="15"/>
        <v>2.25</v>
      </c>
      <c r="C66" s="24">
        <v>1.0561660509861999</v>
      </c>
      <c r="D66" s="24">
        <v>4.7614205287242743</v>
      </c>
      <c r="E66" s="24">
        <v>182.08209734044536</v>
      </c>
      <c r="F66" s="24">
        <v>2.6489803791046143</v>
      </c>
      <c r="G66" s="24">
        <v>27.038425413690966</v>
      </c>
      <c r="H66" s="24">
        <v>5.8209448374991668</v>
      </c>
      <c r="I66" s="24">
        <v>9.8188877105712891</v>
      </c>
      <c r="J66" s="24">
        <v>1.4561749696731567</v>
      </c>
      <c r="K66" s="24">
        <v>1.0469969420262586</v>
      </c>
      <c r="L66" s="24">
        <v>4.7246528026337389</v>
      </c>
      <c r="M66" s="24">
        <v>180.56045351771101</v>
      </c>
      <c r="N66" s="24">
        <v>2.6506764888763428</v>
      </c>
      <c r="O66" s="24">
        <v>27.046652768040726</v>
      </c>
      <c r="P66" s="24">
        <v>8.5146320754880165</v>
      </c>
      <c r="Q66" s="24">
        <v>12.357898712158203</v>
      </c>
      <c r="R66" s="24">
        <v>1.0102332830429077</v>
      </c>
      <c r="S66" s="24">
        <v>1.0378619718996447</v>
      </c>
      <c r="T66" s="24">
        <v>4.6878850765432043</v>
      </c>
      <c r="U66" s="24">
        <v>179.04070753709124</v>
      </c>
      <c r="V66" s="24">
        <v>2.6523730754852295</v>
      </c>
      <c r="W66" s="24">
        <v>27.054880122390486</v>
      </c>
      <c r="X66" s="24">
        <v>11.093789168515833</v>
      </c>
      <c r="Y66" s="24">
        <v>14.958893775939941</v>
      </c>
      <c r="Z66" s="24">
        <v>0.80312782526016235</v>
      </c>
      <c r="AA66" s="24">
        <v>1.0151685943196853</v>
      </c>
      <c r="AB66" s="24">
        <v>4.595965761316867</v>
      </c>
      <c r="AC66" s="24">
        <v>175.24962967610304</v>
      </c>
      <c r="AD66" s="24">
        <v>2.6566181182861328</v>
      </c>
      <c r="AE66" s="24">
        <v>27.075448508264884</v>
      </c>
      <c r="AF66" s="24">
        <v>13.473226615155902</v>
      </c>
      <c r="AG66" s="24">
        <v>17.540901184082031</v>
      </c>
      <c r="AH66" s="24">
        <v>0.66487693786621094</v>
      </c>
      <c r="AI66" s="24">
        <v>1.0151685943196853</v>
      </c>
      <c r="AJ66" s="24">
        <v>4.595965761316867</v>
      </c>
      <c r="AK66" s="24">
        <v>175.24962967610304</v>
      </c>
      <c r="AL66" s="24">
        <v>2.6566181182861328</v>
      </c>
      <c r="AM66" s="24">
        <v>27.075448508264884</v>
      </c>
      <c r="AN66" s="24">
        <v>15.861505725373091</v>
      </c>
      <c r="AO66" s="24">
        <v>20.331905364990234</v>
      </c>
      <c r="AP66" s="24">
        <v>0.5886458158493042</v>
      </c>
      <c r="AQ66" s="24">
        <v>1.0061482846650671</v>
      </c>
      <c r="AR66" s="24">
        <v>4.5591980352263315</v>
      </c>
      <c r="AS66" s="24">
        <v>173.73650699432093</v>
      </c>
      <c r="AT66" s="24">
        <v>2.6583173274993896</v>
      </c>
      <c r="AU66" s="24">
        <v>27.083675862614644</v>
      </c>
      <c r="AV66" s="24">
        <v>18.065308025668511</v>
      </c>
      <c r="AW66" s="24">
        <v>23.147895812988281</v>
      </c>
      <c r="AX66" s="24">
        <v>0.54500883817672729</v>
      </c>
      <c r="AY66" s="24">
        <v>0.9881981274902838</v>
      </c>
      <c r="AZ66" s="24">
        <v>4.4856625830452614</v>
      </c>
      <c r="BA66" s="24">
        <v>170.71591996094861</v>
      </c>
      <c r="BB66" s="24">
        <v>2.6617178916931152</v>
      </c>
      <c r="BC66" s="24">
        <v>27.100130571314164</v>
      </c>
      <c r="BD66" s="24">
        <v>20.058922528966967</v>
      </c>
      <c r="BE66" s="24">
        <v>25.956901550292969</v>
      </c>
      <c r="BF66" s="24">
        <v>0.51242232322692871</v>
      </c>
      <c r="BG66" s="24">
        <v>0.97036423983484033</v>
      </c>
      <c r="BH66" s="24">
        <v>4.4121271308641923</v>
      </c>
      <c r="BI66" s="24">
        <v>167.70286127009192</v>
      </c>
      <c r="BJ66" s="24">
        <v>2.66512131690979</v>
      </c>
      <c r="BK66" s="24">
        <v>27.116585280013684</v>
      </c>
      <c r="BL66" s="24">
        <v>21.896843296563173</v>
      </c>
      <c r="BM66" s="24">
        <v>28.837894439697266</v>
      </c>
      <c r="BN66" s="24">
        <v>0.49980804324150085</v>
      </c>
      <c r="BO66" s="24">
        <v>0.95706367068518905</v>
      </c>
      <c r="BP66" s="24">
        <v>4.3569755417283895</v>
      </c>
      <c r="BQ66" s="24">
        <v>165.44799613591653</v>
      </c>
      <c r="BR66" s="24">
        <v>2.6676757335662842</v>
      </c>
      <c r="BS66" s="24">
        <v>27.128926311538322</v>
      </c>
      <c r="BT66" s="24">
        <v>23.612039415723448</v>
      </c>
      <c r="BU66" s="24">
        <v>31.86988639831543</v>
      </c>
      <c r="BV66" s="24">
        <v>0.49043771624565125</v>
      </c>
      <c r="BW66" s="24">
        <v>0.9350271579258348</v>
      </c>
      <c r="BX66" s="24">
        <v>4.2466723634567849</v>
      </c>
      <c r="BY66" s="24">
        <v>160.95090503438735</v>
      </c>
      <c r="BZ66" s="24">
        <v>2.6727895736694336</v>
      </c>
      <c r="CA66" s="24">
        <v>27.153608374587602</v>
      </c>
      <c r="CB66" s="24">
        <v>25.05235601025193</v>
      </c>
      <c r="CC66" s="24">
        <v>34.772911071777344</v>
      </c>
      <c r="CD66" s="24">
        <v>0.48542320728302002</v>
      </c>
      <c r="CE66" s="24">
        <v>0.90009528567253816</v>
      </c>
      <c r="CF66" s="24">
        <v>4.0996014590946448</v>
      </c>
      <c r="CG66" s="24">
        <v>154.98090330967582</v>
      </c>
      <c r="CH66" s="24">
        <v>2.6796181201934814</v>
      </c>
      <c r="CI66" s="24">
        <v>27.186517791986642</v>
      </c>
      <c r="CJ66" s="24">
        <v>26.259277644323781</v>
      </c>
      <c r="CK66" s="24">
        <v>37.538902282714844</v>
      </c>
      <c r="CL66" s="24">
        <v>0.47698628902435303</v>
      </c>
    </row>
    <row r="67" spans="2:90">
      <c r="B67" s="24">
        <f t="shared" si="15"/>
        <v>2.5</v>
      </c>
      <c r="C67" s="24">
        <v>1.0653701930392288</v>
      </c>
      <c r="D67" s="24">
        <v>4.7981882548148089</v>
      </c>
      <c r="E67" s="24">
        <v>167.76273695790755</v>
      </c>
      <c r="F67" s="24">
        <v>2.897284984588623</v>
      </c>
      <c r="G67" s="24">
        <v>27.030198059341206</v>
      </c>
      <c r="H67" s="24">
        <v>5.586540574598164</v>
      </c>
      <c r="I67" s="24">
        <v>9.6028861999511719</v>
      </c>
      <c r="J67" s="24">
        <v>1.4505833387374878</v>
      </c>
      <c r="K67" s="24">
        <v>1.0607636859387208</v>
      </c>
      <c r="L67" s="24">
        <v>4.7798043917695416</v>
      </c>
      <c r="M67" s="24">
        <v>167.07109332530831</v>
      </c>
      <c r="N67" s="24">
        <v>2.8981325626373291</v>
      </c>
      <c r="O67" s="24">
        <v>27.034311736516088</v>
      </c>
      <c r="P67" s="24">
        <v>8.1989560255708671</v>
      </c>
      <c r="Q67" s="24">
        <v>12.046899795532227</v>
      </c>
      <c r="R67" s="24">
        <v>1.003392219543457</v>
      </c>
      <c r="S67" s="24">
        <v>1.0469969420262586</v>
      </c>
      <c r="T67" s="24">
        <v>4.7246528026337389</v>
      </c>
      <c r="U67" s="24">
        <v>164.99852674618865</v>
      </c>
      <c r="V67" s="24">
        <v>2.9006764888763428</v>
      </c>
      <c r="W67" s="24">
        <v>27.046652768040726</v>
      </c>
      <c r="X67" s="24">
        <v>10.672069459184192</v>
      </c>
      <c r="Y67" s="24">
        <v>14.517894744873047</v>
      </c>
      <c r="Z67" s="24">
        <v>0.79447519779205322</v>
      </c>
      <c r="AA67" s="24">
        <v>1.0424252444681483</v>
      </c>
      <c r="AB67" s="24">
        <v>4.7062689395884725</v>
      </c>
      <c r="AC67" s="24">
        <v>164.30845859173454</v>
      </c>
      <c r="AD67" s="24">
        <v>2.901524543762207</v>
      </c>
      <c r="AE67" s="24">
        <v>27.050766445215608</v>
      </c>
      <c r="AF67" s="24">
        <v>13.083692685604149</v>
      </c>
      <c r="AG67" s="24">
        <v>17.094888687133789</v>
      </c>
      <c r="AH67" s="24">
        <v>0.67901414632797241</v>
      </c>
      <c r="AI67" s="24">
        <v>1.0151685943196853</v>
      </c>
      <c r="AJ67" s="24">
        <v>4.595965761316867</v>
      </c>
      <c r="AK67" s="24">
        <v>160.17630167810526</v>
      </c>
      <c r="AL67" s="24">
        <v>2.9066181182861328</v>
      </c>
      <c r="AM67" s="24">
        <v>27.075448508264884</v>
      </c>
      <c r="AN67" s="24">
        <v>15.238555465915319</v>
      </c>
      <c r="AO67" s="24">
        <v>19.580905914306641</v>
      </c>
      <c r="AP67" s="24">
        <v>0.59086084365844727</v>
      </c>
      <c r="AQ67" s="24">
        <v>1.0151685943196853</v>
      </c>
      <c r="AR67" s="24">
        <v>4.595965761316867</v>
      </c>
      <c r="AS67" s="24">
        <v>160.17630167810526</v>
      </c>
      <c r="AT67" s="24">
        <v>2.9066181182861328</v>
      </c>
      <c r="AU67" s="24">
        <v>27.075448508264884</v>
      </c>
      <c r="AV67" s="24">
        <v>17.455246117282144</v>
      </c>
      <c r="AW67" s="24">
        <v>22.338905334472656</v>
      </c>
      <c r="AX67" s="24">
        <v>0.54240787029266357</v>
      </c>
      <c r="AY67" s="24">
        <v>1.010654589715664</v>
      </c>
      <c r="AZ67" s="24">
        <v>4.5775818982715997</v>
      </c>
      <c r="BA67" s="24">
        <v>159.48898214618634</v>
      </c>
      <c r="BB67" s="24">
        <v>2.9074676036834717</v>
      </c>
      <c r="BC67" s="24">
        <v>27.079562185439766</v>
      </c>
      <c r="BD67" s="24">
        <v>19.521192474151967</v>
      </c>
      <c r="BE67" s="24">
        <v>25.162891387939453</v>
      </c>
      <c r="BF67" s="24">
        <v>0.50724625587463379</v>
      </c>
      <c r="BG67" s="24">
        <v>0.99267459709134576</v>
      </c>
      <c r="BH67" s="24">
        <v>4.5040464460905296</v>
      </c>
      <c r="BI67" s="24">
        <v>156.74361966419244</v>
      </c>
      <c r="BJ67" s="24">
        <v>2.91086745262146</v>
      </c>
      <c r="BK67" s="24">
        <v>27.096016894139286</v>
      </c>
      <c r="BL67" s="24">
        <v>21.344418350602727</v>
      </c>
      <c r="BM67" s="24">
        <v>27.929893493652344</v>
      </c>
      <c r="BN67" s="24">
        <v>0.48974353075027466</v>
      </c>
      <c r="BO67" s="24">
        <v>0.97036423983484033</v>
      </c>
      <c r="BP67" s="24">
        <v>4.4121271308641923</v>
      </c>
      <c r="BQ67" s="24">
        <v>153.32071038030378</v>
      </c>
      <c r="BR67" s="24">
        <v>2.91512131690979</v>
      </c>
      <c r="BS67" s="24">
        <v>27.116585280013684</v>
      </c>
      <c r="BT67" s="24">
        <v>22.981412243699204</v>
      </c>
      <c r="BU67" s="24">
        <v>30.705898284912109</v>
      </c>
      <c r="BV67" s="24">
        <v>0.47914308309555054</v>
      </c>
      <c r="BW67" s="24">
        <v>0.96149047515584185</v>
      </c>
      <c r="BX67" s="24">
        <v>4.3753594047736568</v>
      </c>
      <c r="BY67" s="24">
        <v>151.95427692563362</v>
      </c>
      <c r="BZ67" s="24">
        <v>2.9168241024017334</v>
      </c>
      <c r="CA67" s="24">
        <v>27.124812634363444</v>
      </c>
      <c r="CB67" s="24">
        <v>24.583142507228434</v>
      </c>
      <c r="CC67" s="24">
        <v>33.778900146484375</v>
      </c>
      <c r="CD67" s="24">
        <v>0.48171305656433105</v>
      </c>
      <c r="CE67" s="24">
        <v>0.9350271579258348</v>
      </c>
      <c r="CF67" s="24">
        <v>4.2466723634567849</v>
      </c>
      <c r="CG67" s="24">
        <v>147.1840140469028</v>
      </c>
      <c r="CH67" s="24">
        <v>2.9227895736694336</v>
      </c>
      <c r="CI67" s="24">
        <v>27.153608374587602</v>
      </c>
      <c r="CJ67" s="24">
        <v>25.843368119538631</v>
      </c>
      <c r="CK67" s="24">
        <v>36.541889190673828</v>
      </c>
      <c r="CL67" s="24">
        <v>0.47592681646347046</v>
      </c>
    </row>
    <row r="68" spans="2:90">
      <c r="B68" s="24">
        <f t="shared" si="15"/>
        <v>2.75</v>
      </c>
      <c r="C68" s="24">
        <v>1.0699857189952808</v>
      </c>
      <c r="D68" s="24">
        <v>4.8165721178600762</v>
      </c>
      <c r="E68" s="24">
        <v>155.07021182922841</v>
      </c>
      <c r="F68" s="24">
        <v>3.1464376449584961</v>
      </c>
      <c r="G68" s="24">
        <v>27.026084382166328</v>
      </c>
      <c r="H68" s="24">
        <v>5.3613523560782834</v>
      </c>
      <c r="I68" s="24">
        <v>9.3978815078735352</v>
      </c>
      <c r="J68" s="24">
        <v>1.4453102350234985</v>
      </c>
      <c r="K68" s="24">
        <v>1.0699857189952808</v>
      </c>
      <c r="L68" s="24">
        <v>4.8165721178600762</v>
      </c>
      <c r="M68" s="24">
        <v>155.07021182922841</v>
      </c>
      <c r="N68" s="24">
        <v>3.1464376449584961</v>
      </c>
      <c r="O68" s="24">
        <v>27.026084382166328</v>
      </c>
      <c r="P68" s="24">
        <v>7.8934930343884648</v>
      </c>
      <c r="Q68" s="24">
        <v>11.74990177154541</v>
      </c>
      <c r="R68" s="24">
        <v>1.0568097829818726</v>
      </c>
      <c r="S68" s="24">
        <v>1.0607636859387208</v>
      </c>
      <c r="T68" s="24">
        <v>4.7798043917695416</v>
      </c>
      <c r="U68" s="24">
        <v>153.80361751797682</v>
      </c>
      <c r="V68" s="24">
        <v>3.1481325626373291</v>
      </c>
      <c r="W68" s="24">
        <v>27.034311736516088</v>
      </c>
      <c r="X68" s="24">
        <v>10.307822976904353</v>
      </c>
      <c r="Y68" s="24">
        <v>14.138897895812988</v>
      </c>
      <c r="Z68" s="24">
        <v>0.82174336910247803</v>
      </c>
      <c r="AA68" s="24">
        <v>1.0469969420262586</v>
      </c>
      <c r="AB68" s="24">
        <v>4.7246528026337389</v>
      </c>
      <c r="AC68" s="24">
        <v>151.90621679743865</v>
      </c>
      <c r="AD68" s="24">
        <v>3.1506764888763428</v>
      </c>
      <c r="AE68" s="24">
        <v>27.046652768040726</v>
      </c>
      <c r="AF68" s="24">
        <v>12.597730363258115</v>
      </c>
      <c r="AG68" s="24">
        <v>16.55888557434082</v>
      </c>
      <c r="AH68" s="24">
        <v>0.69239574670791626</v>
      </c>
      <c r="AI68" s="24">
        <v>1.0424252444681483</v>
      </c>
      <c r="AJ68" s="24">
        <v>4.7062689395884725</v>
      </c>
      <c r="AK68" s="24">
        <v>151.27441343945472</v>
      </c>
      <c r="AL68" s="24">
        <v>3.151524543762207</v>
      </c>
      <c r="AM68" s="24">
        <v>27.050766445215608</v>
      </c>
      <c r="AN68" s="24">
        <v>14.841516531943803</v>
      </c>
      <c r="AO68" s="24">
        <v>19.098897933959961</v>
      </c>
      <c r="AP68" s="24">
        <v>0.59897845983505249</v>
      </c>
      <c r="AQ68" s="24">
        <v>1.0151685943196853</v>
      </c>
      <c r="AR68" s="24">
        <v>4.595965761316867</v>
      </c>
      <c r="AS68" s="24">
        <v>147.49054919608156</v>
      </c>
      <c r="AT68" s="24">
        <v>3.1566181182861328</v>
      </c>
      <c r="AU68" s="24">
        <v>27.075448508264884</v>
      </c>
      <c r="AV68" s="24">
        <v>16.817372108351513</v>
      </c>
      <c r="AW68" s="24">
        <v>21.519901275634766</v>
      </c>
      <c r="AX68" s="24">
        <v>0.54022538661956787</v>
      </c>
      <c r="AY68" s="24">
        <v>1.0151685943196853</v>
      </c>
      <c r="AZ68" s="24">
        <v>4.595965761316867</v>
      </c>
      <c r="BA68" s="24">
        <v>147.49054919608156</v>
      </c>
      <c r="BB68" s="24">
        <v>3.1566181182861328</v>
      </c>
      <c r="BC68" s="24">
        <v>27.075448508264884</v>
      </c>
      <c r="BD68" s="24">
        <v>18.879494450827842</v>
      </c>
      <c r="BE68" s="24">
        <v>24.253898620605469</v>
      </c>
      <c r="BF68" s="24">
        <v>0.50026470422744751</v>
      </c>
      <c r="BG68" s="24">
        <v>1.010654589715664</v>
      </c>
      <c r="BH68" s="24">
        <v>4.5775818982715997</v>
      </c>
      <c r="BI68" s="24">
        <v>146.86106296082679</v>
      </c>
      <c r="BJ68" s="24">
        <v>3.1574676036834717</v>
      </c>
      <c r="BK68" s="24">
        <v>27.079562185439766</v>
      </c>
      <c r="BL68" s="24">
        <v>20.792135204622241</v>
      </c>
      <c r="BM68" s="24">
        <v>27.054887771606445</v>
      </c>
      <c r="BN68" s="24">
        <v>0.48105162382125854</v>
      </c>
      <c r="BO68" s="24">
        <v>0.99267459709134576</v>
      </c>
      <c r="BP68" s="24">
        <v>4.5040464460905296</v>
      </c>
      <c r="BQ68" s="24">
        <v>144.34642010459629</v>
      </c>
      <c r="BR68" s="24">
        <v>3.16086745262146</v>
      </c>
      <c r="BS68" s="24">
        <v>27.096016894139286</v>
      </c>
      <c r="BT68" s="24">
        <v>22.460141395783335</v>
      </c>
      <c r="BU68" s="24">
        <v>29.780902862548828</v>
      </c>
      <c r="BV68" s="24">
        <v>0.46732622385025024</v>
      </c>
      <c r="BW68" s="24">
        <v>0.97036423983484033</v>
      </c>
      <c r="BX68" s="24">
        <v>4.4121271308641923</v>
      </c>
      <c r="BY68" s="24">
        <v>141.21053412217847</v>
      </c>
      <c r="BZ68" s="24">
        <v>3.16512131690979</v>
      </c>
      <c r="CA68" s="24">
        <v>27.116585280013684</v>
      </c>
      <c r="CB68" s="24">
        <v>23.949993428128632</v>
      </c>
      <c r="CC68" s="24">
        <v>32.511890411376953</v>
      </c>
      <c r="CD68" s="24">
        <v>0.45406264066696167</v>
      </c>
      <c r="CE68" s="24">
        <v>0.95706367068518905</v>
      </c>
      <c r="CF68" s="24">
        <v>4.3569755417283895</v>
      </c>
      <c r="CG68" s="24">
        <v>139.33295084794855</v>
      </c>
      <c r="CH68" s="24">
        <v>3.1676757335662842</v>
      </c>
      <c r="CI68" s="24">
        <v>27.128926311538322</v>
      </c>
      <c r="CJ68" s="24">
        <v>25.378541842944504</v>
      </c>
      <c r="CK68" s="24">
        <v>35.478908538818359</v>
      </c>
      <c r="CL68" s="24">
        <v>0.46317192912101746</v>
      </c>
    </row>
    <row r="69" spans="2:90">
      <c r="B69" s="24">
        <f t="shared" si="15"/>
        <v>3</v>
      </c>
      <c r="C69" s="24">
        <v>1.0885431822299414</v>
      </c>
      <c r="D69" s="24">
        <v>4.8901075700411463</v>
      </c>
      <c r="E69" s="24">
        <v>145.99487504298017</v>
      </c>
      <c r="F69" s="24">
        <v>3.393049955368042</v>
      </c>
      <c r="G69" s="24">
        <v>27.009629673466808</v>
      </c>
      <c r="H69" s="24">
        <v>5.1910705962301824</v>
      </c>
      <c r="I69" s="24">
        <v>9.2388811111450195</v>
      </c>
      <c r="J69" s="24">
        <v>1.4413329362869263</v>
      </c>
      <c r="K69" s="24">
        <v>1.0699857189952808</v>
      </c>
      <c r="L69" s="24">
        <v>4.8165721178600762</v>
      </c>
      <c r="M69" s="24">
        <v>143.65603122075333</v>
      </c>
      <c r="N69" s="24">
        <v>3.3964376449584961</v>
      </c>
      <c r="O69" s="24">
        <v>27.026084382166328</v>
      </c>
      <c r="P69" s="24">
        <v>7.5789928600523684</v>
      </c>
      <c r="Q69" s="24">
        <v>11.449898719787598</v>
      </c>
      <c r="R69" s="24">
        <v>1.0500234365463257</v>
      </c>
      <c r="S69" s="24">
        <v>1.0607636859387208</v>
      </c>
      <c r="T69" s="24">
        <v>4.7798043917695416</v>
      </c>
      <c r="U69" s="24">
        <v>142.48831328597433</v>
      </c>
      <c r="V69" s="24">
        <v>3.3981325626373291</v>
      </c>
      <c r="W69" s="24">
        <v>27.034311736516088</v>
      </c>
      <c r="X69" s="24">
        <v>9.9066794953347994</v>
      </c>
      <c r="Y69" s="24">
        <v>13.73189640045166</v>
      </c>
      <c r="Z69" s="24">
        <v>0.81366920471191406</v>
      </c>
      <c r="AA69" s="24">
        <v>1.0561660509861999</v>
      </c>
      <c r="AB69" s="24">
        <v>4.7614205287242743</v>
      </c>
      <c r="AC69" s="24">
        <v>141.90487988513294</v>
      </c>
      <c r="AD69" s="24">
        <v>3.3989803791046143</v>
      </c>
      <c r="AE69" s="24">
        <v>27.038425413690966</v>
      </c>
      <c r="AF69" s="24">
        <v>12.174003410209446</v>
      </c>
      <c r="AG69" s="24">
        <v>16.095897674560547</v>
      </c>
      <c r="AH69" s="24">
        <v>0.68404912948608398</v>
      </c>
      <c r="AI69" s="24">
        <v>1.0515771738842021</v>
      </c>
      <c r="AJ69" s="24">
        <v>4.7430366656790071</v>
      </c>
      <c r="AK69" s="24">
        <v>141.32173003260735</v>
      </c>
      <c r="AL69" s="24">
        <v>3.3998281955718994</v>
      </c>
      <c r="AM69" s="24">
        <v>27.042539090865848</v>
      </c>
      <c r="AN69" s="24">
        <v>14.359035921016421</v>
      </c>
      <c r="AO69" s="24">
        <v>18.532903671264648</v>
      </c>
      <c r="AP69" s="24">
        <v>0.60608011484146118</v>
      </c>
      <c r="AQ69" s="24">
        <v>1.0424252444681483</v>
      </c>
      <c r="AR69" s="24">
        <v>4.7062689395884725</v>
      </c>
      <c r="AS69" s="24">
        <v>140.15628048470305</v>
      </c>
      <c r="AT69" s="24">
        <v>3.401524543762207</v>
      </c>
      <c r="AU69" s="24">
        <v>27.050766445215608</v>
      </c>
      <c r="AV69" s="24">
        <v>16.421426853312518</v>
      </c>
      <c r="AW69" s="24">
        <v>21.009910583496094</v>
      </c>
      <c r="AX69" s="24">
        <v>0.54449003934860229</v>
      </c>
      <c r="AY69" s="24">
        <v>1.0378619718996447</v>
      </c>
      <c r="AZ69" s="24">
        <v>4.6878850765432043</v>
      </c>
      <c r="BA69" s="24">
        <v>139.57398054556847</v>
      </c>
      <c r="BB69" s="24">
        <v>3.4023730754852295</v>
      </c>
      <c r="BC69" s="24">
        <v>27.054880122390486</v>
      </c>
      <c r="BD69" s="24">
        <v>18.419330908300253</v>
      </c>
      <c r="BE69" s="24">
        <v>23.610898971557617</v>
      </c>
      <c r="BF69" s="24">
        <v>0.50926977396011353</v>
      </c>
      <c r="BG69" s="24">
        <v>1.0151685943196853</v>
      </c>
      <c r="BH69" s="24">
        <v>4.595965761316867</v>
      </c>
      <c r="BI69" s="24">
        <v>136.66672432815523</v>
      </c>
      <c r="BJ69" s="24">
        <v>3.4066181182861328</v>
      </c>
      <c r="BK69" s="24">
        <v>27.075448508264884</v>
      </c>
      <c r="BL69" s="24">
        <v>20.158663633560675</v>
      </c>
      <c r="BM69" s="24">
        <v>26.092889785766602</v>
      </c>
      <c r="BN69" s="24">
        <v>0.47950166463851929</v>
      </c>
      <c r="BO69" s="24">
        <v>1.010654589715664</v>
      </c>
      <c r="BP69" s="24">
        <v>4.5775818982715997</v>
      </c>
      <c r="BQ69" s="24">
        <v>136.08612092899844</v>
      </c>
      <c r="BR69" s="24">
        <v>3.4074676036834717</v>
      </c>
      <c r="BS69" s="24">
        <v>27.079562185439766</v>
      </c>
      <c r="BT69" s="24">
        <v>21.932054609760105</v>
      </c>
      <c r="BU69" s="24">
        <v>28.879886627197266</v>
      </c>
      <c r="BV69" s="24">
        <v>0.4636203944683075</v>
      </c>
      <c r="BW69" s="24">
        <v>0.99267459709134576</v>
      </c>
      <c r="BX69" s="24">
        <v>4.5040464460905296</v>
      </c>
      <c r="BY69" s="24">
        <v>133.76652943147425</v>
      </c>
      <c r="BZ69" s="24">
        <v>3.41086745262146</v>
      </c>
      <c r="CA69" s="24">
        <v>27.096016894139286</v>
      </c>
      <c r="CB69" s="24">
        <v>23.460724733711352</v>
      </c>
      <c r="CC69" s="24">
        <v>31.573896408081055</v>
      </c>
      <c r="CD69" s="24">
        <v>0.45277303457260132</v>
      </c>
      <c r="CE69" s="24">
        <v>0.97036423983484033</v>
      </c>
      <c r="CF69" s="24">
        <v>4.4121271308641923</v>
      </c>
      <c r="CG69" s="24">
        <v>130.8733806892696</v>
      </c>
      <c r="CH69" s="24">
        <v>3.41512131690979</v>
      </c>
      <c r="CI69" s="24">
        <v>27.116585280013684</v>
      </c>
      <c r="CJ69" s="24">
        <v>24.81816778436248</v>
      </c>
      <c r="CK69" s="24">
        <v>34.264907836914062</v>
      </c>
      <c r="CL69" s="24">
        <v>0.4474794864654541</v>
      </c>
    </row>
    <row r="70" spans="2:90">
      <c r="B70" s="24"/>
      <c r="J70" s="24"/>
      <c r="R70" s="24"/>
      <c r="S70" s="24"/>
    </row>
    <row r="71" spans="2:90">
      <c r="B71" s="24"/>
      <c r="J71" s="24"/>
      <c r="R71" s="24"/>
      <c r="S71" s="24"/>
    </row>
    <row r="72" spans="2:90">
      <c r="B72" s="19" t="s">
        <v>148</v>
      </c>
      <c r="C72" s="26" t="s">
        <v>93</v>
      </c>
      <c r="D72" s="26">
        <v>0.1</v>
      </c>
      <c r="E72" s="31" t="s">
        <v>407</v>
      </c>
      <c r="F72" s="24">
        <v>0.5</v>
      </c>
      <c r="G72" s="24"/>
      <c r="H72" s="24">
        <v>1</v>
      </c>
      <c r="I72" s="24"/>
      <c r="J72" s="24">
        <v>2</v>
      </c>
      <c r="K72" s="24"/>
      <c r="L72" s="24">
        <v>3</v>
      </c>
      <c r="M72" s="24"/>
      <c r="N72" s="19" t="s">
        <v>148</v>
      </c>
      <c r="O72" s="26" t="s">
        <v>93</v>
      </c>
      <c r="P72" s="26">
        <v>0.1</v>
      </c>
      <c r="Q72" s="31" t="s">
        <v>408</v>
      </c>
      <c r="R72" s="24">
        <v>0.5</v>
      </c>
      <c r="S72" s="24"/>
      <c r="T72" s="24">
        <v>1</v>
      </c>
      <c r="U72" s="24"/>
      <c r="V72" s="24">
        <v>2</v>
      </c>
      <c r="W72" s="24"/>
      <c r="X72" s="24">
        <v>3</v>
      </c>
    </row>
    <row r="73" spans="2:90">
      <c r="B73" s="24">
        <v>15</v>
      </c>
      <c r="C73" s="24" t="s">
        <v>156</v>
      </c>
      <c r="D73" s="24">
        <v>737.06626066024114</v>
      </c>
      <c r="E73" s="24">
        <f>100*(D73-$D$78)/$D$78</f>
        <v>22.822923263831626</v>
      </c>
      <c r="F73" s="24">
        <v>463.73526312846775</v>
      </c>
      <c r="G73" s="24">
        <f>100*(F73-$F$78)/$F$78</f>
        <v>16.814404671268672</v>
      </c>
      <c r="H73" s="24">
        <v>314.33247271099822</v>
      </c>
      <c r="I73" s="24">
        <f>100*(H73-$H$78)/$H$78</f>
        <v>8.207706246038402</v>
      </c>
      <c r="J73" s="24">
        <v>199.36353493117889</v>
      </c>
      <c r="K73" s="24">
        <f>100*(J73-$J$78)/$J$78</f>
        <v>5.8123072460075376</v>
      </c>
      <c r="L73" s="24">
        <v>145.99487504298017</v>
      </c>
      <c r="M73" s="24">
        <f>100*(L73-$L$78)/$L$78</f>
        <v>4.1657744755250974</v>
      </c>
      <c r="N73" s="24">
        <v>15</v>
      </c>
      <c r="O73" s="24" t="s">
        <v>154</v>
      </c>
      <c r="P73" s="24">
        <v>0.86123438120389528</v>
      </c>
      <c r="Q73" s="24">
        <f>100*(P73-$P$78)/$P$78</f>
        <v>17.929591857951628</v>
      </c>
      <c r="R73" s="24">
        <v>0.93063977001698839</v>
      </c>
      <c r="S73" s="24">
        <f>100*(R73-$R$78)/$R$78</f>
        <v>14.88563634738361</v>
      </c>
      <c r="T73" s="24">
        <v>0.97036423983484033</v>
      </c>
      <c r="U73" s="24">
        <f>100*(T73-$T$78)/$T$78</f>
        <v>7.8068350407810678</v>
      </c>
      <c r="V73" s="24">
        <v>1.0469969420262586</v>
      </c>
      <c r="W73" s="24">
        <f>100*(V73-$V$78)/$V$78</f>
        <v>5.9501038203042862</v>
      </c>
      <c r="X73" s="24">
        <v>1.0885431822299414</v>
      </c>
      <c r="Y73" s="24">
        <f>100*(X73-$X$78)/$X$78</f>
        <v>4.4241002418665252</v>
      </c>
    </row>
    <row r="74" spans="2:90">
      <c r="B74" s="24">
        <v>20</v>
      </c>
      <c r="C74" s="24" t="s">
        <v>156</v>
      </c>
      <c r="D74" s="24">
        <v>709.52766444433814</v>
      </c>
      <c r="E74" s="24">
        <f t="shared" ref="E74:E83" si="16">100*(D74-$D$78)/$D$78</f>
        <v>18.233958783501627</v>
      </c>
      <c r="F74" s="24">
        <v>446.73145315060037</v>
      </c>
      <c r="G74" s="24">
        <f t="shared" ref="G74:G83" si="17">100*(F74-$F$78)/$F$78</f>
        <v>12.53116356877417</v>
      </c>
      <c r="H74" s="24">
        <v>314.33247271099822</v>
      </c>
      <c r="I74" s="24">
        <f t="shared" ref="I74:I83" si="18">100*(H74-$H$78)/$H$78</f>
        <v>8.207706246038402</v>
      </c>
      <c r="J74" s="24">
        <v>196.82764364218164</v>
      </c>
      <c r="K74" s="24">
        <f t="shared" ref="K74:K83" si="19">100*(J74-$J$78)/$J$78</f>
        <v>4.4663815314254851</v>
      </c>
      <c r="L74" s="24">
        <v>143.65603122075333</v>
      </c>
      <c r="M74" s="24">
        <f t="shared" ref="M74:M83" si="20">100*(L74-$L$78)/$L$78</f>
        <v>2.4970345416895237</v>
      </c>
      <c r="N74" s="24">
        <v>20</v>
      </c>
      <c r="O74" s="24" t="s">
        <v>154</v>
      </c>
      <c r="P74" s="24">
        <v>0.83556021839417494</v>
      </c>
      <c r="Q74" s="24">
        <f t="shared" ref="Q74:Q83" si="21">100*(P74-$P$78)/$P$78</f>
        <v>14.414005848470071</v>
      </c>
      <c r="R74" s="24">
        <v>0.90009528567253816</v>
      </c>
      <c r="S74" s="24">
        <f t="shared" ref="S74:S83" si="22">100*(R74-$R$78)/$R$78</f>
        <v>11.11498025265127</v>
      </c>
      <c r="T74" s="24">
        <v>0.97036423983484033</v>
      </c>
      <c r="U74" s="24">
        <f t="shared" ref="U74:U83" si="23">100*(T74-$T$78)/$T$78</f>
        <v>7.8068350407810678</v>
      </c>
      <c r="V74" s="24">
        <v>1.0333070166167508</v>
      </c>
      <c r="W74" s="24">
        <f t="shared" ref="W74:W83" si="24">100*(V74-$V$78)/$V$78</f>
        <v>4.5647616476495063</v>
      </c>
      <c r="X74" s="24">
        <v>1.0699857189952808</v>
      </c>
      <c r="Y74" s="24">
        <f t="shared" ref="Y74:Y83" si="25">100*(X74-$X$78)/$X$78</f>
        <v>2.6438801893361692</v>
      </c>
    </row>
    <row r="75" spans="2:90">
      <c r="B75" s="24">
        <v>25</v>
      </c>
      <c r="C75" s="24" t="s">
        <v>156</v>
      </c>
      <c r="D75" s="24">
        <v>682.49713870796199</v>
      </c>
      <c r="E75" s="24">
        <f t="shared" si="16"/>
        <v>13.729657928208065</v>
      </c>
      <c r="F75" s="24">
        <v>444.31982294239032</v>
      </c>
      <c r="G75" s="24">
        <f t="shared" si="17"/>
        <v>11.923676561728811</v>
      </c>
      <c r="H75" s="24">
        <v>308.3297899988782</v>
      </c>
      <c r="I75" s="24">
        <f t="shared" si="18"/>
        <v>6.1413065451126565</v>
      </c>
      <c r="J75" s="24">
        <v>193.45459875867454</v>
      </c>
      <c r="K75" s="24">
        <f t="shared" si="19"/>
        <v>2.6761360801124638</v>
      </c>
      <c r="L75" s="24">
        <v>142.48831328597433</v>
      </c>
      <c r="M75" s="24">
        <f t="shared" si="20"/>
        <v>1.6638803435753313</v>
      </c>
      <c r="N75" s="24">
        <v>25</v>
      </c>
      <c r="O75" s="24" t="s">
        <v>154</v>
      </c>
      <c r="P75" s="24">
        <v>0.81005754905946747</v>
      </c>
      <c r="Q75" s="24">
        <f t="shared" si="21"/>
        <v>10.921902593458091</v>
      </c>
      <c r="R75" s="24">
        <v>0.89575575027805843</v>
      </c>
      <c r="S75" s="24">
        <f t="shared" si="22"/>
        <v>10.579273203254813</v>
      </c>
      <c r="T75" s="24">
        <v>0.9526434727739147</v>
      </c>
      <c r="U75" s="24">
        <f t="shared" si="23"/>
        <v>5.8380693619690822</v>
      </c>
      <c r="V75" s="24">
        <v>1.0151685943196853</v>
      </c>
      <c r="W75" s="24">
        <f t="shared" si="24"/>
        <v>2.7292570264121148</v>
      </c>
      <c r="X75" s="24">
        <v>1.0607636859387208</v>
      </c>
      <c r="Y75" s="24">
        <f t="shared" si="25"/>
        <v>1.7592092639629897</v>
      </c>
    </row>
    <row r="76" spans="2:90">
      <c r="B76" s="24">
        <v>30</v>
      </c>
      <c r="C76" s="24" t="s">
        <v>156</v>
      </c>
      <c r="D76" s="24">
        <v>651.58604778063079</v>
      </c>
      <c r="E76" s="24">
        <f t="shared" si="16"/>
        <v>8.5787091579196861</v>
      </c>
      <c r="F76" s="24">
        <v>427.55932671887996</v>
      </c>
      <c r="G76" s="24">
        <f t="shared" si="17"/>
        <v>7.7017259273600258</v>
      </c>
      <c r="H76" s="24">
        <v>302.35524662418476</v>
      </c>
      <c r="I76" s="24">
        <f t="shared" si="18"/>
        <v>4.0845936994200125</v>
      </c>
      <c r="J76" s="24">
        <v>193.45459875867454</v>
      </c>
      <c r="K76" s="24">
        <f t="shared" si="19"/>
        <v>2.6761360801124638</v>
      </c>
      <c r="L76" s="24">
        <v>141.90487988513294</v>
      </c>
      <c r="M76" s="24">
        <f t="shared" si="20"/>
        <v>1.2476068816771588</v>
      </c>
      <c r="N76" s="24">
        <v>30</v>
      </c>
      <c r="O76" s="24" t="s">
        <v>154</v>
      </c>
      <c r="P76" s="24">
        <v>0.78050523759319224</v>
      </c>
      <c r="Q76" s="24">
        <f t="shared" si="21"/>
        <v>6.8752782299425625</v>
      </c>
      <c r="R76" s="24">
        <v>0.86553062788129864</v>
      </c>
      <c r="S76" s="24">
        <f t="shared" si="22"/>
        <v>6.8480417084242013</v>
      </c>
      <c r="T76" s="24">
        <v>0.9350271579258348</v>
      </c>
      <c r="U76" s="24">
        <f t="shared" si="23"/>
        <v>3.8809082559738157</v>
      </c>
      <c r="V76" s="24">
        <v>1.0151685943196853</v>
      </c>
      <c r="W76" s="24">
        <f t="shared" si="24"/>
        <v>2.7292570264121148</v>
      </c>
      <c r="X76" s="24">
        <v>1.0561660509861999</v>
      </c>
      <c r="Y76" s="24">
        <f t="shared" si="25"/>
        <v>1.3181574977169881</v>
      </c>
    </row>
    <row r="77" spans="2:90">
      <c r="B77" s="24">
        <v>35</v>
      </c>
      <c r="C77" s="24" t="s">
        <v>156</v>
      </c>
      <c r="D77" s="24">
        <v>625.61156721344628</v>
      </c>
      <c r="E77" s="24">
        <f t="shared" si="16"/>
        <v>4.2503850929116744</v>
      </c>
      <c r="F77" s="24">
        <v>411.00788206645728</v>
      </c>
      <c r="G77" s="24">
        <f t="shared" si="17"/>
        <v>3.5324351546921982</v>
      </c>
      <c r="H77" s="24">
        <v>296.40867626837797</v>
      </c>
      <c r="I77" s="24">
        <f t="shared" si="18"/>
        <v>2.0375104544631628</v>
      </c>
      <c r="J77" s="24">
        <v>191.77155863590681</v>
      </c>
      <c r="K77" s="24">
        <f t="shared" si="19"/>
        <v>1.7828615971979604</v>
      </c>
      <c r="L77" s="24">
        <v>141.32173003260735</v>
      </c>
      <c r="M77" s="24">
        <f t="shared" si="20"/>
        <v>0.8315357284552809</v>
      </c>
      <c r="N77" s="24">
        <v>35</v>
      </c>
      <c r="O77" s="24" t="s">
        <v>154</v>
      </c>
      <c r="P77" s="24">
        <v>0.75533284536777079</v>
      </c>
      <c r="Q77" s="24">
        <f t="shared" si="21"/>
        <v>3.4284001140427471</v>
      </c>
      <c r="R77" s="24">
        <v>0.83556021839417494</v>
      </c>
      <c r="S77" s="24">
        <f t="shared" si="22"/>
        <v>3.148254017793898</v>
      </c>
      <c r="T77" s="24">
        <v>0.91751400475159217</v>
      </c>
      <c r="U77" s="24">
        <f t="shared" si="23"/>
        <v>1.9352083447519668</v>
      </c>
      <c r="V77" s="24">
        <v>1.0061482846650671</v>
      </c>
      <c r="W77" s="24">
        <f t="shared" si="24"/>
        <v>1.8164532673595672</v>
      </c>
      <c r="X77" s="24">
        <v>1.0515771738842021</v>
      </c>
      <c r="Y77" s="24">
        <f t="shared" si="25"/>
        <v>0.87794587330079243</v>
      </c>
    </row>
    <row r="78" spans="2:90">
      <c r="B78" s="24">
        <v>40</v>
      </c>
      <c r="C78" s="24" t="s">
        <v>156</v>
      </c>
      <c r="D78" s="24">
        <v>600.10480216056646</v>
      </c>
      <c r="E78" s="24">
        <f t="shared" si="16"/>
        <v>0</v>
      </c>
      <c r="F78" s="24">
        <v>396.98465650146545</v>
      </c>
      <c r="G78" s="24">
        <f t="shared" si="17"/>
        <v>0</v>
      </c>
      <c r="H78" s="24">
        <v>290.48991390343446</v>
      </c>
      <c r="I78" s="24">
        <f t="shared" si="18"/>
        <v>0</v>
      </c>
      <c r="J78" s="24">
        <v>188.4124258510592</v>
      </c>
      <c r="K78" s="24">
        <f t="shared" si="19"/>
        <v>0</v>
      </c>
      <c r="L78" s="24">
        <v>140.15628048470305</v>
      </c>
      <c r="M78" s="24">
        <f t="shared" si="20"/>
        <v>0</v>
      </c>
      <c r="N78" s="24">
        <v>40</v>
      </c>
      <c r="O78" s="24" t="s">
        <v>154</v>
      </c>
      <c r="P78" s="24">
        <v>0.73029539713939484</v>
      </c>
      <c r="Q78" s="24">
        <f t="shared" si="21"/>
        <v>0</v>
      </c>
      <c r="R78" s="24">
        <v>0.81005754905946747</v>
      </c>
      <c r="S78" s="24">
        <f t="shared" si="22"/>
        <v>0</v>
      </c>
      <c r="T78" s="24">
        <v>0.90009528567253816</v>
      </c>
      <c r="U78" s="24">
        <f t="shared" si="23"/>
        <v>0</v>
      </c>
      <c r="V78" s="24">
        <v>0.9881981274902838</v>
      </c>
      <c r="W78" s="24">
        <f t="shared" si="24"/>
        <v>0</v>
      </c>
      <c r="X78" s="24">
        <v>1.0424252444681483</v>
      </c>
      <c r="Y78" s="24">
        <f t="shared" si="25"/>
        <v>0</v>
      </c>
    </row>
    <row r="79" spans="2:90">
      <c r="B79" s="24">
        <v>45</v>
      </c>
      <c r="C79" s="24" t="s">
        <v>156</v>
      </c>
      <c r="D79" s="24">
        <v>570.92225850823752</v>
      </c>
      <c r="E79" s="24">
        <f t="shared" si="16"/>
        <v>-4.8629078699691437</v>
      </c>
      <c r="F79" s="24">
        <v>380.81220334757757</v>
      </c>
      <c r="G79" s="24">
        <f t="shared" si="17"/>
        <v>-4.0738232294446846</v>
      </c>
      <c r="H79" s="24">
        <v>278.73515941183933</v>
      </c>
      <c r="I79" s="24">
        <f t="shared" si="18"/>
        <v>-4.0465275828828515</v>
      </c>
      <c r="J79" s="24">
        <v>185.06253351860343</v>
      </c>
      <c r="K79" s="24">
        <f t="shared" si="19"/>
        <v>-1.7779572219423947</v>
      </c>
      <c r="L79" s="24">
        <v>139.57398054556847</v>
      </c>
      <c r="M79" s="24">
        <f t="shared" si="20"/>
        <v>-0.41546474915059212</v>
      </c>
      <c r="N79" s="24">
        <v>45</v>
      </c>
      <c r="O79" s="24" t="s">
        <v>154</v>
      </c>
      <c r="P79" s="24">
        <v>0.7012424039779217</v>
      </c>
      <c r="Q79" s="24">
        <f t="shared" si="21"/>
        <v>-3.9782522627521999</v>
      </c>
      <c r="R79" s="24">
        <v>0.78050523759319224</v>
      </c>
      <c r="S79" s="24">
        <f t="shared" si="22"/>
        <v>-3.6481743180577113</v>
      </c>
      <c r="T79" s="24">
        <v>0.86553062788129864</v>
      </c>
      <c r="U79" s="24">
        <f t="shared" si="23"/>
        <v>-3.8401109684085619</v>
      </c>
      <c r="V79" s="24">
        <v>0.97036423983484033</v>
      </c>
      <c r="W79" s="24">
        <f t="shared" si="24"/>
        <v>-1.8046874568297355</v>
      </c>
      <c r="X79" s="24">
        <v>1.0378619718996447</v>
      </c>
      <c r="Y79" s="24">
        <f t="shared" si="25"/>
        <v>-0.43775537792466351</v>
      </c>
    </row>
    <row r="80" spans="2:90">
      <c r="B80" s="24">
        <v>50</v>
      </c>
      <c r="C80" s="24" t="s">
        <v>156</v>
      </c>
      <c r="D80" s="24">
        <v>530.27346062022184</v>
      </c>
      <c r="E80" s="24">
        <f t="shared" si="16"/>
        <v>-11.636524368565253</v>
      </c>
      <c r="F80" s="24">
        <v>367.10880024289088</v>
      </c>
      <c r="G80" s="24">
        <f t="shared" si="17"/>
        <v>-7.5256954568127714</v>
      </c>
      <c r="H80" s="24">
        <v>269.99088080142752</v>
      </c>
      <c r="I80" s="24">
        <f t="shared" si="18"/>
        <v>-7.0567107912811338</v>
      </c>
      <c r="J80" s="24">
        <v>182.55616188655682</v>
      </c>
      <c r="K80" s="24">
        <f t="shared" si="19"/>
        <v>-3.1082153621501463</v>
      </c>
      <c r="L80" s="24">
        <v>136.66672432815523</v>
      </c>
      <c r="M80" s="24">
        <f t="shared" si="20"/>
        <v>-2.4897608187659332</v>
      </c>
      <c r="N80" s="24">
        <v>50</v>
      </c>
      <c r="O80" s="24" t="s">
        <v>154</v>
      </c>
      <c r="P80" s="24">
        <v>0.66000246705982624</v>
      </c>
      <c r="Q80" s="24">
        <f t="shared" si="21"/>
        <v>-9.6252736022861001</v>
      </c>
      <c r="R80" s="24">
        <v>0.75533284536777079</v>
      </c>
      <c r="S80" s="24">
        <f t="shared" si="22"/>
        <v>-6.7556562808698999</v>
      </c>
      <c r="T80" s="24">
        <v>0.83982672200577047</v>
      </c>
      <c r="U80" s="24">
        <f t="shared" si="23"/>
        <v>-6.6957981700499518</v>
      </c>
      <c r="V80" s="24">
        <v>0.95706367068518905</v>
      </c>
      <c r="W80" s="24">
        <f t="shared" si="24"/>
        <v>-3.1506290023202728</v>
      </c>
      <c r="X80" s="24">
        <v>1.0151685943196853</v>
      </c>
      <c r="Y80" s="24">
        <f t="shared" si="25"/>
        <v>-2.614734274050464</v>
      </c>
    </row>
    <row r="81" spans="2:90">
      <c r="B81" s="24">
        <v>55</v>
      </c>
      <c r="C81" s="24" t="s">
        <v>156</v>
      </c>
      <c r="D81" s="24">
        <v>506.45320083117855</v>
      </c>
      <c r="E81" s="24">
        <f t="shared" si="16"/>
        <v>-15.605874339317506</v>
      </c>
      <c r="F81" s="24">
        <v>353.54969605632328</v>
      </c>
      <c r="G81" s="24">
        <f t="shared" si="17"/>
        <v>-10.941218944813761</v>
      </c>
      <c r="H81" s="24">
        <v>259.86619689215428</v>
      </c>
      <c r="I81" s="24">
        <f t="shared" si="18"/>
        <v>-10.542093045426771</v>
      </c>
      <c r="J81" s="24">
        <v>177.55891990635072</v>
      </c>
      <c r="K81" s="24">
        <f t="shared" si="19"/>
        <v>-5.7605043275055614</v>
      </c>
      <c r="L81" s="24">
        <v>136.08612092899844</v>
      </c>
      <c r="M81" s="24">
        <f t="shared" si="20"/>
        <v>-2.9040151048734715</v>
      </c>
      <c r="N81" s="24">
        <v>55</v>
      </c>
      <c r="O81" s="24" t="s">
        <v>154</v>
      </c>
      <c r="P81" s="24">
        <v>0.6353938710763688</v>
      </c>
      <c r="Q81" s="24">
        <f t="shared" si="21"/>
        <v>-12.994950595986264</v>
      </c>
      <c r="R81" s="24">
        <v>0.73029539713939484</v>
      </c>
      <c r="S81" s="24">
        <f t="shared" si="22"/>
        <v>-9.8464796745221346</v>
      </c>
      <c r="T81" s="24">
        <v>0.81005754905946747</v>
      </c>
      <c r="U81" s="24">
        <f t="shared" si="23"/>
        <v>-10.003133895518161</v>
      </c>
      <c r="V81" s="24">
        <v>0.9350271579258348</v>
      </c>
      <c r="W81" s="24">
        <f t="shared" si="24"/>
        <v>-5.3805980891187009</v>
      </c>
      <c r="X81" s="24">
        <v>1.010654589715664</v>
      </c>
      <c r="Y81" s="24">
        <f t="shared" si="25"/>
        <v>-3.0477633692278707</v>
      </c>
    </row>
    <row r="82" spans="2:90">
      <c r="B82" s="24">
        <v>60</v>
      </c>
      <c r="C82" s="24" t="s">
        <v>156</v>
      </c>
      <c r="D82" s="24">
        <v>486.91963380265838</v>
      </c>
      <c r="E82" s="24">
        <f t="shared" si="16"/>
        <v>-18.860900287817358</v>
      </c>
      <c r="F82" s="24">
        <v>340.13285371803852</v>
      </c>
      <c r="G82" s="24">
        <f t="shared" si="17"/>
        <v>-14.320906829107404</v>
      </c>
      <c r="H82" s="24">
        <v>249.82360404359667</v>
      </c>
      <c r="I82" s="24">
        <f t="shared" si="18"/>
        <v>-13.999215777714129</v>
      </c>
      <c r="J82" s="24">
        <v>170.92794718050132</v>
      </c>
      <c r="K82" s="24">
        <f t="shared" si="19"/>
        <v>-9.2798967963925225</v>
      </c>
      <c r="L82" s="24">
        <v>133.76652943147425</v>
      </c>
      <c r="M82" s="24">
        <f t="shared" si="20"/>
        <v>-4.5590187119200722</v>
      </c>
      <c r="N82" s="24">
        <v>60</v>
      </c>
      <c r="O82" s="24" t="s">
        <v>154</v>
      </c>
      <c r="P82" s="24">
        <v>0.61495659472827569</v>
      </c>
      <c r="Q82" s="24">
        <f t="shared" si="21"/>
        <v>-15.793445072077308</v>
      </c>
      <c r="R82" s="24">
        <v>0.70538278672706478</v>
      </c>
      <c r="S82" s="24">
        <f t="shared" si="22"/>
        <v>-12.921892087042123</v>
      </c>
      <c r="T82" s="24">
        <v>0.78050523759319224</v>
      </c>
      <c r="U82" s="24">
        <f t="shared" si="23"/>
        <v>-13.286376451798652</v>
      </c>
      <c r="V82" s="24">
        <v>0.90009528567253816</v>
      </c>
      <c r="W82" s="24">
        <f t="shared" si="24"/>
        <v>-8.9155038212326385</v>
      </c>
      <c r="X82" s="24">
        <v>0.99267459709134576</v>
      </c>
      <c r="Y82" s="24">
        <f t="shared" si="25"/>
        <v>-4.7725865850635314</v>
      </c>
    </row>
    <row r="83" spans="2:90">
      <c r="B83" s="24">
        <v>65</v>
      </c>
      <c r="C83" s="24" t="s">
        <v>156</v>
      </c>
      <c r="D83" s="24">
        <v>463.85058069058476</v>
      </c>
      <c r="E83" s="24">
        <f t="shared" si="16"/>
        <v>-22.705071010834033</v>
      </c>
      <c r="F83" s="24">
        <v>326.85627412764615</v>
      </c>
      <c r="G83" s="24">
        <f t="shared" si="17"/>
        <v>-17.665262680891654</v>
      </c>
      <c r="H83" s="24">
        <v>241.28037270859397</v>
      </c>
      <c r="I83" s="24">
        <f t="shared" si="18"/>
        <v>-16.940189259444949</v>
      </c>
      <c r="J83" s="24">
        <v>169.27589878519683</v>
      </c>
      <c r="K83" s="24">
        <f t="shared" si="19"/>
        <v>-10.156722402687958</v>
      </c>
      <c r="L83" s="24">
        <v>130.8733806892696</v>
      </c>
      <c r="M83" s="24">
        <f t="shared" si="20"/>
        <v>-6.6232492495736617</v>
      </c>
      <c r="N83" s="24">
        <v>65</v>
      </c>
      <c r="O83" s="24" t="s">
        <v>154</v>
      </c>
      <c r="P83" s="24">
        <v>0.59050975535453654</v>
      </c>
      <c r="Q83" s="24">
        <f t="shared" si="21"/>
        <v>-19.140972588955915</v>
      </c>
      <c r="R83" s="24">
        <v>0.68058551086134389</v>
      </c>
      <c r="S83" s="24">
        <f t="shared" si="22"/>
        <v>-15.983066678219286</v>
      </c>
      <c r="T83" s="24">
        <v>0.75533284536777079</v>
      </c>
      <c r="U83" s="24">
        <f t="shared" si="23"/>
        <v>-16.083012833091662</v>
      </c>
      <c r="V83" s="24">
        <v>0.8914217378213154</v>
      </c>
      <c r="W83" s="24">
        <f t="shared" si="24"/>
        <v>-9.7932172685603405</v>
      </c>
      <c r="X83" s="24">
        <v>0.97036423983484033</v>
      </c>
      <c r="Y83" s="24">
        <f t="shared" si="25"/>
        <v>-6.9128222878057759</v>
      </c>
    </row>
    <row r="84" spans="2:90">
      <c r="B84" s="24"/>
      <c r="C84" s="24"/>
      <c r="D84" s="24"/>
      <c r="E84" s="24"/>
      <c r="F84" s="24"/>
      <c r="G84" s="24"/>
      <c r="H84" s="24"/>
      <c r="I84" s="24"/>
      <c r="J84" s="24"/>
      <c r="K84" s="24"/>
      <c r="L84" s="24"/>
      <c r="M84" s="24"/>
      <c r="N84" s="24"/>
      <c r="O84" s="24"/>
      <c r="P84" s="24"/>
      <c r="Q84" s="24"/>
      <c r="S84" s="24"/>
      <c r="W84" s="24"/>
    </row>
    <row r="85" spans="2:90">
      <c r="B85" s="19" t="s">
        <v>338</v>
      </c>
      <c r="C85" s="24"/>
      <c r="D85" s="24"/>
      <c r="E85" s="24"/>
      <c r="F85" s="24"/>
      <c r="G85" s="24"/>
      <c r="H85" s="24"/>
      <c r="I85" s="24"/>
      <c r="J85" s="24"/>
      <c r="K85" s="24"/>
      <c r="L85" s="24"/>
      <c r="M85" s="24"/>
      <c r="N85" s="24"/>
      <c r="O85" s="24"/>
      <c r="P85" s="24"/>
    </row>
    <row r="86" spans="2:90">
      <c r="B86" s="24"/>
      <c r="C86" s="24">
        <v>15</v>
      </c>
      <c r="D86" s="24"/>
      <c r="E86" s="24"/>
      <c r="F86" s="24"/>
      <c r="G86" s="24"/>
      <c r="H86" s="24"/>
      <c r="I86" s="24"/>
      <c r="J86" s="24"/>
      <c r="K86" s="24">
        <v>20</v>
      </c>
      <c r="L86" s="24"/>
      <c r="M86" s="24"/>
      <c r="N86" s="24"/>
      <c r="O86" s="24"/>
      <c r="P86" s="24"/>
      <c r="S86">
        <v>25</v>
      </c>
      <c r="AA86">
        <v>30</v>
      </c>
      <c r="AI86">
        <v>35</v>
      </c>
      <c r="AQ86">
        <v>40</v>
      </c>
      <c r="AY86">
        <v>45</v>
      </c>
      <c r="BG86">
        <v>50</v>
      </c>
      <c r="BO86">
        <v>55</v>
      </c>
      <c r="BW86">
        <v>60</v>
      </c>
      <c r="CE86">
        <v>65</v>
      </c>
    </row>
    <row r="87" spans="2:90">
      <c r="B87" s="25" t="s">
        <v>237</v>
      </c>
      <c r="C87" s="24" t="s">
        <v>154</v>
      </c>
      <c r="D87" s="24" t="s">
        <v>155</v>
      </c>
      <c r="E87" s="24" t="s">
        <v>156</v>
      </c>
      <c r="F87" s="24" t="s">
        <v>159</v>
      </c>
      <c r="G87" s="24" t="s">
        <v>238</v>
      </c>
      <c r="H87" s="24" t="s">
        <v>157</v>
      </c>
      <c r="I87" s="24" t="s">
        <v>160</v>
      </c>
      <c r="J87" s="24" t="s">
        <v>265</v>
      </c>
      <c r="K87" s="24" t="s">
        <v>154</v>
      </c>
      <c r="L87" s="24" t="s">
        <v>155</v>
      </c>
      <c r="M87" s="24" t="s">
        <v>156</v>
      </c>
      <c r="N87" s="24" t="s">
        <v>159</v>
      </c>
      <c r="O87" s="24" t="s">
        <v>238</v>
      </c>
      <c r="P87" s="24" t="s">
        <v>157</v>
      </c>
      <c r="Q87" s="24" t="s">
        <v>160</v>
      </c>
      <c r="R87" s="24" t="s">
        <v>265</v>
      </c>
      <c r="S87" s="24" t="s">
        <v>154</v>
      </c>
      <c r="T87" s="24" t="s">
        <v>155</v>
      </c>
      <c r="U87" s="24" t="s">
        <v>156</v>
      </c>
      <c r="V87" s="24" t="s">
        <v>159</v>
      </c>
      <c r="W87" s="24" t="s">
        <v>238</v>
      </c>
      <c r="X87" s="24" t="s">
        <v>157</v>
      </c>
      <c r="Y87" s="24" t="s">
        <v>160</v>
      </c>
      <c r="Z87" s="24" t="s">
        <v>265</v>
      </c>
      <c r="AA87" s="24" t="s">
        <v>154</v>
      </c>
      <c r="AB87" s="24" t="s">
        <v>155</v>
      </c>
      <c r="AC87" s="24" t="s">
        <v>156</v>
      </c>
      <c r="AD87" s="24" t="s">
        <v>159</v>
      </c>
      <c r="AE87" s="24" t="s">
        <v>238</v>
      </c>
      <c r="AF87" s="24" t="s">
        <v>157</v>
      </c>
      <c r="AG87" s="24" t="s">
        <v>160</v>
      </c>
      <c r="AH87" s="24" t="s">
        <v>265</v>
      </c>
      <c r="AI87" s="24" t="s">
        <v>154</v>
      </c>
      <c r="AJ87" s="24" t="s">
        <v>155</v>
      </c>
      <c r="AK87" s="24" t="s">
        <v>156</v>
      </c>
      <c r="AL87" s="24" t="s">
        <v>159</v>
      </c>
      <c r="AM87" s="24" t="s">
        <v>238</v>
      </c>
      <c r="AN87" s="24" t="s">
        <v>157</v>
      </c>
      <c r="AO87" s="24" t="s">
        <v>160</v>
      </c>
      <c r="AP87" s="24" t="s">
        <v>265</v>
      </c>
      <c r="AQ87" s="24" t="s">
        <v>154</v>
      </c>
      <c r="AR87" s="24" t="s">
        <v>155</v>
      </c>
      <c r="AS87" s="24" t="s">
        <v>156</v>
      </c>
      <c r="AT87" s="24" t="s">
        <v>159</v>
      </c>
      <c r="AU87" s="24" t="s">
        <v>238</v>
      </c>
      <c r="AV87" s="24" t="s">
        <v>157</v>
      </c>
      <c r="AW87" s="24" t="s">
        <v>160</v>
      </c>
      <c r="AX87" s="24" t="s">
        <v>265</v>
      </c>
      <c r="AY87" s="24" t="s">
        <v>154</v>
      </c>
      <c r="AZ87" s="24" t="s">
        <v>155</v>
      </c>
      <c r="BA87" s="24" t="s">
        <v>156</v>
      </c>
      <c r="BB87" s="24" t="s">
        <v>159</v>
      </c>
      <c r="BC87" s="24" t="s">
        <v>238</v>
      </c>
      <c r="BD87" s="24" t="s">
        <v>157</v>
      </c>
      <c r="BE87" s="24" t="s">
        <v>160</v>
      </c>
      <c r="BF87" s="24" t="s">
        <v>265</v>
      </c>
      <c r="BG87" s="24" t="s">
        <v>154</v>
      </c>
      <c r="BH87" s="24" t="s">
        <v>155</v>
      </c>
      <c r="BI87" s="24" t="s">
        <v>156</v>
      </c>
      <c r="BJ87" s="24" t="s">
        <v>159</v>
      </c>
      <c r="BK87" s="24" t="s">
        <v>238</v>
      </c>
      <c r="BL87" s="24" t="s">
        <v>157</v>
      </c>
      <c r="BM87" s="24" t="s">
        <v>160</v>
      </c>
      <c r="BN87" s="24" t="s">
        <v>265</v>
      </c>
      <c r="BO87" s="24" t="s">
        <v>154</v>
      </c>
      <c r="BP87" s="24" t="s">
        <v>155</v>
      </c>
      <c r="BQ87" s="24" t="s">
        <v>156</v>
      </c>
      <c r="BR87" s="24" t="s">
        <v>159</v>
      </c>
      <c r="BS87" s="24" t="s">
        <v>238</v>
      </c>
      <c r="BT87" s="24" t="s">
        <v>157</v>
      </c>
      <c r="BU87" s="24" t="s">
        <v>160</v>
      </c>
      <c r="BV87" s="24" t="s">
        <v>265</v>
      </c>
      <c r="BW87" s="24" t="s">
        <v>154</v>
      </c>
      <c r="BX87" s="24" t="s">
        <v>155</v>
      </c>
      <c r="BY87" s="24" t="s">
        <v>156</v>
      </c>
      <c r="BZ87" s="24" t="s">
        <v>159</v>
      </c>
      <c r="CA87" s="24" t="s">
        <v>238</v>
      </c>
      <c r="CB87" s="24" t="s">
        <v>157</v>
      </c>
      <c r="CC87" s="24" t="s">
        <v>160</v>
      </c>
      <c r="CD87" s="24" t="s">
        <v>265</v>
      </c>
      <c r="CE87" s="24" t="s">
        <v>154</v>
      </c>
      <c r="CF87" s="24" t="s">
        <v>155</v>
      </c>
      <c r="CG87" s="24" t="s">
        <v>156</v>
      </c>
      <c r="CH87" s="24" t="s">
        <v>159</v>
      </c>
      <c r="CI87" s="24" t="s">
        <v>238</v>
      </c>
      <c r="CJ87" s="24" t="s">
        <v>157</v>
      </c>
      <c r="CK87" s="24" t="s">
        <v>160</v>
      </c>
      <c r="CL87" s="24" t="s">
        <v>265</v>
      </c>
    </row>
    <row r="88" spans="2:90">
      <c r="B88" s="24">
        <v>0</v>
      </c>
      <c r="C88" s="24">
        <v>0.97036423983484033</v>
      </c>
      <c r="D88" s="24">
        <v>4.3753594047736568</v>
      </c>
      <c r="E88" s="24">
        <v>312.82915482566352</v>
      </c>
      <c r="F88" s="24">
        <v>1.4168242216110229</v>
      </c>
      <c r="G88" s="24">
        <v>27.124812634363444</v>
      </c>
      <c r="H88" s="24">
        <v>7.2959534272509909</v>
      </c>
      <c r="I88" s="24">
        <v>11.220893859863281</v>
      </c>
      <c r="J88" s="24">
        <v>1.3750495910644531</v>
      </c>
      <c r="K88" s="24">
        <v>0.97036423983484033</v>
      </c>
      <c r="L88" s="24">
        <v>4.3753594047736568</v>
      </c>
      <c r="M88" s="24">
        <v>312.82915482566352</v>
      </c>
      <c r="N88" s="24">
        <v>1.4168242216110229</v>
      </c>
      <c r="O88" s="24">
        <v>27.124812634363444</v>
      </c>
      <c r="P88" s="24">
        <v>10.619399660039427</v>
      </c>
      <c r="Q88" s="24">
        <v>14.498898506164551</v>
      </c>
      <c r="R88" s="24">
        <v>1.0035275220870972</v>
      </c>
      <c r="S88" s="24">
        <v>0.9526434727739147</v>
      </c>
      <c r="T88" s="24">
        <v>4.3018239525925868</v>
      </c>
      <c r="U88" s="24">
        <v>306.83352261131199</v>
      </c>
      <c r="V88" s="24">
        <v>1.4202319383621216</v>
      </c>
      <c r="W88" s="24">
        <v>27.141267343062964</v>
      </c>
      <c r="X88" s="24">
        <v>13.661331463110047</v>
      </c>
      <c r="Y88" s="24">
        <v>17.784894943237305</v>
      </c>
      <c r="Z88" s="24">
        <v>0.79679936170578003</v>
      </c>
      <c r="AA88" s="24">
        <v>0.9350271579258348</v>
      </c>
      <c r="AB88" s="24">
        <v>4.2282885004115167</v>
      </c>
      <c r="AC88" s="24">
        <v>300.86598803307766</v>
      </c>
      <c r="AD88" s="24">
        <v>1.4236425161361694</v>
      </c>
      <c r="AE88" s="24">
        <v>27.157722051762484</v>
      </c>
      <c r="AF88" s="24">
        <v>16.471476947014711</v>
      </c>
      <c r="AG88" s="24">
        <v>21.126907348632813</v>
      </c>
      <c r="AH88" s="24">
        <v>0.71435725688934326</v>
      </c>
      <c r="AI88" s="24">
        <v>0.91751400475159217</v>
      </c>
      <c r="AJ88" s="24">
        <v>4.1547530482304476</v>
      </c>
      <c r="AK88" s="24">
        <v>294.9263850962289</v>
      </c>
      <c r="AL88" s="24">
        <v>1.4270560741424561</v>
      </c>
      <c r="AM88" s="24">
        <v>27.174176760462</v>
      </c>
      <c r="AN88" s="24">
        <v>19.044863364615601</v>
      </c>
      <c r="AO88" s="24">
        <v>24.534902572631836</v>
      </c>
      <c r="AP88" s="24">
        <v>0.64136892557144165</v>
      </c>
      <c r="AQ88" s="24">
        <v>0.90009528567253816</v>
      </c>
      <c r="AR88" s="24">
        <v>4.0812175960493775</v>
      </c>
      <c r="AS88" s="24">
        <v>289.0145490934139</v>
      </c>
      <c r="AT88" s="24">
        <v>1.4304723739624023</v>
      </c>
      <c r="AU88" s="24">
        <v>27.19063146916152</v>
      </c>
      <c r="AV88" s="24">
        <v>21.370198112557944</v>
      </c>
      <c r="AW88" s="24">
        <v>28.015892028808594</v>
      </c>
      <c r="AX88" s="24">
        <v>0.62432634830474854</v>
      </c>
      <c r="AY88" s="24">
        <v>0.86553062788129864</v>
      </c>
      <c r="AZ88" s="24">
        <v>3.9341466916872374</v>
      </c>
      <c r="BA88" s="24">
        <v>277.27352542281295</v>
      </c>
      <c r="BB88" s="24">
        <v>1.4373137950897217</v>
      </c>
      <c r="BC88" s="24">
        <v>27.22354088656056</v>
      </c>
      <c r="BD88" s="24">
        <v>23.321776198209179</v>
      </c>
      <c r="BE88" s="24">
        <v>31.367895126342773</v>
      </c>
      <c r="BF88" s="24">
        <v>0.60459750890731812</v>
      </c>
      <c r="BG88" s="24">
        <v>0.83982672200577047</v>
      </c>
      <c r="BH88" s="24">
        <v>3.823843513415631</v>
      </c>
      <c r="BI88" s="24">
        <v>268.53943949372479</v>
      </c>
      <c r="BJ88" s="24">
        <v>1.4424523115158081</v>
      </c>
      <c r="BK88" s="24">
        <v>27.24822294960984</v>
      </c>
      <c r="BL88" s="24">
        <v>25.081065897107923</v>
      </c>
      <c r="BM88" s="24">
        <v>34.862907409667969</v>
      </c>
      <c r="BN88" s="24">
        <v>0.60272377729415894</v>
      </c>
      <c r="BO88" s="24">
        <v>0.81005754905946747</v>
      </c>
      <c r="BP88" s="24">
        <v>3.6951564720987591</v>
      </c>
      <c r="BQ88" s="24">
        <v>258.42653435784052</v>
      </c>
      <c r="BR88" s="24">
        <v>1.4484555721282959</v>
      </c>
      <c r="BS88" s="24">
        <v>27.277018689833998</v>
      </c>
      <c r="BT88" s="24">
        <v>26.57432989398691</v>
      </c>
      <c r="BU88" s="24">
        <v>38.333904266357422</v>
      </c>
      <c r="BV88" s="24">
        <v>0.60922425985336304</v>
      </c>
      <c r="BW88" s="24">
        <v>0.78050523759319224</v>
      </c>
      <c r="BX88" s="24">
        <v>3.5664694307818872</v>
      </c>
      <c r="BY88" s="24">
        <v>248.39560047169473</v>
      </c>
      <c r="BZ88" s="24">
        <v>1.4544676542282104</v>
      </c>
      <c r="CA88" s="24">
        <v>27.305814430058156</v>
      </c>
      <c r="CB88" s="24">
        <v>27.856881289773327</v>
      </c>
      <c r="CC88" s="24">
        <v>41.823905944824219</v>
      </c>
      <c r="CD88" s="24">
        <v>0.62868469953536987</v>
      </c>
      <c r="CE88" s="24">
        <v>0.75533284536777079</v>
      </c>
      <c r="CF88" s="24">
        <v>3.4561662525102821</v>
      </c>
      <c r="CG88" s="24">
        <v>239.86226838434251</v>
      </c>
      <c r="CH88" s="24">
        <v>1.4596278667449951</v>
      </c>
      <c r="CI88" s="24">
        <v>27.330496493107436</v>
      </c>
      <c r="CJ88" s="24">
        <v>28.985374837622562</v>
      </c>
      <c r="CK88" s="24">
        <v>45.414894104003906</v>
      </c>
      <c r="CL88" s="24">
        <v>0.65199702978134155</v>
      </c>
    </row>
    <row r="89" spans="2:90">
      <c r="B89" s="24">
        <v>0.5</v>
      </c>
      <c r="C89" s="24">
        <v>1.2348797365332367</v>
      </c>
      <c r="D89" s="24">
        <v>3.1009491654467216</v>
      </c>
      <c r="E89" s="24">
        <v>212.78079487181307</v>
      </c>
      <c r="F89" s="24">
        <v>1.4762899875640869</v>
      </c>
      <c r="G89" s="24">
        <v>27.409981877630948</v>
      </c>
      <c r="H89" s="24">
        <v>6.1820515998154448</v>
      </c>
      <c r="I89" s="24">
        <v>10.29149055480957</v>
      </c>
      <c r="J89" s="24">
        <v>1.0053339004516602</v>
      </c>
      <c r="K89" s="24">
        <v>1.2204728768848743</v>
      </c>
      <c r="L89" s="24">
        <v>3.0349715236287067</v>
      </c>
      <c r="M89" s="24">
        <v>207.8168390192177</v>
      </c>
      <c r="N89" s="24">
        <v>1.4793921709060669</v>
      </c>
      <c r="O89" s="24">
        <v>27.424745407936349</v>
      </c>
      <c r="P89" s="24">
        <v>8.9908365046143484</v>
      </c>
      <c r="Q89" s="24">
        <v>12.989496231079102</v>
      </c>
      <c r="R89" s="24">
        <v>0.64348983764648438</v>
      </c>
      <c r="S89" s="24">
        <v>1.2097428771829399</v>
      </c>
      <c r="T89" s="24">
        <v>2.9953849385378972</v>
      </c>
      <c r="U89" s="24">
        <v>204.84829052426781</v>
      </c>
      <c r="V89" s="24">
        <v>1.4812546968460083</v>
      </c>
      <c r="W89" s="24">
        <v>27.43360352611959</v>
      </c>
      <c r="X89" s="24">
        <v>11.680934782154603</v>
      </c>
      <c r="Y89" s="24">
        <v>15.759488105773926</v>
      </c>
      <c r="Z89" s="24">
        <v>0.53126657009124756</v>
      </c>
      <c r="AA89" s="24">
        <v>1.195534266858769</v>
      </c>
      <c r="AB89" s="24">
        <v>2.9557983534470877</v>
      </c>
      <c r="AC89" s="24">
        <v>201.88708298868747</v>
      </c>
      <c r="AD89" s="24">
        <v>1.4831180572509766</v>
      </c>
      <c r="AE89" s="24">
        <v>27.442461644302831</v>
      </c>
      <c r="AF89" s="24">
        <v>14.223078812259454</v>
      </c>
      <c r="AG89" s="24">
        <v>18.582502365112305</v>
      </c>
      <c r="AH89" s="24">
        <v>0.45284438133239746</v>
      </c>
      <c r="AI89" s="24">
        <v>1.1849477158666035</v>
      </c>
      <c r="AJ89" s="24">
        <v>2.9162117683562787</v>
      </c>
      <c r="AK89" s="24">
        <v>198.93319377200223</v>
      </c>
      <c r="AL89" s="24">
        <v>1.4849822521209717</v>
      </c>
      <c r="AM89" s="24">
        <v>27.451319762486072</v>
      </c>
      <c r="AN89" s="24">
        <v>16.613195536697631</v>
      </c>
      <c r="AO89" s="24">
        <v>21.464494705200195</v>
      </c>
      <c r="AP89" s="24">
        <v>0.39798435568809509</v>
      </c>
      <c r="AQ89" s="24">
        <v>1.1849477158666035</v>
      </c>
      <c r="AR89" s="24">
        <v>2.9162117683562787</v>
      </c>
      <c r="AS89" s="24">
        <v>198.93319377200223</v>
      </c>
      <c r="AT89" s="24">
        <v>1.4849822521209717</v>
      </c>
      <c r="AU89" s="24">
        <v>27.451319762486072</v>
      </c>
      <c r="AV89" s="24">
        <v>18.952870953579502</v>
      </c>
      <c r="AW89" s="24">
        <v>24.558492660522461</v>
      </c>
      <c r="AX89" s="24">
        <v>0.37721249461174011</v>
      </c>
      <c r="AY89" s="24">
        <v>1.1604729003957954</v>
      </c>
      <c r="AZ89" s="24">
        <v>2.8106475414474543</v>
      </c>
      <c r="BA89" s="24">
        <v>191.0917631147791</v>
      </c>
      <c r="BB89" s="24">
        <v>1.4899574518203735</v>
      </c>
      <c r="BC89" s="24">
        <v>27.474941410974715</v>
      </c>
      <c r="BD89" s="24">
        <v>20.835765467882432</v>
      </c>
      <c r="BE89" s="24">
        <v>27.328483581542969</v>
      </c>
      <c r="BF89" s="24">
        <v>0.34028330445289612</v>
      </c>
      <c r="BG89" s="24">
        <v>1.1500756882087306</v>
      </c>
      <c r="BH89" s="24">
        <v>2.7710609563566448</v>
      </c>
      <c r="BI89" s="24">
        <v>188.1645155078433</v>
      </c>
      <c r="BJ89" s="24">
        <v>1.491824746131897</v>
      </c>
      <c r="BK89" s="24">
        <v>27.48379952915796</v>
      </c>
      <c r="BL89" s="24">
        <v>22.725139713145175</v>
      </c>
      <c r="BM89" s="24">
        <v>30.426490783691406</v>
      </c>
      <c r="BN89" s="24">
        <v>0.3302554190158844</v>
      </c>
      <c r="BO89" s="24">
        <v>1.1397324812221092</v>
      </c>
      <c r="BP89" s="24">
        <v>2.7314743712658354</v>
      </c>
      <c r="BQ89" s="24">
        <v>185.24448176821588</v>
      </c>
      <c r="BR89" s="24">
        <v>1.4936928749084473</v>
      </c>
      <c r="BS89" s="24">
        <v>27.492657647341201</v>
      </c>
      <c r="BT89" s="24">
        <v>24.434908715578878</v>
      </c>
      <c r="BU89" s="24">
        <v>33.621494293212891</v>
      </c>
      <c r="BV89" s="24">
        <v>0.33221068978309631</v>
      </c>
      <c r="BW89" s="24">
        <v>1.1056212625436268</v>
      </c>
      <c r="BX89" s="24">
        <v>2.5995190876298051</v>
      </c>
      <c r="BY89" s="24">
        <v>175.56285268362709</v>
      </c>
      <c r="BZ89" s="24">
        <v>1.499925971031189</v>
      </c>
      <c r="CA89" s="24">
        <v>27.522184707952004</v>
      </c>
      <c r="CB89" s="24">
        <v>25.684867464119762</v>
      </c>
      <c r="CC89" s="24">
        <v>36.288505554199219</v>
      </c>
      <c r="CD89" s="24">
        <v>0.31873920559883118</v>
      </c>
      <c r="CE89" s="24">
        <v>1.0954923166568735</v>
      </c>
      <c r="CF89" s="24">
        <v>2.5731280309025992</v>
      </c>
      <c r="CG89" s="24">
        <v>173.63604426812913</v>
      </c>
      <c r="CH89" s="24">
        <v>1.501173734664917</v>
      </c>
      <c r="CI89" s="24">
        <v>27.528090120074165</v>
      </c>
      <c r="CJ89" s="24">
        <v>27.089558347271367</v>
      </c>
      <c r="CK89" s="24">
        <v>39.713493347167969</v>
      </c>
      <c r="CL89" s="24">
        <v>0.33472466468811035</v>
      </c>
    </row>
    <row r="90" spans="2:90">
      <c r="B90" s="24">
        <v>1</v>
      </c>
      <c r="C90" s="24">
        <v>1.5500947883230982</v>
      </c>
      <c r="D90" s="24">
        <v>1.8938222307443089</v>
      </c>
      <c r="E90" s="24">
        <v>125.10862605040667</v>
      </c>
      <c r="F90" s="24">
        <v>1.5334210395812988</v>
      </c>
      <c r="G90" s="24">
        <v>27.680095428098586</v>
      </c>
      <c r="H90" s="24">
        <v>4.6424314121966903</v>
      </c>
      <c r="I90" s="24">
        <v>8.9880552291870117</v>
      </c>
      <c r="J90" s="24">
        <v>0.62503319978713989</v>
      </c>
      <c r="K90" s="24">
        <v>1.5500947883230982</v>
      </c>
      <c r="L90" s="24">
        <v>1.8938222307443089</v>
      </c>
      <c r="M90" s="24">
        <v>125.10862605040667</v>
      </c>
      <c r="N90" s="24">
        <v>1.5334210395812988</v>
      </c>
      <c r="O90" s="24">
        <v>27.680095428098586</v>
      </c>
      <c r="P90" s="24">
        <v>6.8938439371009324</v>
      </c>
      <c r="Q90" s="24">
        <v>11.06907844543457</v>
      </c>
      <c r="R90" s="24">
        <v>0.45747265219688416</v>
      </c>
      <c r="S90" s="24">
        <v>1.5500947883230982</v>
      </c>
      <c r="T90" s="24">
        <v>1.8938222307443089</v>
      </c>
      <c r="U90" s="24">
        <v>125.10862605040667</v>
      </c>
      <c r="V90" s="24">
        <v>1.5334210395812988</v>
      </c>
      <c r="W90" s="24">
        <v>27.680095428098586</v>
      </c>
      <c r="X90" s="24">
        <v>9.0982724282856182</v>
      </c>
      <c r="Y90" s="24">
        <v>13.215072631835937</v>
      </c>
      <c r="Z90" s="24">
        <v>0.33907833695411682</v>
      </c>
      <c r="AA90" s="24">
        <v>1.5500947883230982</v>
      </c>
      <c r="AB90" s="24">
        <v>1.8938222307443089</v>
      </c>
      <c r="AC90" s="24">
        <v>125.10862605040667</v>
      </c>
      <c r="AD90" s="24">
        <v>1.5334210395812988</v>
      </c>
      <c r="AE90" s="24">
        <v>27.680095428098586</v>
      </c>
      <c r="AF90" s="24">
        <v>11.249031856819695</v>
      </c>
      <c r="AG90" s="24">
        <v>15.427072525024414</v>
      </c>
      <c r="AH90" s="24">
        <v>0.28594383597373962</v>
      </c>
      <c r="AI90" s="24">
        <v>1.5300877445858705</v>
      </c>
      <c r="AJ90" s="24">
        <v>1.8290761715735637</v>
      </c>
      <c r="AK90" s="24">
        <v>120.58867324407062</v>
      </c>
      <c r="AL90" s="24">
        <v>1.5365076065063477</v>
      </c>
      <c r="AM90" s="24">
        <v>27.694583372504951</v>
      </c>
      <c r="AN90" s="24">
        <v>13.078516957864682</v>
      </c>
      <c r="AO90" s="24">
        <v>17.42308235168457</v>
      </c>
      <c r="AP90" s="24">
        <v>0.2375861257314682</v>
      </c>
      <c r="AQ90" s="24">
        <v>1.5300877445858705</v>
      </c>
      <c r="AR90" s="24">
        <v>1.8290761715735637</v>
      </c>
      <c r="AS90" s="24">
        <v>120.58867324407062</v>
      </c>
      <c r="AT90" s="24">
        <v>1.5365076065063477</v>
      </c>
      <c r="AU90" s="24">
        <v>27.694583372504951</v>
      </c>
      <c r="AV90" s="24">
        <v>15.080564161869784</v>
      </c>
      <c r="AW90" s="24">
        <v>19.731086730957031</v>
      </c>
      <c r="AX90" s="24">
        <v>0.21380625665187836</v>
      </c>
      <c r="AY90" s="24">
        <v>1.5300877445858705</v>
      </c>
      <c r="AZ90" s="24">
        <v>1.8290761715735637</v>
      </c>
      <c r="BA90" s="24">
        <v>120.58867324407062</v>
      </c>
      <c r="BB90" s="24">
        <v>1.5365076065063477</v>
      </c>
      <c r="BC90" s="24">
        <v>27.694583372504951</v>
      </c>
      <c r="BD90" s="24">
        <v>17.019652438458056</v>
      </c>
      <c r="BE90" s="24">
        <v>22.125082015991211</v>
      </c>
      <c r="BF90" s="24">
        <v>0.19499173760414124</v>
      </c>
      <c r="BG90" s="24">
        <v>1.5300877445858705</v>
      </c>
      <c r="BH90" s="24">
        <v>1.8290761715735637</v>
      </c>
      <c r="BI90" s="24">
        <v>120.58867324407062</v>
      </c>
      <c r="BJ90" s="24">
        <v>1.5365076065063477</v>
      </c>
      <c r="BK90" s="24">
        <v>27.694583372504951</v>
      </c>
      <c r="BL90" s="24">
        <v>18.887502373887042</v>
      </c>
      <c r="BM90" s="24">
        <v>24.615072250366211</v>
      </c>
      <c r="BN90" s="24">
        <v>0.18375131487846375</v>
      </c>
      <c r="BO90" s="24">
        <v>1.5048691950262525</v>
      </c>
      <c r="BP90" s="24">
        <v>1.7643301124028183</v>
      </c>
      <c r="BQ90" s="24">
        <v>116.08667167625184</v>
      </c>
      <c r="BR90" s="24">
        <v>1.5395965576171875</v>
      </c>
      <c r="BS90" s="24">
        <v>27.70907131691132</v>
      </c>
      <c r="BT90" s="24">
        <v>20.300064660641912</v>
      </c>
      <c r="BU90" s="24">
        <v>26.658069610595703</v>
      </c>
      <c r="BV90" s="24">
        <v>0.16964414715766907</v>
      </c>
      <c r="BW90" s="24">
        <v>1.5048691950262525</v>
      </c>
      <c r="BX90" s="24">
        <v>1.7643301124028183</v>
      </c>
      <c r="BY90" s="24">
        <v>116.08667167625184</v>
      </c>
      <c r="BZ90" s="24">
        <v>1.5395965576171875</v>
      </c>
      <c r="CA90" s="24">
        <v>27.70907131691132</v>
      </c>
      <c r="CB90" s="24">
        <v>21.986290543865262</v>
      </c>
      <c r="CC90" s="24">
        <v>29.304073333740234</v>
      </c>
      <c r="CD90" s="24">
        <v>0.16457286477088928</v>
      </c>
      <c r="CE90" s="24">
        <v>1.4801802091215053</v>
      </c>
      <c r="CF90" s="24">
        <v>1.6833975384393862</v>
      </c>
      <c r="CG90" s="24">
        <v>110.48427972750783</v>
      </c>
      <c r="CH90" s="24">
        <v>1.5434609651565552</v>
      </c>
      <c r="CI90" s="24">
        <v>27.727181247419281</v>
      </c>
      <c r="CJ90" s="24">
        <v>23.06487857390665</v>
      </c>
      <c r="CK90" s="24">
        <v>31.165079116821289</v>
      </c>
      <c r="CL90" s="24">
        <v>0.15132059156894684</v>
      </c>
    </row>
    <row r="91" spans="2:90">
      <c r="B91" s="24">
        <v>1.5</v>
      </c>
      <c r="C91" s="24">
        <v>1.9349928715691598</v>
      </c>
      <c r="D91" s="24">
        <v>0.97820504397134544</v>
      </c>
      <c r="E91" s="24">
        <v>62.824543706492129</v>
      </c>
      <c r="F91" s="24">
        <v>1.5772843360900879</v>
      </c>
      <c r="G91" s="24">
        <v>27.884979108578637</v>
      </c>
      <c r="H91" s="24">
        <v>2.9019232804422384</v>
      </c>
      <c r="I91" s="24">
        <v>7.5155515670776367</v>
      </c>
      <c r="J91" s="24">
        <v>0.42059880495071411</v>
      </c>
      <c r="K91" s="24">
        <v>1.9349928715691598</v>
      </c>
      <c r="L91" s="24">
        <v>0.97820504397134544</v>
      </c>
      <c r="M91" s="24">
        <v>62.824543706492129</v>
      </c>
      <c r="N91" s="24">
        <v>1.5772843360900879</v>
      </c>
      <c r="O91" s="24">
        <v>27.884979108578637</v>
      </c>
      <c r="P91" s="24">
        <v>4.3442998848505097</v>
      </c>
      <c r="Q91" s="24">
        <v>8.795527458190918</v>
      </c>
      <c r="R91" s="24">
        <v>0.29164066910743713</v>
      </c>
      <c r="S91" s="24">
        <v>1.9349928715691598</v>
      </c>
      <c r="T91" s="24">
        <v>0.97820504397134544</v>
      </c>
      <c r="U91" s="24">
        <v>62.824543706492129</v>
      </c>
      <c r="V91" s="24">
        <v>1.5772843360900879</v>
      </c>
      <c r="W91" s="24">
        <v>27.884979108578637</v>
      </c>
      <c r="X91" s="24">
        <v>5.7749214704610479</v>
      </c>
      <c r="Y91" s="24">
        <v>10.104538917541504</v>
      </c>
      <c r="Z91" s="24">
        <v>0.21363922953605652</v>
      </c>
      <c r="AA91" s="24">
        <v>1.9349928715691598</v>
      </c>
      <c r="AB91" s="24">
        <v>0.97820504397134544</v>
      </c>
      <c r="AC91" s="24">
        <v>62.824543706492129</v>
      </c>
      <c r="AD91" s="24">
        <v>1.5772843360900879</v>
      </c>
      <c r="AE91" s="24">
        <v>27.884979108578637</v>
      </c>
      <c r="AF91" s="24">
        <v>7.1927633356005591</v>
      </c>
      <c r="AG91" s="24">
        <v>11.443543434143066</v>
      </c>
      <c r="AH91" s="24">
        <v>0.18781751394271851</v>
      </c>
      <c r="AI91" s="24">
        <v>1.9349928715691598</v>
      </c>
      <c r="AJ91" s="24">
        <v>0.97820504397134544</v>
      </c>
      <c r="AK91" s="24">
        <v>62.824543706492129</v>
      </c>
      <c r="AL91" s="24">
        <v>1.5772843360900879</v>
      </c>
      <c r="AM91" s="24">
        <v>27.884979108578637</v>
      </c>
      <c r="AN91" s="24">
        <v>8.5996481421444884</v>
      </c>
      <c r="AO91" s="24">
        <v>12.816543579101563</v>
      </c>
      <c r="AP91" s="24">
        <v>0.14988419413566589</v>
      </c>
      <c r="AQ91" s="24">
        <v>1.9349928715691598</v>
      </c>
      <c r="AR91" s="24">
        <v>0.97820504397134544</v>
      </c>
      <c r="AS91" s="24">
        <v>62.824543706492129</v>
      </c>
      <c r="AT91" s="24">
        <v>1.5772843360900879</v>
      </c>
      <c r="AU91" s="24">
        <v>27.884979108578637</v>
      </c>
      <c r="AV91" s="24">
        <v>9.991855273865708</v>
      </c>
      <c r="AW91" s="24">
        <v>14.222537040710449</v>
      </c>
      <c r="AX91" s="24">
        <v>0.13467702269554138</v>
      </c>
      <c r="AY91" s="24">
        <v>1.9349928715691598</v>
      </c>
      <c r="AZ91" s="24">
        <v>0.97820504397134544</v>
      </c>
      <c r="BA91" s="24">
        <v>62.824543706492129</v>
      </c>
      <c r="BB91" s="24">
        <v>1.5772843360900879</v>
      </c>
      <c r="BC91" s="24">
        <v>27.884979108578637</v>
      </c>
      <c r="BD91" s="24">
        <v>11.371284270987053</v>
      </c>
      <c r="BE91" s="24">
        <v>15.666530609130859</v>
      </c>
      <c r="BF91" s="24">
        <v>0.11663351953029633</v>
      </c>
      <c r="BG91" s="24">
        <v>1.9349928715691598</v>
      </c>
      <c r="BH91" s="24">
        <v>0.97820504397134544</v>
      </c>
      <c r="BI91" s="24">
        <v>62.824543706492129</v>
      </c>
      <c r="BJ91" s="24">
        <v>1.5772843360900879</v>
      </c>
      <c r="BK91" s="24">
        <v>27.884979108578637</v>
      </c>
      <c r="BL91" s="24">
        <v>12.734430221770136</v>
      </c>
      <c r="BM91" s="24">
        <v>17.148536682128906</v>
      </c>
      <c r="BN91" s="24">
        <v>0.10657356679439545</v>
      </c>
      <c r="BO91" s="24">
        <v>1.9349928715691598</v>
      </c>
      <c r="BP91" s="24">
        <v>0.97820504397134544</v>
      </c>
      <c r="BQ91" s="24">
        <v>62.824543706492129</v>
      </c>
      <c r="BR91" s="24">
        <v>1.5772843360900879</v>
      </c>
      <c r="BS91" s="24">
        <v>27.884979108578637</v>
      </c>
      <c r="BT91" s="24">
        <v>14.081860812628989</v>
      </c>
      <c r="BU91" s="24">
        <v>18.673551559448242</v>
      </c>
      <c r="BV91" s="24">
        <v>9.7003482282161713E-2</v>
      </c>
      <c r="BW91" s="24">
        <v>1.9349928715691598</v>
      </c>
      <c r="BX91" s="24">
        <v>0.97820504397134544</v>
      </c>
      <c r="BY91" s="24">
        <v>62.824543706492129</v>
      </c>
      <c r="BZ91" s="24">
        <v>1.5772843360900879</v>
      </c>
      <c r="CA91" s="24">
        <v>27.884979108578637</v>
      </c>
      <c r="CB91" s="24">
        <v>15.410630654292042</v>
      </c>
      <c r="CC91" s="24">
        <v>20.243549346923828</v>
      </c>
      <c r="CD91" s="24">
        <v>9.0015009045600891E-2</v>
      </c>
      <c r="CE91" s="24">
        <v>1.9349928715691598</v>
      </c>
      <c r="CF91" s="24">
        <v>0.97820504397134544</v>
      </c>
      <c r="CG91" s="24">
        <v>62.824543706492129</v>
      </c>
      <c r="CH91" s="24">
        <v>1.5772843360900879</v>
      </c>
      <c r="CI91" s="24">
        <v>27.884979108578637</v>
      </c>
      <c r="CJ91" s="24">
        <v>16.720362571923381</v>
      </c>
      <c r="CK91" s="24">
        <v>21.864542007446289</v>
      </c>
      <c r="CL91" s="24">
        <v>8.4915116429328918E-2</v>
      </c>
    </row>
    <row r="92" spans="2:90">
      <c r="B92" s="24"/>
      <c r="I92" s="24"/>
      <c r="J92" s="24"/>
      <c r="AQ92" s="24"/>
      <c r="AR92" s="24"/>
      <c r="AS92" s="24"/>
      <c r="AT92" s="24"/>
      <c r="AU92" s="24"/>
      <c r="AV92" s="24"/>
      <c r="AW92" s="24"/>
      <c r="AX92" s="24"/>
    </row>
    <row r="93" spans="2:90">
      <c r="B93" s="24"/>
      <c r="I93" s="24"/>
      <c r="J93" s="24"/>
    </row>
    <row r="94" spans="2:90">
      <c r="B94" s="19" t="s">
        <v>148</v>
      </c>
      <c r="C94" s="25" t="s">
        <v>237</v>
      </c>
      <c r="D94" s="24">
        <v>0</v>
      </c>
      <c r="E94" s="19" t="s">
        <v>339</v>
      </c>
      <c r="F94" s="24">
        <v>0.5</v>
      </c>
      <c r="G94" s="24"/>
      <c r="H94" s="24">
        <v>1</v>
      </c>
      <c r="I94" s="24"/>
      <c r="J94" s="24">
        <v>1.5</v>
      </c>
      <c r="L94" s="24"/>
      <c r="M94" s="25" t="s">
        <v>237</v>
      </c>
      <c r="N94" s="24">
        <v>0</v>
      </c>
      <c r="O94" s="19" t="s">
        <v>335</v>
      </c>
      <c r="P94" s="24">
        <v>0.5</v>
      </c>
      <c r="Q94" s="24"/>
      <c r="R94" s="24">
        <v>1</v>
      </c>
      <c r="S94" s="24"/>
      <c r="T94" s="24">
        <v>1.5</v>
      </c>
    </row>
    <row r="95" spans="2:90">
      <c r="B95" s="24">
        <v>15</v>
      </c>
      <c r="C95" s="24" t="s">
        <v>156</v>
      </c>
      <c r="D95" s="24">
        <v>312.82915482566352</v>
      </c>
      <c r="E95" s="24">
        <f>100*(D95-$D$100)/$D$100</f>
        <v>8.2399331822400317</v>
      </c>
      <c r="F95" s="24">
        <v>212.78079487181307</v>
      </c>
      <c r="G95" s="24">
        <f>100*(F95-$F$100)/$F$100</f>
        <v>6.9609303692583406</v>
      </c>
      <c r="H95" s="24">
        <v>125.10862605040667</v>
      </c>
      <c r="I95" s="24">
        <f>100*(H95-$H$100)/$H$100</f>
        <v>3.7482399339345065</v>
      </c>
      <c r="J95" s="24">
        <v>62.824543706492129</v>
      </c>
      <c r="K95" s="24">
        <f>100*(J95-$J$100)/$J$100</f>
        <v>0</v>
      </c>
      <c r="L95" s="24">
        <v>15</v>
      </c>
      <c r="M95" s="24" t="s">
        <v>154</v>
      </c>
      <c r="N95" s="24">
        <v>0.97036423983484033</v>
      </c>
      <c r="O95" s="24">
        <f>100*(N95-$N$100)/$N$100</f>
        <v>7.8068350407810678</v>
      </c>
      <c r="P95" s="24">
        <v>1.2348797365332367</v>
      </c>
      <c r="Q95" s="24">
        <f>100*(P95-$P$100)/$P$100</f>
        <v>4.2138585524101133</v>
      </c>
      <c r="R95" s="24">
        <v>1.5500947883230982</v>
      </c>
      <c r="S95" s="24">
        <f>100*(R95-$R$100)/$R$100</f>
        <v>1.3075749288249334</v>
      </c>
      <c r="T95" s="24">
        <v>1.9349928715691598</v>
      </c>
      <c r="U95" s="24">
        <f>100*(T95-$T$100)/$T$100</f>
        <v>0</v>
      </c>
    </row>
    <row r="96" spans="2:90">
      <c r="B96" s="24">
        <v>20</v>
      </c>
      <c r="C96" s="24" t="s">
        <v>156</v>
      </c>
      <c r="D96" s="24">
        <v>312.82915482566352</v>
      </c>
      <c r="E96" s="24">
        <f t="shared" ref="E96:E105" si="26">100*(D96-$D$100)/$D$100</f>
        <v>8.2399331822400317</v>
      </c>
      <c r="F96" s="24">
        <v>207.8168390192177</v>
      </c>
      <c r="G96" s="24">
        <f t="shared" ref="G96:G105" si="27">100*(F96-$F$100)/$F$100</f>
        <v>4.4656424997615201</v>
      </c>
      <c r="H96" s="24">
        <v>125.10862605040667</v>
      </c>
      <c r="I96" s="24">
        <f t="shared" ref="I96:I105" si="28">100*(H96-$H$100)/$H$100</f>
        <v>3.7482399339345065</v>
      </c>
      <c r="J96" s="24">
        <v>62.824543706492129</v>
      </c>
      <c r="K96" s="24">
        <f t="shared" ref="K96:K105" si="29">100*(J96-$J$100)/$J$100</f>
        <v>0</v>
      </c>
      <c r="L96" s="24">
        <v>20</v>
      </c>
      <c r="M96" s="24" t="s">
        <v>154</v>
      </c>
      <c r="N96" s="24">
        <v>0.97036423983484033</v>
      </c>
      <c r="O96" s="24">
        <f t="shared" ref="O96:O105" si="30">100*(N96-$N$100)/$N$100</f>
        <v>7.8068350407810678</v>
      </c>
      <c r="P96" s="24">
        <v>1.2204728768848743</v>
      </c>
      <c r="Q96" s="24">
        <f t="shared" ref="Q96:Q105" si="31">100*(P96-$P$100)/$P$100</f>
        <v>2.9980361616452975</v>
      </c>
      <c r="R96" s="24">
        <v>1.5500947883230982</v>
      </c>
      <c r="S96" s="24">
        <f t="shared" ref="S96:S105" si="32">100*(R96-$R$100)/$R$100</f>
        <v>1.3075749288249334</v>
      </c>
      <c r="T96" s="24">
        <v>1.9349928715691598</v>
      </c>
      <c r="U96" s="24">
        <f t="shared" ref="U96:U105" si="33">100*(T96-$T$100)/$T$100</f>
        <v>0</v>
      </c>
    </row>
    <row r="97" spans="2:21">
      <c r="B97" s="24">
        <v>25</v>
      </c>
      <c r="C97" s="24" t="s">
        <v>156</v>
      </c>
      <c r="D97" s="24">
        <v>306.83352261131199</v>
      </c>
      <c r="E97" s="24">
        <f t="shared" si="26"/>
        <v>6.1654243960357595</v>
      </c>
      <c r="F97" s="24">
        <v>204.84829052426781</v>
      </c>
      <c r="G97" s="24">
        <f t="shared" si="27"/>
        <v>2.9734086303590384</v>
      </c>
      <c r="H97" s="24">
        <v>125.10862605040667</v>
      </c>
      <c r="I97" s="24">
        <f t="shared" si="28"/>
        <v>3.7482399339345065</v>
      </c>
      <c r="J97" s="24">
        <v>62.824543706492129</v>
      </c>
      <c r="K97" s="24">
        <f t="shared" si="29"/>
        <v>0</v>
      </c>
      <c r="L97" s="24">
        <v>25</v>
      </c>
      <c r="M97" s="24" t="s">
        <v>154</v>
      </c>
      <c r="N97" s="24">
        <v>0.9526434727739147</v>
      </c>
      <c r="O97" s="24">
        <f t="shared" si="30"/>
        <v>5.8380693619690822</v>
      </c>
      <c r="P97" s="24">
        <v>1.2097428771829399</v>
      </c>
      <c r="Q97" s="24">
        <f t="shared" si="31"/>
        <v>2.0925110014835244</v>
      </c>
      <c r="R97" s="24">
        <v>1.5500947883230982</v>
      </c>
      <c r="S97" s="24">
        <f t="shared" si="32"/>
        <v>1.3075749288249334</v>
      </c>
      <c r="T97" s="24">
        <v>1.9349928715691598</v>
      </c>
      <c r="U97" s="24">
        <f t="shared" si="33"/>
        <v>0</v>
      </c>
    </row>
    <row r="98" spans="2:21">
      <c r="B98" s="24">
        <v>30</v>
      </c>
      <c r="C98" s="24" t="s">
        <v>156</v>
      </c>
      <c r="D98" s="24">
        <v>300.86598803307766</v>
      </c>
      <c r="E98" s="24">
        <f t="shared" si="26"/>
        <v>4.1006374858426886</v>
      </c>
      <c r="F98" s="24">
        <v>201.88708298868747</v>
      </c>
      <c r="G98" s="24">
        <f t="shared" si="27"/>
        <v>1.4848649240863743</v>
      </c>
      <c r="H98" s="24">
        <v>125.10862605040667</v>
      </c>
      <c r="I98" s="24">
        <f t="shared" si="28"/>
        <v>3.7482399339345065</v>
      </c>
      <c r="J98" s="24">
        <v>62.824543706492129</v>
      </c>
      <c r="K98" s="24">
        <f t="shared" si="29"/>
        <v>0</v>
      </c>
      <c r="L98" s="24">
        <v>30</v>
      </c>
      <c r="M98" s="24" t="s">
        <v>154</v>
      </c>
      <c r="N98" s="24">
        <v>0.9350271579258348</v>
      </c>
      <c r="O98" s="24">
        <f t="shared" si="30"/>
        <v>3.8809082559738157</v>
      </c>
      <c r="P98" s="24">
        <v>1.195534266858769</v>
      </c>
      <c r="Q98" s="24">
        <f t="shared" si="31"/>
        <v>0.89341924967744513</v>
      </c>
      <c r="R98" s="24">
        <v>1.5500947883230982</v>
      </c>
      <c r="S98" s="24">
        <f t="shared" si="32"/>
        <v>1.3075749288249334</v>
      </c>
      <c r="T98" s="24">
        <v>1.9349928715691598</v>
      </c>
      <c r="U98" s="24">
        <f t="shared" si="33"/>
        <v>0</v>
      </c>
    </row>
    <row r="99" spans="2:21">
      <c r="B99" s="24">
        <v>35</v>
      </c>
      <c r="C99" s="24" t="s">
        <v>156</v>
      </c>
      <c r="D99" s="24">
        <v>294.9263850962289</v>
      </c>
      <c r="E99" s="24">
        <f t="shared" si="26"/>
        <v>2.045515016928853</v>
      </c>
      <c r="F99" s="24">
        <v>198.93319377200223</v>
      </c>
      <c r="G99" s="24">
        <f t="shared" si="27"/>
        <v>0</v>
      </c>
      <c r="H99" s="24">
        <v>120.58867324407062</v>
      </c>
      <c r="I99" s="24">
        <f t="shared" si="28"/>
        <v>0</v>
      </c>
      <c r="J99" s="24">
        <v>62.824543706492129</v>
      </c>
      <c r="K99" s="24">
        <f t="shared" si="29"/>
        <v>0</v>
      </c>
      <c r="L99" s="24">
        <v>35</v>
      </c>
      <c r="M99" s="24" t="s">
        <v>154</v>
      </c>
      <c r="N99" s="24">
        <v>0.91751400475159217</v>
      </c>
      <c r="O99" s="24">
        <f t="shared" si="30"/>
        <v>1.9352083447519668</v>
      </c>
      <c r="P99" s="24">
        <v>1.1849477158666035</v>
      </c>
      <c r="Q99" s="24">
        <f t="shared" si="31"/>
        <v>0</v>
      </c>
      <c r="R99" s="24">
        <v>1.5300877445858705</v>
      </c>
      <c r="S99" s="24">
        <f t="shared" si="32"/>
        <v>0</v>
      </c>
      <c r="T99" s="24">
        <v>1.9349928715691598</v>
      </c>
      <c r="U99" s="24">
        <f t="shared" si="33"/>
        <v>0</v>
      </c>
    </row>
    <row r="100" spans="2:21">
      <c r="B100" s="24">
        <v>40</v>
      </c>
      <c r="C100" s="24" t="s">
        <v>156</v>
      </c>
      <c r="D100" s="24">
        <v>289.0145490934139</v>
      </c>
      <c r="E100" s="24">
        <f t="shared" si="26"/>
        <v>0</v>
      </c>
      <c r="F100" s="24">
        <v>198.93319377200223</v>
      </c>
      <c r="G100" s="24">
        <f t="shared" si="27"/>
        <v>0</v>
      </c>
      <c r="H100" s="24">
        <v>120.58867324407062</v>
      </c>
      <c r="I100" s="24">
        <f t="shared" si="28"/>
        <v>0</v>
      </c>
      <c r="J100" s="24">
        <v>62.824543706492129</v>
      </c>
      <c r="K100" s="24">
        <f t="shared" si="29"/>
        <v>0</v>
      </c>
      <c r="L100" s="24">
        <v>40</v>
      </c>
      <c r="M100" s="24" t="s">
        <v>154</v>
      </c>
      <c r="N100" s="24">
        <v>0.90009528567253816</v>
      </c>
      <c r="O100" s="24">
        <f t="shared" si="30"/>
        <v>0</v>
      </c>
      <c r="P100" s="24">
        <v>1.1849477158666035</v>
      </c>
      <c r="Q100" s="24">
        <f t="shared" si="31"/>
        <v>0</v>
      </c>
      <c r="R100" s="24">
        <v>1.5300877445858705</v>
      </c>
      <c r="S100" s="24">
        <f t="shared" si="32"/>
        <v>0</v>
      </c>
      <c r="T100" s="24">
        <v>1.9349928715691598</v>
      </c>
      <c r="U100" s="24">
        <f t="shared" si="33"/>
        <v>0</v>
      </c>
    </row>
    <row r="101" spans="2:21">
      <c r="B101" s="24">
        <v>45</v>
      </c>
      <c r="C101" s="24" t="s">
        <v>156</v>
      </c>
      <c r="D101" s="24">
        <v>277.27352542281295</v>
      </c>
      <c r="E101" s="24">
        <f t="shared" si="26"/>
        <v>-4.0624334336905905</v>
      </c>
      <c r="F101" s="24">
        <v>191.0917631147791</v>
      </c>
      <c r="G101" s="24">
        <f t="shared" si="27"/>
        <v>-3.941740696231022</v>
      </c>
      <c r="H101" s="24">
        <v>120.58867324407062</v>
      </c>
      <c r="I101" s="24">
        <f t="shared" si="28"/>
        <v>0</v>
      </c>
      <c r="J101" s="24">
        <v>62.824543706492129</v>
      </c>
      <c r="K101" s="24">
        <f t="shared" si="29"/>
        <v>0</v>
      </c>
      <c r="L101" s="24">
        <v>45</v>
      </c>
      <c r="M101" s="24" t="s">
        <v>154</v>
      </c>
      <c r="N101" s="24">
        <v>0.86553062788129864</v>
      </c>
      <c r="O101" s="24">
        <f t="shared" si="30"/>
        <v>-3.8401109684085619</v>
      </c>
      <c r="P101" s="24">
        <v>1.1604729003957954</v>
      </c>
      <c r="Q101" s="24">
        <f t="shared" si="31"/>
        <v>-2.0654764039870406</v>
      </c>
      <c r="R101" s="24">
        <v>1.5300877445858705</v>
      </c>
      <c r="S101" s="24">
        <f t="shared" si="32"/>
        <v>0</v>
      </c>
      <c r="T101" s="24">
        <v>1.9349928715691598</v>
      </c>
      <c r="U101" s="24">
        <f t="shared" si="33"/>
        <v>0</v>
      </c>
    </row>
    <row r="102" spans="2:21">
      <c r="B102" s="24">
        <v>50</v>
      </c>
      <c r="C102" s="24" t="s">
        <v>156</v>
      </c>
      <c r="D102" s="24">
        <v>268.53943949372479</v>
      </c>
      <c r="E102" s="24">
        <f t="shared" si="26"/>
        <v>-7.0844563583099243</v>
      </c>
      <c r="F102" s="24">
        <v>188.1645155078433</v>
      </c>
      <c r="G102" s="24">
        <f t="shared" si="27"/>
        <v>-5.4132133808201592</v>
      </c>
      <c r="H102" s="24">
        <v>120.58867324407062</v>
      </c>
      <c r="I102" s="24">
        <f t="shared" si="28"/>
        <v>0</v>
      </c>
      <c r="J102" s="24">
        <v>62.824543706492129</v>
      </c>
      <c r="K102" s="24">
        <f t="shared" si="29"/>
        <v>0</v>
      </c>
      <c r="L102" s="24">
        <v>50</v>
      </c>
      <c r="M102" s="24" t="s">
        <v>154</v>
      </c>
      <c r="N102" s="24">
        <v>0.83982672200577047</v>
      </c>
      <c r="O102" s="24">
        <f t="shared" si="30"/>
        <v>-6.6957981700499518</v>
      </c>
      <c r="P102" s="24">
        <v>1.1500756882087306</v>
      </c>
      <c r="Q102" s="24">
        <f t="shared" si="31"/>
        <v>-2.9429169904234529</v>
      </c>
      <c r="R102" s="24">
        <v>1.5300877445858705</v>
      </c>
      <c r="S102" s="24">
        <f t="shared" si="32"/>
        <v>0</v>
      </c>
      <c r="T102" s="24">
        <v>1.9349928715691598</v>
      </c>
      <c r="U102" s="24">
        <f t="shared" si="33"/>
        <v>0</v>
      </c>
    </row>
    <row r="103" spans="2:21">
      <c r="B103" s="24">
        <v>55</v>
      </c>
      <c r="C103" s="24" t="s">
        <v>156</v>
      </c>
      <c r="D103" s="24">
        <v>258.42653435784052</v>
      </c>
      <c r="E103" s="24">
        <f t="shared" si="26"/>
        <v>-10.583555337100648</v>
      </c>
      <c r="F103" s="24">
        <v>185.24448176821588</v>
      </c>
      <c r="G103" s="24">
        <f t="shared" si="27"/>
        <v>-6.8810597890842757</v>
      </c>
      <c r="H103" s="24">
        <v>116.08667167625184</v>
      </c>
      <c r="I103" s="24">
        <f t="shared" si="28"/>
        <v>-3.7333535950816552</v>
      </c>
      <c r="J103" s="24">
        <v>62.824543706492129</v>
      </c>
      <c r="K103" s="24">
        <f t="shared" si="29"/>
        <v>0</v>
      </c>
      <c r="L103" s="24">
        <v>55</v>
      </c>
      <c r="M103" s="24" t="s">
        <v>154</v>
      </c>
      <c r="N103" s="24">
        <v>0.81005754905946747</v>
      </c>
      <c r="O103" s="24">
        <f t="shared" si="30"/>
        <v>-10.003133895518161</v>
      </c>
      <c r="P103" s="24">
        <v>1.1397324812221092</v>
      </c>
      <c r="Q103" s="24">
        <f t="shared" si="31"/>
        <v>-3.81579997488973</v>
      </c>
      <c r="R103" s="24">
        <v>1.5048691950262525</v>
      </c>
      <c r="S103" s="24">
        <f t="shared" si="32"/>
        <v>-1.6481766910984301</v>
      </c>
      <c r="T103" s="24">
        <v>1.9349928715691598</v>
      </c>
      <c r="U103" s="24">
        <f t="shared" si="33"/>
        <v>0</v>
      </c>
    </row>
    <row r="104" spans="2:21">
      <c r="B104" s="24">
        <v>60</v>
      </c>
      <c r="C104" s="24" t="s">
        <v>156</v>
      </c>
      <c r="D104" s="24">
        <v>248.39560047169473</v>
      </c>
      <c r="E104" s="24">
        <f t="shared" si="26"/>
        <v>-14.054291989497909</v>
      </c>
      <c r="F104" s="24">
        <v>175.56285268362709</v>
      </c>
      <c r="G104" s="24">
        <f t="shared" si="27"/>
        <v>-11.747833855801835</v>
      </c>
      <c r="H104" s="24">
        <v>116.08667167625184</v>
      </c>
      <c r="I104" s="24">
        <f t="shared" si="28"/>
        <v>-3.7333535950816552</v>
      </c>
      <c r="J104" s="24">
        <v>62.824543706492129</v>
      </c>
      <c r="K104" s="24">
        <f t="shared" si="29"/>
        <v>0</v>
      </c>
      <c r="L104" s="24">
        <v>60</v>
      </c>
      <c r="M104" s="24" t="s">
        <v>154</v>
      </c>
      <c r="N104" s="24">
        <v>0.78050523759319224</v>
      </c>
      <c r="O104" s="24">
        <f t="shared" si="30"/>
        <v>-13.286376451798652</v>
      </c>
      <c r="P104" s="24">
        <v>1.1056212625436268</v>
      </c>
      <c r="Q104" s="24">
        <f t="shared" si="31"/>
        <v>-6.6945108430342728</v>
      </c>
      <c r="R104" s="24">
        <v>1.5048691950262525</v>
      </c>
      <c r="S104" s="24">
        <f t="shared" si="32"/>
        <v>-1.6481766910984301</v>
      </c>
      <c r="T104" s="24">
        <v>1.9349928715691598</v>
      </c>
      <c r="U104" s="24">
        <f t="shared" si="33"/>
        <v>0</v>
      </c>
    </row>
    <row r="105" spans="2:21">
      <c r="B105" s="24">
        <v>65</v>
      </c>
      <c r="C105" s="24" t="s">
        <v>156</v>
      </c>
      <c r="D105" s="24">
        <v>239.86226838434251</v>
      </c>
      <c r="E105" s="24">
        <f t="shared" si="26"/>
        <v>-17.00685341386901</v>
      </c>
      <c r="F105" s="24">
        <v>173.63604426812913</v>
      </c>
      <c r="G105" s="24">
        <f t="shared" si="27"/>
        <v>-12.716404449257583</v>
      </c>
      <c r="H105" s="24">
        <v>110.48427972750783</v>
      </c>
      <c r="I105" s="24">
        <f t="shared" si="28"/>
        <v>-8.379222728582123</v>
      </c>
      <c r="J105" s="24">
        <v>62.824543706492129</v>
      </c>
      <c r="K105" s="24">
        <f t="shared" si="29"/>
        <v>0</v>
      </c>
      <c r="L105" s="24">
        <v>65</v>
      </c>
      <c r="M105" s="24" t="s">
        <v>154</v>
      </c>
      <c r="N105" s="24">
        <v>0.75533284536777079</v>
      </c>
      <c r="O105" s="24">
        <f t="shared" si="30"/>
        <v>-16.083012833091662</v>
      </c>
      <c r="P105" s="24">
        <v>1.0954923166568735</v>
      </c>
      <c r="Q105" s="24">
        <f t="shared" si="31"/>
        <v>-7.5493119242233746</v>
      </c>
      <c r="R105" s="24">
        <v>1.4801802091215053</v>
      </c>
      <c r="S105" s="24">
        <f t="shared" si="32"/>
        <v>-3.2617433634744297</v>
      </c>
      <c r="T105" s="24">
        <v>1.9349928715691598</v>
      </c>
      <c r="U105" s="24">
        <f t="shared" si="33"/>
        <v>0</v>
      </c>
    </row>
    <row r="106" spans="2:21">
      <c r="B106" s="24"/>
      <c r="C106" s="24"/>
      <c r="D106" s="24"/>
      <c r="E106" s="24"/>
      <c r="F106" s="24"/>
      <c r="G106" s="24"/>
      <c r="I106" s="24"/>
      <c r="J106" s="24"/>
      <c r="K106" s="24"/>
      <c r="L106" s="24"/>
      <c r="M106" s="24"/>
      <c r="N106" s="24"/>
    </row>
    <row r="107" spans="2:21">
      <c r="B107" s="24"/>
      <c r="C107" s="24"/>
      <c r="D107" s="24"/>
      <c r="E107" s="24"/>
      <c r="F107" s="24"/>
      <c r="G107" s="24"/>
      <c r="I107" s="24"/>
      <c r="J107" s="24"/>
      <c r="K107" s="24"/>
      <c r="L107" s="24"/>
      <c r="M107" s="24"/>
      <c r="N107" s="24"/>
    </row>
    <row r="108" spans="2:21">
      <c r="B108" s="24"/>
      <c r="C108" s="24"/>
      <c r="D108" s="24"/>
      <c r="E108" s="24"/>
      <c r="F108" s="24"/>
      <c r="G108" s="24"/>
      <c r="I108" s="24"/>
      <c r="J108" s="24"/>
      <c r="K108" s="24"/>
      <c r="L108" s="24"/>
      <c r="M108" s="24"/>
      <c r="N108" s="24"/>
    </row>
    <row r="109" spans="2:21">
      <c r="B109" s="24"/>
      <c r="C109" s="24"/>
      <c r="D109" s="24"/>
      <c r="E109" s="24"/>
      <c r="F109" s="24"/>
      <c r="G109" s="24"/>
      <c r="I109" s="24"/>
      <c r="J109" s="24"/>
      <c r="K109" s="24"/>
      <c r="L109" s="24"/>
      <c r="M109" s="24"/>
      <c r="N109" s="24"/>
    </row>
    <row r="110" spans="2:21">
      <c r="B110" s="24"/>
      <c r="C110" s="24"/>
      <c r="D110" s="24"/>
      <c r="E110" s="24"/>
      <c r="F110" s="24"/>
      <c r="G110" s="24"/>
      <c r="I110" s="24"/>
      <c r="J110" s="24"/>
      <c r="K110" s="24"/>
      <c r="L110" s="24"/>
      <c r="M110" s="24"/>
      <c r="N110" s="24"/>
    </row>
    <row r="111" spans="2:21">
      <c r="B111" s="24"/>
      <c r="I111" s="24">
        <v>25</v>
      </c>
      <c r="J111" s="24"/>
      <c r="K111" s="24"/>
      <c r="L111" s="24"/>
      <c r="M111" s="24"/>
      <c r="N111" s="24"/>
    </row>
    <row r="112" spans="2:21">
      <c r="B112" s="24"/>
      <c r="I112" s="24"/>
      <c r="J112" s="24"/>
      <c r="K112" s="24"/>
      <c r="L112" s="24"/>
      <c r="M112" s="24"/>
      <c r="N112" s="24"/>
    </row>
    <row r="113" spans="2:9">
      <c r="B113" s="24"/>
      <c r="I113" s="24"/>
    </row>
    <row r="114" spans="2:9">
      <c r="B114" s="24"/>
      <c r="I114" s="24"/>
    </row>
    <row r="115" spans="2:9">
      <c r="B115" s="24"/>
      <c r="I115" s="24"/>
    </row>
    <row r="116" spans="2:9">
      <c r="B116" s="24"/>
      <c r="I116" s="24"/>
    </row>
    <row r="117" spans="2:9">
      <c r="B117" s="24"/>
      <c r="I117" s="24"/>
    </row>
    <row r="118" spans="2:9">
      <c r="B118" s="24"/>
      <c r="I118" s="24"/>
    </row>
    <row r="119" spans="2:9">
      <c r="B119" s="24"/>
      <c r="I119" s="24">
        <v>30</v>
      </c>
    </row>
    <row r="120" spans="2:9">
      <c r="B120" s="24"/>
      <c r="I120" s="24"/>
    </row>
    <row r="121" spans="2:9">
      <c r="B121" s="24"/>
      <c r="I121" s="24"/>
    </row>
    <row r="122" spans="2:9">
      <c r="B122" s="24"/>
      <c r="I122" s="24"/>
    </row>
    <row r="123" spans="2:9">
      <c r="B123" s="24"/>
      <c r="I123" s="24"/>
    </row>
    <row r="124" spans="2:9">
      <c r="B124" s="24"/>
      <c r="I124" s="24"/>
    </row>
    <row r="125" spans="2:9">
      <c r="B125" s="24"/>
      <c r="I125" s="24"/>
    </row>
    <row r="126" spans="2:9">
      <c r="B126" s="24"/>
      <c r="I126" s="24"/>
    </row>
    <row r="127" spans="2:9">
      <c r="B127" s="24"/>
      <c r="I127" s="24">
        <v>35</v>
      </c>
    </row>
    <row r="128" spans="2:9">
      <c r="B128" s="24"/>
      <c r="I128" s="24"/>
    </row>
    <row r="129" spans="2:9">
      <c r="B129" s="24"/>
      <c r="I129" s="24"/>
    </row>
    <row r="130" spans="2:9">
      <c r="B130" s="24"/>
      <c r="I130" s="24"/>
    </row>
    <row r="131" spans="2:9">
      <c r="B131" s="24"/>
      <c r="I131" s="24"/>
    </row>
    <row r="132" spans="2:9">
      <c r="B132" s="24"/>
      <c r="I132" s="24"/>
    </row>
    <row r="133" spans="2:9">
      <c r="B133" s="24"/>
      <c r="I133" s="24"/>
    </row>
    <row r="134" spans="2:9">
      <c r="B134" s="24"/>
      <c r="I134" s="24"/>
    </row>
    <row r="135" spans="2:9">
      <c r="B135" s="24"/>
      <c r="I135" s="24">
        <v>40</v>
      </c>
    </row>
    <row r="136" spans="2:9">
      <c r="B136" s="24"/>
      <c r="I136" s="24"/>
    </row>
    <row r="137" spans="2:9">
      <c r="B137" s="24"/>
      <c r="I137" s="24"/>
    </row>
    <row r="138" spans="2:9">
      <c r="B138" s="24"/>
      <c r="I138" s="24"/>
    </row>
    <row r="139" spans="2:9">
      <c r="B139" s="24"/>
      <c r="I139" s="24"/>
    </row>
    <row r="140" spans="2:9">
      <c r="B140" s="24"/>
      <c r="I140" s="24"/>
    </row>
    <row r="141" spans="2:9">
      <c r="B141" s="24"/>
      <c r="I141" s="24"/>
    </row>
    <row r="142" spans="2:9">
      <c r="B142" s="24"/>
      <c r="I142" s="24"/>
    </row>
    <row r="143" spans="2:9">
      <c r="B143" s="24"/>
      <c r="I143" s="24">
        <v>45</v>
      </c>
    </row>
    <row r="144" spans="2:9">
      <c r="B144" s="24"/>
      <c r="I144" s="24"/>
    </row>
    <row r="145" spans="2:9">
      <c r="B145" s="24"/>
      <c r="I145" s="24"/>
    </row>
    <row r="146" spans="2:9">
      <c r="B146" s="24"/>
      <c r="I146" s="24"/>
    </row>
    <row r="147" spans="2:9">
      <c r="B147" s="24"/>
      <c r="I147" s="24"/>
    </row>
    <row r="148" spans="2:9">
      <c r="B148" s="24"/>
      <c r="I148" s="24"/>
    </row>
    <row r="149" spans="2:9">
      <c r="B149" s="24"/>
      <c r="I149" s="24"/>
    </row>
    <row r="150" spans="2:9">
      <c r="B150" s="24"/>
      <c r="I150" s="24"/>
    </row>
    <row r="151" spans="2:9">
      <c r="B151" s="24"/>
      <c r="I151" s="24">
        <v>50</v>
      </c>
    </row>
    <row r="152" spans="2:9">
      <c r="B152" s="24"/>
      <c r="I152" s="24"/>
    </row>
    <row r="153" spans="2:9">
      <c r="B153" s="24"/>
      <c r="I153" s="24"/>
    </row>
    <row r="154" spans="2:9">
      <c r="B154" s="24"/>
      <c r="I154" s="24"/>
    </row>
    <row r="155" spans="2:9">
      <c r="B155" s="24"/>
      <c r="I155" s="24"/>
    </row>
    <row r="156" spans="2:9">
      <c r="B156" s="24"/>
      <c r="I156" s="24"/>
    </row>
    <row r="157" spans="2:9">
      <c r="B157" s="24"/>
      <c r="I157" s="24"/>
    </row>
    <row r="158" spans="2:9">
      <c r="B158" s="24"/>
      <c r="I158" s="24"/>
    </row>
    <row r="159" spans="2:9">
      <c r="B159" s="24"/>
      <c r="I159" s="24">
        <v>55</v>
      </c>
    </row>
    <row r="160" spans="2:9">
      <c r="B160" s="24"/>
      <c r="I160" s="24"/>
    </row>
    <row r="161" spans="2:9">
      <c r="B161" s="24"/>
      <c r="I161" s="24"/>
    </row>
    <row r="162" spans="2:9">
      <c r="B162" s="24"/>
      <c r="I162" s="24"/>
    </row>
    <row r="163" spans="2:9">
      <c r="B163" s="24"/>
      <c r="I163" s="24"/>
    </row>
    <row r="164" spans="2:9">
      <c r="B164" s="24"/>
      <c r="I164" s="24"/>
    </row>
    <row r="165" spans="2:9">
      <c r="B165" s="24"/>
      <c r="I165" s="24"/>
    </row>
    <row r="166" spans="2:9">
      <c r="B166" s="24"/>
      <c r="I166" s="24"/>
    </row>
    <row r="167" spans="2:9">
      <c r="B167" s="24"/>
      <c r="I167" s="24">
        <v>60</v>
      </c>
    </row>
    <row r="168" spans="2:9">
      <c r="B168" s="24"/>
      <c r="I168" s="24"/>
    </row>
    <row r="169" spans="2:9">
      <c r="B169" s="24"/>
      <c r="I169" s="24"/>
    </row>
    <row r="170" spans="2:9">
      <c r="B170" s="24"/>
      <c r="I170" s="24"/>
    </row>
    <row r="171" spans="2:9">
      <c r="B171" s="24"/>
      <c r="I171" s="24"/>
    </row>
    <row r="172" spans="2:9">
      <c r="B172" s="24"/>
      <c r="I172" s="24"/>
    </row>
    <row r="173" spans="2:9">
      <c r="B173" s="24"/>
      <c r="I173" s="24"/>
    </row>
    <row r="174" spans="2:9">
      <c r="B174" s="24"/>
      <c r="I174" s="24"/>
    </row>
    <row r="175" spans="2:9">
      <c r="B175" s="24"/>
      <c r="I175" s="24">
        <v>65</v>
      </c>
    </row>
    <row r="176" spans="2:9">
      <c r="B176" s="24"/>
      <c r="I176" s="24"/>
    </row>
    <row r="177" spans="2:9">
      <c r="B177" s="24"/>
      <c r="I177" s="24"/>
    </row>
    <row r="178" spans="2:9">
      <c r="B178" s="24"/>
      <c r="I178" s="24"/>
    </row>
    <row r="179" spans="2:9">
      <c r="B179" s="24"/>
      <c r="I179" s="24"/>
    </row>
    <row r="180" spans="2:9">
      <c r="B180" s="24"/>
      <c r="I180" s="24"/>
    </row>
    <row r="181" spans="2:9">
      <c r="B181" s="24"/>
      <c r="I181" s="24"/>
    </row>
    <row r="182" spans="2:9">
      <c r="B182" s="24"/>
      <c r="I182" s="2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9"/>
  <dimension ref="A3:BG145"/>
  <sheetViews>
    <sheetView topLeftCell="A96" workbookViewId="0">
      <selection activeCell="O93" sqref="O93:O110"/>
    </sheetView>
  </sheetViews>
  <sheetFormatPr defaultRowHeight="12.75"/>
  <sheetData>
    <row r="3" spans="2:37">
      <c r="B3" s="19" t="s">
        <v>332</v>
      </c>
    </row>
    <row r="5" spans="2:37">
      <c r="B5" s="24" t="s">
        <v>255</v>
      </c>
      <c r="C5" s="24"/>
      <c r="D5" s="24"/>
      <c r="E5" s="24"/>
      <c r="F5" s="24"/>
      <c r="G5" s="24"/>
      <c r="H5" s="24"/>
      <c r="I5" s="24"/>
      <c r="J5" s="24"/>
      <c r="K5" s="24"/>
      <c r="L5" s="24"/>
      <c r="M5" s="24"/>
      <c r="N5" s="24"/>
      <c r="O5" s="24"/>
      <c r="P5" s="24"/>
      <c r="Q5" s="24"/>
      <c r="R5" s="24"/>
      <c r="S5" s="24"/>
      <c r="T5" s="24" t="s">
        <v>253</v>
      </c>
      <c r="U5" s="24"/>
      <c r="V5" s="24"/>
      <c r="W5" s="24"/>
      <c r="X5" s="24"/>
      <c r="Y5" s="24"/>
      <c r="Z5" s="24"/>
      <c r="AA5" s="24"/>
      <c r="AB5" s="24"/>
      <c r="AC5" s="24" t="s">
        <v>253</v>
      </c>
      <c r="AD5" s="24"/>
      <c r="AE5" s="24"/>
      <c r="AF5" s="24"/>
      <c r="AG5" s="24"/>
      <c r="AH5" s="24"/>
      <c r="AI5" s="24"/>
      <c r="AJ5" s="24"/>
      <c r="AK5" s="24"/>
    </row>
    <row r="6" spans="2:37">
      <c r="B6" s="24" t="s">
        <v>267</v>
      </c>
      <c r="C6" s="24"/>
      <c r="D6" s="24"/>
      <c r="E6" s="24"/>
      <c r="F6" s="24"/>
      <c r="G6" s="24"/>
      <c r="H6" s="24"/>
      <c r="I6" s="24"/>
      <c r="J6" s="24"/>
      <c r="K6" s="24" t="s">
        <v>256</v>
      </c>
      <c r="L6" s="24"/>
      <c r="M6" s="24"/>
      <c r="N6" s="24"/>
      <c r="O6" s="24"/>
      <c r="P6" s="24"/>
      <c r="Q6" s="24"/>
      <c r="R6" s="24"/>
      <c r="S6" s="24"/>
      <c r="T6" s="24" t="s">
        <v>251</v>
      </c>
      <c r="U6" s="24"/>
      <c r="V6" s="24"/>
      <c r="W6" s="24"/>
      <c r="X6" s="24"/>
      <c r="Y6" s="24"/>
      <c r="Z6" s="24"/>
      <c r="AA6" s="24"/>
      <c r="AB6" s="24"/>
      <c r="AC6" s="24" t="s">
        <v>256</v>
      </c>
      <c r="AD6" s="24"/>
      <c r="AE6" s="24"/>
      <c r="AF6" s="24"/>
      <c r="AG6" s="24"/>
      <c r="AH6" s="24"/>
      <c r="AI6" s="24"/>
      <c r="AJ6" s="24"/>
      <c r="AK6" s="24"/>
    </row>
    <row r="7" spans="2:37">
      <c r="B7" s="25" t="s">
        <v>237</v>
      </c>
      <c r="C7" s="24" t="s">
        <v>154</v>
      </c>
      <c r="D7" s="24" t="s">
        <v>155</v>
      </c>
      <c r="E7" s="24" t="s">
        <v>156</v>
      </c>
      <c r="F7" s="24" t="s">
        <v>159</v>
      </c>
      <c r="G7" s="24" t="s">
        <v>238</v>
      </c>
      <c r="H7" s="24" t="s">
        <v>157</v>
      </c>
      <c r="I7" s="24" t="s">
        <v>160</v>
      </c>
      <c r="J7" s="24" t="s">
        <v>265</v>
      </c>
      <c r="K7" s="25" t="s">
        <v>237</v>
      </c>
      <c r="L7" s="24" t="s">
        <v>154</v>
      </c>
      <c r="M7" s="24" t="s">
        <v>155</v>
      </c>
      <c r="N7" s="24" t="s">
        <v>156</v>
      </c>
      <c r="O7" s="24" t="s">
        <v>159</v>
      </c>
      <c r="P7" s="24" t="s">
        <v>238</v>
      </c>
      <c r="Q7" s="24" t="s">
        <v>157</v>
      </c>
      <c r="R7" s="24" t="s">
        <v>160</v>
      </c>
      <c r="S7" s="24" t="s">
        <v>265</v>
      </c>
      <c r="T7" s="25" t="s">
        <v>237</v>
      </c>
      <c r="U7" s="24" t="s">
        <v>154</v>
      </c>
      <c r="V7" s="24" t="s">
        <v>155</v>
      </c>
      <c r="W7" s="24" t="s">
        <v>156</v>
      </c>
      <c r="X7" s="24" t="s">
        <v>159</v>
      </c>
      <c r="Y7" s="24" t="s">
        <v>238</v>
      </c>
      <c r="Z7" s="24" t="s">
        <v>157</v>
      </c>
      <c r="AA7" s="24" t="s">
        <v>160</v>
      </c>
      <c r="AB7" s="25"/>
      <c r="AC7" s="25" t="s">
        <v>237</v>
      </c>
      <c r="AD7" s="24" t="s">
        <v>154</v>
      </c>
      <c r="AE7" s="24" t="s">
        <v>155</v>
      </c>
      <c r="AF7" s="24" t="s">
        <v>156</v>
      </c>
      <c r="AG7" s="24" t="s">
        <v>159</v>
      </c>
      <c r="AH7" s="24" t="s">
        <v>238</v>
      </c>
      <c r="AI7" s="24" t="s">
        <v>157</v>
      </c>
      <c r="AJ7" s="24" t="s">
        <v>160</v>
      </c>
      <c r="AK7" s="25"/>
    </row>
    <row r="8" spans="2:37">
      <c r="B8" s="24">
        <v>0</v>
      </c>
      <c r="C8" s="24">
        <v>0.90009429202363278</v>
      </c>
      <c r="D8" s="24">
        <v>5.7606566953085734</v>
      </c>
      <c r="E8" s="24">
        <v>431.25327869148742</v>
      </c>
      <c r="F8" s="24">
        <v>1.3531596660614014</v>
      </c>
      <c r="G8" s="24">
        <v>26.814830677336008</v>
      </c>
      <c r="H8" s="24">
        <v>31.89832936358599</v>
      </c>
      <c r="I8" s="24">
        <v>28.01202392578125</v>
      </c>
      <c r="J8" s="24">
        <v>0.57818597555160522</v>
      </c>
      <c r="K8" s="24">
        <v>0</v>
      </c>
      <c r="L8" s="24">
        <v>0.86553007526798342</v>
      </c>
      <c r="M8" s="24">
        <v>1.1227985027160596</v>
      </c>
      <c r="N8" s="24">
        <v>72.430451228824964</v>
      </c>
      <c r="O8" s="24">
        <v>1.5703269243240356</v>
      </c>
      <c r="P8" s="24">
        <v>27.852624058423487</v>
      </c>
      <c r="Q8" s="24">
        <v>5.333463576870912</v>
      </c>
      <c r="R8" s="24">
        <v>28.065397262573242</v>
      </c>
      <c r="S8" s="24">
        <v>0.74518746137619019</v>
      </c>
      <c r="T8" s="24">
        <v>0</v>
      </c>
      <c r="U8" s="24">
        <v>0.99719890061536431</v>
      </c>
      <c r="V8" s="24">
        <v>6.3522917072592149</v>
      </c>
      <c r="W8" s="24">
        <v>485.18362947675229</v>
      </c>
      <c r="X8" s="24">
        <v>1.3262754678726196</v>
      </c>
      <c r="Y8" s="24">
        <v>26.682443080750446</v>
      </c>
      <c r="Z8" s="24">
        <v>36.996317840688462</v>
      </c>
      <c r="AA8" s="24">
        <v>34.635902404785156</v>
      </c>
      <c r="AB8" s="24"/>
      <c r="AC8" s="24">
        <v>0</v>
      </c>
      <c r="AD8" s="24">
        <v>0.99719889882975887</v>
      </c>
      <c r="AE8" s="24">
        <v>1.2843975395555696</v>
      </c>
      <c r="AF8" s="24">
        <v>83.266606339276905</v>
      </c>
      <c r="AG8" s="24">
        <v>1.5625648498535156</v>
      </c>
      <c r="AH8" s="24">
        <v>27.816463743929607</v>
      </c>
      <c r="AI8" s="24">
        <v>7.0529679858035745</v>
      </c>
      <c r="AJ8" s="24">
        <v>41.468269348144531</v>
      </c>
      <c r="AK8" s="19"/>
    </row>
    <row r="9" spans="2:37">
      <c r="B9" s="24">
        <v>0.25</v>
      </c>
      <c r="C9" s="24">
        <v>1.0347744075807179</v>
      </c>
      <c r="D9" s="24">
        <v>4.9318487004970706</v>
      </c>
      <c r="E9" s="24">
        <v>359.13029819112637</v>
      </c>
      <c r="F9" s="24">
        <v>1.3911281824111938</v>
      </c>
      <c r="G9" s="24">
        <v>27.000289442026475</v>
      </c>
      <c r="H9" s="24">
        <v>30.270646749524936</v>
      </c>
      <c r="I9" s="24">
        <v>26.339439392089844</v>
      </c>
      <c r="J9" s="24">
        <v>0.4409460723400116</v>
      </c>
      <c r="K9" s="24">
        <v>0.25</v>
      </c>
      <c r="L9" s="24">
        <v>0.99975628914359405</v>
      </c>
      <c r="M9" s="24">
        <v>0.95658235053828244</v>
      </c>
      <c r="N9" s="24">
        <v>61.395304449198818</v>
      </c>
      <c r="O9" s="24">
        <v>1.5783257484436035</v>
      </c>
      <c r="P9" s="24">
        <v>27.889817524760044</v>
      </c>
      <c r="Q9" s="24">
        <v>5.080217785162092</v>
      </c>
      <c r="R9" s="24">
        <v>26.589485168457031</v>
      </c>
      <c r="S9" s="24">
        <v>0.57048994302749634</v>
      </c>
      <c r="T9" s="24">
        <v>0.25</v>
      </c>
      <c r="U9" s="24">
        <v>1.0755087868694861</v>
      </c>
      <c r="V9" s="24">
        <v>5.1845910257777303</v>
      </c>
      <c r="W9" s="24">
        <v>380.71376969675657</v>
      </c>
      <c r="X9" s="24">
        <v>1.3795115947723389</v>
      </c>
      <c r="Y9" s="24">
        <v>26.943734389800888</v>
      </c>
      <c r="Z9" s="24">
        <v>37.122740472950618</v>
      </c>
      <c r="AA9" s="24">
        <v>34.861782073974609</v>
      </c>
      <c r="AB9" s="24"/>
      <c r="AC9" s="24">
        <v>0.25</v>
      </c>
      <c r="AD9" s="24">
        <v>1.0755088234387831</v>
      </c>
      <c r="AE9" s="24">
        <v>1.0482950506666788</v>
      </c>
      <c r="AF9" s="24">
        <v>67.470352073962857</v>
      </c>
      <c r="AG9" s="24">
        <v>1.5739103555679321</v>
      </c>
      <c r="AH9" s="24">
        <v>27.869295372248583</v>
      </c>
      <c r="AI9" s="24">
        <v>7.0725061817200015</v>
      </c>
      <c r="AJ9" s="24">
        <v>41.694149017333984</v>
      </c>
      <c r="AK9" s="24"/>
    </row>
    <row r="10" spans="2:37">
      <c r="B10" s="24">
        <v>0.5</v>
      </c>
      <c r="C10" s="24">
        <v>1.1999602080560583</v>
      </c>
      <c r="D10" s="24">
        <v>4.1954188040427205</v>
      </c>
      <c r="E10" s="24">
        <v>298.20759571953658</v>
      </c>
      <c r="F10" s="24">
        <v>1.4251680374145508</v>
      </c>
      <c r="G10" s="24">
        <v>27.165077160934292</v>
      </c>
      <c r="H10" s="24">
        <v>28.403902529715559</v>
      </c>
      <c r="I10" s="24">
        <v>24.5628662109375</v>
      </c>
      <c r="J10" s="24">
        <v>0.34898000955581665</v>
      </c>
      <c r="K10" s="24">
        <v>0.5</v>
      </c>
      <c r="L10" s="24">
        <v>1.1647802733946786</v>
      </c>
      <c r="M10" s="24">
        <v>0.81058823079155407</v>
      </c>
      <c r="N10" s="24">
        <v>51.794153063736388</v>
      </c>
      <c r="O10" s="24">
        <v>1.5853639841079712</v>
      </c>
      <c r="P10" s="24">
        <v>27.922485994743202</v>
      </c>
      <c r="Q10" s="24">
        <v>4.7939334334902659</v>
      </c>
      <c r="R10" s="24">
        <v>24.999570846557617</v>
      </c>
      <c r="S10" s="24">
        <v>0.44406715035438538</v>
      </c>
      <c r="T10" s="24">
        <v>0.5</v>
      </c>
      <c r="U10" s="24">
        <v>1.1728550092053696</v>
      </c>
      <c r="V10" s="24">
        <v>4.0800395971507903</v>
      </c>
      <c r="W10" s="24">
        <v>288.92006969277998</v>
      </c>
      <c r="X10" s="24">
        <v>1.4305272102355957</v>
      </c>
      <c r="Y10" s="24">
        <v>27.190895064857877</v>
      </c>
      <c r="Z10" s="24">
        <v>37.350884745598606</v>
      </c>
      <c r="AA10" s="24">
        <v>35.268566131591797</v>
      </c>
      <c r="AB10" s="24"/>
      <c r="AC10" s="24">
        <v>0.5</v>
      </c>
      <c r="AD10" s="24">
        <v>1.1728552531583998</v>
      </c>
      <c r="AE10" s="24">
        <v>0.8249609843768958</v>
      </c>
      <c r="AF10" s="24">
        <v>52.735594788337252</v>
      </c>
      <c r="AG10" s="24">
        <v>1.5846706628799438</v>
      </c>
      <c r="AH10" s="24">
        <v>27.919269866108074</v>
      </c>
      <c r="AI10" s="24">
        <v>7.1088530979251816</v>
      </c>
      <c r="AJ10" s="24">
        <v>42.100933074951172</v>
      </c>
      <c r="AK10" s="24"/>
    </row>
    <row r="11" spans="2:37">
      <c r="B11" s="24">
        <v>0.75</v>
      </c>
      <c r="C11" s="24">
        <v>1.3498060462116068</v>
      </c>
      <c r="D11" s="24">
        <v>3.3449815148163515</v>
      </c>
      <c r="E11" s="24">
        <v>231.32054007326633</v>
      </c>
      <c r="F11" s="24">
        <v>1.4648358821868896</v>
      </c>
      <c r="G11" s="24">
        <v>27.355375818879189</v>
      </c>
      <c r="H11" s="24">
        <v>25.57347609263477</v>
      </c>
      <c r="I11" s="24">
        <v>22.082283020019531</v>
      </c>
      <c r="J11" s="24">
        <v>0.25675424933433533</v>
      </c>
      <c r="K11" s="24">
        <v>0.75</v>
      </c>
      <c r="L11" s="24">
        <v>1.3197704812152653</v>
      </c>
      <c r="M11" s="24">
        <v>0.64422285095870468</v>
      </c>
      <c r="N11" s="24">
        <v>40.956337076875613</v>
      </c>
      <c r="O11" s="24">
        <v>1.5933986902236938</v>
      </c>
      <c r="P11" s="24">
        <v>27.959712853103898</v>
      </c>
      <c r="Q11" s="24">
        <v>4.362496411124499</v>
      </c>
      <c r="R11" s="24">
        <v>22.737661361694336</v>
      </c>
      <c r="S11" s="24">
        <v>0.32644358277320862</v>
      </c>
      <c r="T11" s="24">
        <v>0.75</v>
      </c>
      <c r="U11" s="24">
        <v>1.2947448899155249</v>
      </c>
      <c r="V11" s="24">
        <v>3.0767511716219129</v>
      </c>
      <c r="W11" s="24">
        <v>210.95782991961855</v>
      </c>
      <c r="X11" s="24">
        <v>1.4774274826049805</v>
      </c>
      <c r="Y11" s="24">
        <v>27.415396557594015</v>
      </c>
      <c r="Z11" s="24">
        <v>37.447974241400701</v>
      </c>
      <c r="AA11" s="24">
        <v>35.490447998046875</v>
      </c>
      <c r="AB11" s="24"/>
      <c r="AC11" s="24">
        <v>0.75</v>
      </c>
      <c r="AD11" s="24">
        <v>1.2947440122911895</v>
      </c>
      <c r="AE11" s="24">
        <v>0.62210172592356194</v>
      </c>
      <c r="AF11" s="24">
        <v>39.523462648634641</v>
      </c>
      <c r="AG11" s="24">
        <v>1.5944682359695435</v>
      </c>
      <c r="AH11" s="24">
        <v>27.964662801159736</v>
      </c>
      <c r="AI11" s="24">
        <v>7.1277072353418243</v>
      </c>
      <c r="AJ11" s="24">
        <v>42.32281494140625</v>
      </c>
      <c r="AK11" s="24"/>
    </row>
    <row r="12" spans="2:37">
      <c r="B12" s="24">
        <v>1</v>
      </c>
      <c r="C12" s="24">
        <v>1.5448985248697567</v>
      </c>
      <c r="D12" s="24">
        <v>2.6525186748682197</v>
      </c>
      <c r="E12" s="24">
        <v>179.44191059357513</v>
      </c>
      <c r="F12" s="24">
        <v>1.4974212646484375</v>
      </c>
      <c r="G12" s="24">
        <v>27.510325220543734</v>
      </c>
      <c r="H12" s="24">
        <v>22.544223060355332</v>
      </c>
      <c r="I12" s="24">
        <v>19.638696670532227</v>
      </c>
      <c r="J12" s="24">
        <v>0.20178742706775665</v>
      </c>
      <c r="K12" s="24">
        <v>1</v>
      </c>
      <c r="L12" s="24">
        <v>1.5250578960738308</v>
      </c>
      <c r="M12" s="24">
        <v>0.52021751345021616</v>
      </c>
      <c r="N12" s="24">
        <v>32.94867766084964</v>
      </c>
      <c r="O12" s="24">
        <v>1.5993975400924683</v>
      </c>
      <c r="P12" s="24">
        <v>27.987460988803988</v>
      </c>
      <c r="Q12" s="24">
        <v>3.9363368361587137</v>
      </c>
      <c r="R12" s="24">
        <v>20.636739730834961</v>
      </c>
      <c r="S12" s="24">
        <v>0.25751021504402161</v>
      </c>
      <c r="T12" s="24">
        <v>1</v>
      </c>
      <c r="U12" s="24">
        <v>1.4389512907979209</v>
      </c>
      <c r="V12" s="24">
        <v>2.2104450591252367</v>
      </c>
      <c r="W12" s="24">
        <v>147.47369920530124</v>
      </c>
      <c r="X12" s="24">
        <v>1.5183594226837158</v>
      </c>
      <c r="Y12" s="24">
        <v>27.609246113188583</v>
      </c>
      <c r="Z12" s="24">
        <v>37.636758256322402</v>
      </c>
      <c r="AA12" s="24">
        <v>35.862251281738281</v>
      </c>
      <c r="AB12" s="24"/>
      <c r="AC12" s="24">
        <v>1</v>
      </c>
      <c r="AD12" s="24">
        <v>1.4389503973351268</v>
      </c>
      <c r="AE12" s="24">
        <v>0.44693951822438693</v>
      </c>
      <c r="AF12" s="24">
        <v>28.244845199329568</v>
      </c>
      <c r="AG12" s="24">
        <v>1.602946400642395</v>
      </c>
      <c r="AH12" s="24">
        <v>28.003858087479017</v>
      </c>
      <c r="AI12" s="24">
        <v>7.1603526995008933</v>
      </c>
      <c r="AJ12" s="24">
        <v>42.694618225097656</v>
      </c>
      <c r="AK12" s="24"/>
    </row>
    <row r="13" spans="2:37">
      <c r="B13" s="24">
        <v>1.25</v>
      </c>
      <c r="C13" s="24">
        <v>1.7246100963948425</v>
      </c>
      <c r="D13" s="24">
        <v>1.923965293624482</v>
      </c>
      <c r="E13" s="24">
        <v>127.21907631458024</v>
      </c>
      <c r="F13" s="24">
        <v>1.5319846868515015</v>
      </c>
      <c r="G13" s="24">
        <v>27.673350445858137</v>
      </c>
      <c r="H13" s="24">
        <v>18.40130821595389</v>
      </c>
      <c r="I13" s="24">
        <v>16.557060241699219</v>
      </c>
      <c r="J13" s="24">
        <v>0.15498341619968414</v>
      </c>
      <c r="K13" s="24">
        <v>1.25</v>
      </c>
      <c r="L13" s="24">
        <v>1.7094837042806965</v>
      </c>
      <c r="M13" s="24">
        <v>0.38072215058430886</v>
      </c>
      <c r="N13" s="24">
        <v>24.012086360338046</v>
      </c>
      <c r="O13" s="24">
        <v>1.6061558723449707</v>
      </c>
      <c r="P13" s="24">
        <v>28.01867526019026</v>
      </c>
      <c r="Q13" s="24">
        <v>3.3021175817737318</v>
      </c>
      <c r="R13" s="24">
        <v>17.711814880371094</v>
      </c>
      <c r="S13" s="24">
        <v>0.19017809629440308</v>
      </c>
      <c r="T13" s="24">
        <v>1.25</v>
      </c>
      <c r="U13" s="24">
        <v>1.6045162773925288</v>
      </c>
      <c r="V13" s="24">
        <v>1.5114532104285239</v>
      </c>
      <c r="W13" s="24">
        <v>98.673649689205391</v>
      </c>
      <c r="X13" s="24">
        <v>1.5516828298568726</v>
      </c>
      <c r="Y13" s="24">
        <v>27.765656482779043</v>
      </c>
      <c r="Z13" s="24">
        <v>37.862136479672913</v>
      </c>
      <c r="AA13" s="24">
        <v>36.290023803710938</v>
      </c>
      <c r="AB13" s="24"/>
      <c r="AC13" s="24">
        <v>1.25</v>
      </c>
      <c r="AD13" s="24">
        <v>1.6045161507998562</v>
      </c>
      <c r="AE13" s="24">
        <v>0.30560731057254226</v>
      </c>
      <c r="AF13" s="24">
        <v>19.230978438515425</v>
      </c>
      <c r="AG13" s="24">
        <v>1.6097995042800903</v>
      </c>
      <c r="AH13" s="24">
        <v>28.035483381643857</v>
      </c>
      <c r="AI13" s="24">
        <v>7.1978635171736309</v>
      </c>
      <c r="AJ13" s="24">
        <v>43.122390747070312</v>
      </c>
      <c r="AK13" s="24"/>
    </row>
    <row r="14" spans="2:37">
      <c r="B14" s="24">
        <v>1.5</v>
      </c>
      <c r="C14" s="24">
        <v>1.9300879418599042</v>
      </c>
      <c r="D14" s="24">
        <v>1.3689054350947183</v>
      </c>
      <c r="E14" s="24">
        <v>88.976008585155341</v>
      </c>
      <c r="F14" s="24">
        <v>1.5585113763809204</v>
      </c>
      <c r="G14" s="24">
        <v>27.797553779243703</v>
      </c>
      <c r="H14" s="24">
        <v>14.388386245793052</v>
      </c>
      <c r="I14" s="24">
        <v>13.791353225708008</v>
      </c>
      <c r="J14" s="24">
        <v>0.12508746981620789</v>
      </c>
      <c r="K14" s="24">
        <v>1.5</v>
      </c>
      <c r="L14" s="24">
        <v>1.9050095534436253</v>
      </c>
      <c r="M14" s="24">
        <v>0.26315470519480771</v>
      </c>
      <c r="N14" s="24">
        <v>16.538389068881816</v>
      </c>
      <c r="O14" s="24">
        <v>1.6118602752685547</v>
      </c>
      <c r="P14" s="24">
        <v>28.044982816736827</v>
      </c>
      <c r="Q14" s="24">
        <v>2.5868727306328112</v>
      </c>
      <c r="R14" s="24">
        <v>14.650869369506836</v>
      </c>
      <c r="S14" s="24">
        <v>0.1423671692609787</v>
      </c>
      <c r="T14" s="24">
        <v>1.5</v>
      </c>
      <c r="U14" s="24">
        <v>1.7881581312392731</v>
      </c>
      <c r="V14" s="24">
        <v>0.99329148628867026</v>
      </c>
      <c r="W14" s="24">
        <v>63.822855176801077</v>
      </c>
      <c r="X14" s="24">
        <v>1.5765578746795654</v>
      </c>
      <c r="Y14" s="24">
        <v>27.881603280916188</v>
      </c>
      <c r="Z14" s="24">
        <v>38.087880051506239</v>
      </c>
      <c r="AA14" s="24">
        <v>36.709800720214844</v>
      </c>
      <c r="AB14" s="24"/>
      <c r="AC14" s="24">
        <v>1.5</v>
      </c>
      <c r="AD14" s="24">
        <v>1.7881581947101512</v>
      </c>
      <c r="AE14" s="24">
        <v>0.20083793374802564</v>
      </c>
      <c r="AF14" s="24">
        <v>12.598332558071849</v>
      </c>
      <c r="AG14" s="24">
        <v>1.6148868799209595</v>
      </c>
      <c r="AH14" s="24">
        <v>28.058927169981935</v>
      </c>
      <c r="AI14" s="24">
        <v>7.234367963939885</v>
      </c>
      <c r="AJ14" s="24">
        <v>43.542167663574219</v>
      </c>
      <c r="AK14" s="24"/>
    </row>
    <row r="15" spans="2:37">
      <c r="B15" s="24">
        <v>1.75</v>
      </c>
      <c r="C15" s="24">
        <v>2.140203142525559</v>
      </c>
      <c r="D15" s="24">
        <v>0.90808442026827019</v>
      </c>
      <c r="E15" s="24">
        <v>58.196452559616652</v>
      </c>
      <c r="F15" s="24">
        <v>1.5806624889373779</v>
      </c>
      <c r="G15" s="24">
        <v>27.900669695943513</v>
      </c>
      <c r="H15" s="24">
        <v>10.349291608880094</v>
      </c>
      <c r="I15" s="24">
        <v>11.180599212646484</v>
      </c>
      <c r="J15" s="24">
        <v>0.10318185389041901</v>
      </c>
      <c r="K15" s="24">
        <v>1.75</v>
      </c>
      <c r="L15" s="24">
        <v>2.1297755482873479</v>
      </c>
      <c r="M15" s="24">
        <v>0.18070969043694984</v>
      </c>
      <c r="N15" s="24">
        <v>11.328849500530282</v>
      </c>
      <c r="O15" s="24">
        <v>1.6158649921417236</v>
      </c>
      <c r="P15" s="24">
        <v>28.063431179551376</v>
      </c>
      <c r="Q15" s="24">
        <v>1.9501762413520394</v>
      </c>
      <c r="R15" s="24">
        <v>12.101934432983398</v>
      </c>
      <c r="S15" s="24">
        <v>0.11845871806144714</v>
      </c>
      <c r="T15" s="24">
        <v>1.75</v>
      </c>
      <c r="U15" s="24">
        <v>1.9865601703878135</v>
      </c>
      <c r="V15" s="24">
        <v>0.61624614659541932</v>
      </c>
      <c r="W15" s="24">
        <v>39.144493760350507</v>
      </c>
      <c r="X15" s="24">
        <v>1.5947513580322266</v>
      </c>
      <c r="Y15" s="24">
        <v>27.965973078709595</v>
      </c>
      <c r="Z15" s="24">
        <v>38.312067906802199</v>
      </c>
      <c r="AA15" s="24">
        <v>37.118583679199219</v>
      </c>
      <c r="AB15" s="24"/>
      <c r="AC15" s="24">
        <v>1.75</v>
      </c>
      <c r="AD15" s="24">
        <v>1.9865600716284517</v>
      </c>
      <c r="AE15" s="24">
        <v>0.12460149359061183</v>
      </c>
      <c r="AF15" s="24">
        <v>7.798213639537706</v>
      </c>
      <c r="AG15" s="24">
        <v>1.6185926198959351</v>
      </c>
      <c r="AH15" s="24">
        <v>28.075986267027936</v>
      </c>
      <c r="AI15" s="24">
        <v>7.2695650898349218</v>
      </c>
      <c r="AJ15" s="24">
        <v>43.950950622558594</v>
      </c>
      <c r="AK15" s="24"/>
    </row>
    <row r="16" spans="2:37">
      <c r="B16" s="24">
        <v>2</v>
      </c>
      <c r="C16" s="24">
        <v>2.344786423187696</v>
      </c>
      <c r="D16" s="24">
        <v>0.55763377945822901</v>
      </c>
      <c r="E16" s="24">
        <v>35.358522268206436</v>
      </c>
      <c r="F16" s="24">
        <v>1.5975866317749023</v>
      </c>
      <c r="G16" s="24">
        <v>27.979088513494126</v>
      </c>
      <c r="H16" s="24">
        <v>6.7664871779483233</v>
      </c>
      <c r="I16" s="24">
        <v>8.9867315292358398</v>
      </c>
      <c r="J16" s="24">
        <v>9.3345090746879578E-2</v>
      </c>
      <c r="K16" s="24">
        <v>2</v>
      </c>
      <c r="L16" s="24">
        <v>2.3448563223590426</v>
      </c>
      <c r="M16" s="24">
        <v>0.11276674879628304</v>
      </c>
      <c r="N16" s="24">
        <v>7.0550246714535545</v>
      </c>
      <c r="O16" s="24">
        <v>1.6191681623458862</v>
      </c>
      <c r="P16" s="24">
        <v>28.078634476460909</v>
      </c>
      <c r="Q16" s="24">
        <v>1.3184695489125804</v>
      </c>
      <c r="R16" s="24">
        <v>9.7129678726196289</v>
      </c>
      <c r="S16" s="24">
        <v>0.10170669853687286</v>
      </c>
      <c r="T16" s="24">
        <v>2</v>
      </c>
      <c r="U16" s="24">
        <v>2.1962407812433571</v>
      </c>
      <c r="V16" s="24">
        <v>0.36045858814751713</v>
      </c>
      <c r="W16" s="24">
        <v>22.720166592830921</v>
      </c>
      <c r="X16" s="24">
        <v>1.6071385145187378</v>
      </c>
      <c r="Y16" s="24">
        <v>28.023209549532645</v>
      </c>
      <c r="Z16" s="24">
        <v>38.536613432765591</v>
      </c>
      <c r="AA16" s="24">
        <v>37.519371032714844</v>
      </c>
      <c r="AB16" s="24"/>
      <c r="AC16" s="24">
        <v>2</v>
      </c>
      <c r="AD16" s="24">
        <v>2.1962406873388045</v>
      </c>
      <c r="AE16" s="24">
        <v>7.2882692587822373E-2</v>
      </c>
      <c r="AF16" s="24">
        <v>4.5543015724413358</v>
      </c>
      <c r="AG16" s="24">
        <v>1.6211084127426147</v>
      </c>
      <c r="AH16" s="24">
        <v>28.087559158463943</v>
      </c>
      <c r="AI16" s="24">
        <v>7.303716473908362</v>
      </c>
      <c r="AJ16" s="24">
        <v>44.351737976074219</v>
      </c>
      <c r="AK16" s="24"/>
    </row>
    <row r="17" spans="2:59">
      <c r="B17" s="24">
        <v>2.25</v>
      </c>
      <c r="C17" s="24">
        <v>2.5500266303290262</v>
      </c>
      <c r="D17" s="24">
        <v>0.3134995240122796</v>
      </c>
      <c r="E17" s="24">
        <v>19.73230691002043</v>
      </c>
      <c r="F17" s="24">
        <v>1.6094166040420532</v>
      </c>
      <c r="G17" s="24">
        <v>28.033717375325907</v>
      </c>
      <c r="H17" s="24">
        <v>3.9760978036623147</v>
      </c>
      <c r="I17" s="24">
        <v>7.3478226661682129</v>
      </c>
      <c r="J17" s="24">
        <v>8.8288888335227966E-2</v>
      </c>
      <c r="K17" s="24">
        <v>2.25</v>
      </c>
      <c r="L17" s="24">
        <v>2.55008917336581</v>
      </c>
      <c r="M17" s="24">
        <v>6.3149379325918187E-2</v>
      </c>
      <c r="N17" s="24">
        <v>3.9449326697636375</v>
      </c>
      <c r="O17" s="24">
        <v>1.62158203125</v>
      </c>
      <c r="P17" s="24">
        <v>28.08973713969144</v>
      </c>
      <c r="Q17" s="24">
        <v>0.78426049472853587</v>
      </c>
      <c r="R17" s="24">
        <v>7.7890229225158691</v>
      </c>
      <c r="S17" s="24">
        <v>8.7273910641670227E-2</v>
      </c>
      <c r="T17" s="24">
        <v>2.25</v>
      </c>
      <c r="U17" s="24">
        <v>2.414506698308601</v>
      </c>
      <c r="V17" s="24">
        <v>0.19666934011579074</v>
      </c>
      <c r="W17" s="24">
        <v>12.335294342708821</v>
      </c>
      <c r="X17" s="24">
        <v>1.6150895357131958</v>
      </c>
      <c r="Y17" s="24">
        <v>28.059859958070817</v>
      </c>
      <c r="Z17" s="24">
        <v>38.758697521106427</v>
      </c>
      <c r="AA17" s="24">
        <v>37.910163879394531</v>
      </c>
      <c r="AB17" s="24"/>
      <c r="AC17" s="24">
        <v>2.25</v>
      </c>
      <c r="AD17" s="24">
        <v>2.4145072787415209</v>
      </c>
      <c r="AE17" s="24">
        <v>3.9765430838460111E-2</v>
      </c>
      <c r="AF17" s="24">
        <v>2.4823985041688115</v>
      </c>
      <c r="AG17" s="24">
        <v>1.6227201223373413</v>
      </c>
      <c r="AH17" s="24">
        <v>28.094969664265548</v>
      </c>
      <c r="AI17" s="24">
        <v>7.3366289712489463</v>
      </c>
      <c r="AJ17" s="24">
        <v>44.742530822753906</v>
      </c>
      <c r="AK17" s="24"/>
    </row>
    <row r="18" spans="2:59">
      <c r="B18" s="24">
        <v>2.5</v>
      </c>
      <c r="C18" s="24">
        <v>2.7748775982878611</v>
      </c>
      <c r="D18" s="24">
        <v>0.16730860014127602</v>
      </c>
      <c r="E18" s="24">
        <v>10.484497295352579</v>
      </c>
      <c r="F18" s="24">
        <v>1.6165163516998291</v>
      </c>
      <c r="G18" s="24">
        <v>28.066429883313042</v>
      </c>
      <c r="H18" s="24">
        <v>2.1791488335004363</v>
      </c>
      <c r="I18" s="24">
        <v>6.3219685554504395</v>
      </c>
      <c r="J18" s="24">
        <v>8.9026480913162231E-2</v>
      </c>
      <c r="K18" s="24">
        <v>2.5</v>
      </c>
      <c r="L18" s="24">
        <v>2.7749363057477496</v>
      </c>
      <c r="M18" s="24">
        <v>3.3833758962592067E-2</v>
      </c>
      <c r="N18" s="24">
        <v>2.111731942410656</v>
      </c>
      <c r="O18" s="24">
        <v>1.6230089664459229</v>
      </c>
      <c r="P18" s="24">
        <v>28.09629696871427</v>
      </c>
      <c r="Q18" s="24">
        <v>0.43567548567680681</v>
      </c>
      <c r="R18" s="24">
        <v>6.5770082473754883</v>
      </c>
      <c r="S18" s="24">
        <v>7.2996474802494049E-2</v>
      </c>
      <c r="T18" s="24">
        <v>2.5</v>
      </c>
      <c r="U18" s="24">
        <v>2.6389980537091837</v>
      </c>
      <c r="V18" s="24">
        <v>9.920089906155162E-2</v>
      </c>
      <c r="W18" s="24">
        <v>6.2037764402543019</v>
      </c>
      <c r="X18" s="24">
        <v>1.6198281049728394</v>
      </c>
      <c r="Y18" s="24">
        <v>28.081670047726547</v>
      </c>
      <c r="Z18" s="24">
        <v>38.975395981652341</v>
      </c>
      <c r="AA18" s="24">
        <v>38.288963317871094</v>
      </c>
      <c r="AB18" s="24"/>
      <c r="AC18" s="24">
        <v>2.5</v>
      </c>
      <c r="AD18" s="24">
        <v>2.6389981728414105</v>
      </c>
      <c r="AE18" s="24">
        <v>2.0057862035956841E-2</v>
      </c>
      <c r="AF18" s="24">
        <v>1.251393098114072</v>
      </c>
      <c r="AG18" s="24">
        <v>1.6236796379089355</v>
      </c>
      <c r="AH18" s="24">
        <v>28.0993795413276</v>
      </c>
      <c r="AI18" s="24">
        <v>7.3681293440599758</v>
      </c>
      <c r="AJ18" s="24">
        <v>45.121330261230469</v>
      </c>
      <c r="AK18" s="24"/>
    </row>
    <row r="19" spans="2:59">
      <c r="B19" s="24">
        <v>2.75</v>
      </c>
      <c r="C19" s="24">
        <v>3.0000235763038345</v>
      </c>
      <c r="D19" s="24">
        <v>7.9550504218115686E-2</v>
      </c>
      <c r="E19" s="24">
        <v>4.9719555391527592</v>
      </c>
      <c r="F19" s="24">
        <v>1.6207840442657471</v>
      </c>
      <c r="G19" s="24">
        <v>28.08606713122014</v>
      </c>
      <c r="H19" s="24">
        <v>1.0542547716629738</v>
      </c>
      <c r="I19" s="24">
        <v>5.6909270286560059</v>
      </c>
      <c r="J19" s="24">
        <v>5.4863683879375458E-2</v>
      </c>
      <c r="K19" s="24">
        <v>2.75</v>
      </c>
      <c r="L19" s="24">
        <v>2.9591747193143192</v>
      </c>
      <c r="M19" s="24">
        <v>1.4299550957774815E-2</v>
      </c>
      <c r="N19" s="24">
        <v>0.89198290355677801</v>
      </c>
      <c r="O19" s="24">
        <v>1.6239598989486694</v>
      </c>
      <c r="P19" s="24">
        <v>28.100668053583696</v>
      </c>
      <c r="Q19" s="24">
        <v>0.18875408605212562</v>
      </c>
      <c r="R19" s="24">
        <v>5.7379508018493652</v>
      </c>
      <c r="S19" s="24">
        <v>6.6871784627437592E-2</v>
      </c>
      <c r="T19" s="24">
        <v>2.75</v>
      </c>
      <c r="U19" s="24">
        <v>2.8683753210911975</v>
      </c>
      <c r="V19" s="24">
        <v>4.5500145702898287E-2</v>
      </c>
      <c r="W19" s="24">
        <v>2.8408827451055028</v>
      </c>
      <c r="X19" s="24">
        <v>1.6224410533905029</v>
      </c>
      <c r="Y19" s="24">
        <v>28.093686432031703</v>
      </c>
      <c r="Z19" s="24">
        <v>39.18511311211541</v>
      </c>
      <c r="AA19" s="24">
        <v>38.655769348144531</v>
      </c>
      <c r="AB19" s="24"/>
      <c r="AC19" s="24">
        <v>2.75</v>
      </c>
      <c r="AD19" s="24">
        <v>2.8683753078004304</v>
      </c>
      <c r="AE19" s="24">
        <v>9.1998727204921932E-3</v>
      </c>
      <c r="AF19" s="24">
        <v>0.57378547239063082</v>
      </c>
      <c r="AG19" s="24">
        <v>1.6242082118988037</v>
      </c>
      <c r="AH19" s="24">
        <v>28.101809186430057</v>
      </c>
      <c r="AI19" s="24">
        <v>7.3982265467596395</v>
      </c>
      <c r="AJ19" s="24">
        <v>45.488136291503906</v>
      </c>
      <c r="AK19" s="24"/>
    </row>
    <row r="20" spans="2:59">
      <c r="B20" s="24">
        <v>3</v>
      </c>
      <c r="C20" s="24">
        <v>3.1997104875823239</v>
      </c>
      <c r="D20" s="24">
        <v>3.072024409805765E-2</v>
      </c>
      <c r="E20" s="24">
        <v>1.9172230635185588</v>
      </c>
      <c r="F20" s="24">
        <v>1.6231604814529419</v>
      </c>
      <c r="G20" s="24">
        <v>28.096993666410523</v>
      </c>
      <c r="H20" s="24">
        <v>0.46151525117914816</v>
      </c>
      <c r="I20" s="24">
        <v>5.3619709014892578</v>
      </c>
      <c r="J20" s="24">
        <v>6.6741622984409332E-2</v>
      </c>
      <c r="K20" s="24">
        <v>3</v>
      </c>
      <c r="L20" s="24">
        <v>3.1552090011135485</v>
      </c>
      <c r="M20" s="24">
        <v>5.1891481586769476E-3</v>
      </c>
      <c r="N20" s="24">
        <v>0.32360228669421776</v>
      </c>
      <c r="O20" s="24">
        <v>1.6244035959243774</v>
      </c>
      <c r="P20" s="24">
        <v>28.102706648842826</v>
      </c>
      <c r="Q20" s="24">
        <v>6.940905307412927E-2</v>
      </c>
      <c r="R20" s="24">
        <v>5.3379836082458496</v>
      </c>
      <c r="S20" s="24">
        <v>8.1278964877128601E-2</v>
      </c>
      <c r="T20" s="24">
        <v>3</v>
      </c>
      <c r="U20" s="24">
        <v>3.1017234538980865</v>
      </c>
      <c r="V20" s="24">
        <v>1.8528082587389506E-2</v>
      </c>
      <c r="W20" s="24">
        <v>1.1558984246769306</v>
      </c>
      <c r="X20" s="24">
        <v>1.6237540245056152</v>
      </c>
      <c r="Y20" s="24">
        <v>28.099721853429507</v>
      </c>
      <c r="Z20" s="24">
        <v>39.38613668091778</v>
      </c>
      <c r="AA20" s="24">
        <v>39.00958251953125</v>
      </c>
      <c r="AB20" s="24"/>
      <c r="AC20" s="24">
        <v>3</v>
      </c>
      <c r="AD20" s="24">
        <v>3.1017085224359682</v>
      </c>
      <c r="AE20" s="24">
        <v>3.7462737519957691E-3</v>
      </c>
      <c r="AF20" s="24">
        <v>0.23361258544895985</v>
      </c>
      <c r="AG20" s="24">
        <v>1.6244738101959229</v>
      </c>
      <c r="AH20" s="24">
        <v>28.103029514581021</v>
      </c>
      <c r="AI20" s="24">
        <v>7.4268605035632218</v>
      </c>
      <c r="AJ20" s="24">
        <v>45.841949462890625</v>
      </c>
      <c r="AK20" s="24"/>
    </row>
    <row r="21" spans="2:59">
      <c r="B21" s="24">
        <v>3.25</v>
      </c>
      <c r="C21" s="24">
        <v>3.4294459648388735</v>
      </c>
      <c r="D21" s="24">
        <v>1.1120326791678606E-2</v>
      </c>
      <c r="E21" s="24">
        <v>0.69360191603003585</v>
      </c>
      <c r="F21" s="24">
        <v>1.6241147518157959</v>
      </c>
      <c r="G21" s="24">
        <v>28.10137945476492</v>
      </c>
      <c r="H21" s="24">
        <v>0.46303139880369404</v>
      </c>
      <c r="I21" s="24">
        <v>5.3639793395996094</v>
      </c>
      <c r="J21" s="24">
        <v>2.3992085829377174E-2</v>
      </c>
      <c r="K21" s="24">
        <v>3.25</v>
      </c>
      <c r="L21" s="24">
        <v>3.4294847578400312</v>
      </c>
      <c r="M21" s="24">
        <v>2.2575095364493424E-3</v>
      </c>
      <c r="N21" s="24">
        <v>0.14076897177475342</v>
      </c>
      <c r="O21" s="24">
        <v>1.6245462894439697</v>
      </c>
      <c r="P21" s="24">
        <v>28.103362648882403</v>
      </c>
      <c r="Q21" s="24">
        <v>7.7436248686833992E-2</v>
      </c>
      <c r="R21" s="24">
        <v>5.3649835586547852</v>
      </c>
      <c r="S21" s="24">
        <v>2.912505716085434E-2</v>
      </c>
      <c r="T21" s="24">
        <v>3.25</v>
      </c>
      <c r="U21" s="24">
        <v>3.3380784813278432</v>
      </c>
      <c r="V21" s="24">
        <v>6.5183974316858229E-3</v>
      </c>
      <c r="W21" s="24">
        <v>0.40651226488938269</v>
      </c>
      <c r="X21" s="24">
        <v>1.6243388652801514</v>
      </c>
      <c r="Y21" s="24">
        <v>28.102409208507211</v>
      </c>
      <c r="Z21" s="24">
        <v>39.577269302186849</v>
      </c>
      <c r="AA21" s="24">
        <v>39.349403381347656</v>
      </c>
      <c r="AB21" s="24"/>
      <c r="AC21" s="24">
        <v>3.25</v>
      </c>
      <c r="AD21" s="24">
        <v>3.3380793468151144</v>
      </c>
      <c r="AE21" s="24">
        <v>1.3179831797609585E-3</v>
      </c>
      <c r="AF21" s="24">
        <v>8.2181673650420922E-2</v>
      </c>
      <c r="AG21" s="24">
        <v>1.6245920658111572</v>
      </c>
      <c r="AH21" s="24">
        <v>28.103572882613975</v>
      </c>
      <c r="AI21" s="24">
        <v>7.4539849777623104</v>
      </c>
      <c r="AJ21" s="24">
        <v>46.181770324707031</v>
      </c>
      <c r="AK21" s="24"/>
    </row>
    <row r="22" spans="2:59">
      <c r="B22" s="24">
        <v>3.5</v>
      </c>
      <c r="C22" s="24">
        <v>3.6150436474362828</v>
      </c>
      <c r="D22" s="24">
        <v>2.7094901316365482E-3</v>
      </c>
      <c r="E22" s="24">
        <v>0.16895490422377829</v>
      </c>
      <c r="F22" s="24">
        <v>1.6245243549346924</v>
      </c>
      <c r="G22" s="24">
        <v>28.103261511148002</v>
      </c>
      <c r="H22" s="24">
        <v>0.37250093547979363</v>
      </c>
      <c r="I22" s="24">
        <v>5.3139863014221191</v>
      </c>
      <c r="J22" s="24">
        <v>7.2559062391519547E-3</v>
      </c>
      <c r="K22" s="24">
        <v>3.5</v>
      </c>
      <c r="L22" s="24">
        <v>3.6150662422864466</v>
      </c>
      <c r="M22" s="24">
        <v>5.5055728068671163E-4</v>
      </c>
      <c r="N22" s="24">
        <v>3.4328721830305428E-2</v>
      </c>
      <c r="O22" s="24">
        <v>1.6246294975280762</v>
      </c>
      <c r="P22" s="24">
        <v>28.103744606173741</v>
      </c>
      <c r="Q22" s="24">
        <v>6.2442173412902403E-2</v>
      </c>
      <c r="R22" s="24">
        <v>5.3149876594543457</v>
      </c>
      <c r="S22" s="24">
        <v>8.7955230847001076E-3</v>
      </c>
      <c r="T22" s="24">
        <v>3.5</v>
      </c>
      <c r="U22" s="24">
        <v>3.5773482663566187</v>
      </c>
      <c r="V22" s="24">
        <v>1.9787992203332016E-3</v>
      </c>
      <c r="W22" s="24">
        <v>0.12338871659324435</v>
      </c>
      <c r="X22" s="24">
        <v>1.6245598793029785</v>
      </c>
      <c r="Y22" s="24">
        <v>28.103425014679132</v>
      </c>
      <c r="Z22" s="24">
        <v>39.759388154195285</v>
      </c>
      <c r="AA22" s="24">
        <v>39.677230834960938</v>
      </c>
      <c r="AB22" s="24"/>
      <c r="AC22" s="24">
        <v>3.5</v>
      </c>
      <c r="AD22" s="24">
        <v>3.5773461735929848</v>
      </c>
      <c r="AE22" s="24">
        <v>4.001020367131489E-4</v>
      </c>
      <c r="AF22" s="24">
        <v>2.4947321669439537E-2</v>
      </c>
      <c r="AG22" s="24">
        <v>1.6246367692947388</v>
      </c>
      <c r="AH22" s="24">
        <v>28.103778272890118</v>
      </c>
      <c r="AI22" s="24">
        <v>7.4797982832524301</v>
      </c>
      <c r="AJ22" s="24">
        <v>46.509597778320313</v>
      </c>
      <c r="AK22" s="24"/>
    </row>
    <row r="23" spans="2:59">
      <c r="B23" s="24">
        <v>3.75</v>
      </c>
      <c r="C23" s="24">
        <v>3.8547124226996345</v>
      </c>
      <c r="D23" s="24">
        <v>7.1963594735560959E-4</v>
      </c>
      <c r="E23" s="24">
        <v>4.4871457207819862E-2</v>
      </c>
      <c r="F23" s="24">
        <v>1.6246212720870972</v>
      </c>
      <c r="G23" s="24">
        <v>28.103706772174974</v>
      </c>
      <c r="H23" s="24">
        <v>0.40457591213252742</v>
      </c>
      <c r="I23" s="24">
        <v>5.3319864273071289</v>
      </c>
      <c r="J23" s="24">
        <v>1.7754555447027087E-3</v>
      </c>
      <c r="K23" s="24">
        <v>3.75</v>
      </c>
      <c r="L23" s="24">
        <v>3.8547327476100071</v>
      </c>
      <c r="M23" s="24">
        <v>1.4552742156163397E-4</v>
      </c>
      <c r="N23" s="24">
        <v>9.0739145528604646E-3</v>
      </c>
      <c r="O23" s="24">
        <v>1.6246491670608521</v>
      </c>
      <c r="P23" s="24">
        <v>28.103835237945887</v>
      </c>
      <c r="Q23" s="24">
        <v>6.7524653825422387E-2</v>
      </c>
      <c r="R23" s="24">
        <v>5.3319864273071289</v>
      </c>
      <c r="S23" s="24">
        <v>2.1511050872504711E-3</v>
      </c>
      <c r="T23" s="24">
        <v>3.75</v>
      </c>
      <c r="U23" s="24">
        <v>3.8180947345135281</v>
      </c>
      <c r="V23" s="24">
        <v>5.1122859857078925E-4</v>
      </c>
      <c r="W23" s="24">
        <v>3.1876435529141899E-2</v>
      </c>
      <c r="X23" s="24">
        <v>1.624631404876709</v>
      </c>
      <c r="Y23" s="24">
        <v>28.103753406582097</v>
      </c>
      <c r="Z23" s="24">
        <v>39.934655568343175</v>
      </c>
      <c r="AA23" s="24">
        <v>39.997062683105469</v>
      </c>
      <c r="AB23" s="24"/>
      <c r="AC23" s="24">
        <v>3.75</v>
      </c>
      <c r="AD23" s="24">
        <v>3.8180944878827212</v>
      </c>
      <c r="AE23" s="24">
        <v>1.0336753795553819E-4</v>
      </c>
      <c r="AF23" s="24">
        <v>6.4451566004886229E-3</v>
      </c>
      <c r="AG23" s="24">
        <v>1.6246511936187744</v>
      </c>
      <c r="AH23" s="24">
        <v>28.103844671879902</v>
      </c>
      <c r="AI23" s="24">
        <v>7.5046472081570812</v>
      </c>
      <c r="AJ23" s="24">
        <v>46.829429626464844</v>
      </c>
      <c r="AK23" s="24"/>
    </row>
    <row r="24" spans="2:59">
      <c r="B24" s="24">
        <v>4</v>
      </c>
      <c r="C24" s="24">
        <v>4.054796860078647</v>
      </c>
      <c r="D24" s="24">
        <v>1.0186705111240259E-4</v>
      </c>
      <c r="E24" s="24">
        <v>6.3515981932578723E-3</v>
      </c>
      <c r="F24" s="24">
        <v>1.624651312828064</v>
      </c>
      <c r="G24" s="24">
        <v>28.103845007637322</v>
      </c>
      <c r="H24" s="24">
        <v>0.43678053532920058</v>
      </c>
      <c r="I24" s="24">
        <v>5.3499855995178223</v>
      </c>
      <c r="J24" s="24">
        <v>2.3291785328183323E-4</v>
      </c>
      <c r="K24" s="24">
        <v>4</v>
      </c>
      <c r="L24" s="24">
        <v>4.0548283188548258</v>
      </c>
      <c r="M24" s="24">
        <v>2.0605652610496974E-5</v>
      </c>
      <c r="N24" s="24">
        <v>1.2847972496400509E-3</v>
      </c>
      <c r="O24" s="24">
        <v>1.6246552467346191</v>
      </c>
      <c r="P24" s="24">
        <v>28.103863191147468</v>
      </c>
      <c r="Q24" s="24">
        <v>7.171256716273032E-2</v>
      </c>
      <c r="R24" s="24">
        <v>5.3459858894348145</v>
      </c>
      <c r="S24" s="24">
        <v>2.8691496117971838E-4</v>
      </c>
      <c r="T24" s="24">
        <v>4</v>
      </c>
      <c r="U24" s="24">
        <v>4.0583124524403997</v>
      </c>
      <c r="V24" s="24">
        <v>1.0738072697091347E-4</v>
      </c>
      <c r="W24" s="24">
        <v>6.6953871413068852E-3</v>
      </c>
      <c r="X24" s="24">
        <v>1.6246510744094849</v>
      </c>
      <c r="Y24" s="24">
        <v>28.103843773866028</v>
      </c>
      <c r="Z24" s="24">
        <v>40.117084946961278</v>
      </c>
      <c r="AA24" s="24">
        <v>40.334884643554688</v>
      </c>
      <c r="AB24" s="24"/>
      <c r="AC24" s="24">
        <v>4</v>
      </c>
      <c r="AD24" s="24">
        <v>4.0583192681072768</v>
      </c>
      <c r="AE24" s="24">
        <v>2.1711777083461004E-5</v>
      </c>
      <c r="AF24" s="24">
        <v>1.3537660240039214E-3</v>
      </c>
      <c r="AG24" s="24">
        <v>1.6246552467346191</v>
      </c>
      <c r="AH24" s="24">
        <v>28.103862943634802</v>
      </c>
      <c r="AI24" s="24">
        <v>7.5305380755726938</v>
      </c>
      <c r="AJ24" s="24">
        <v>47.167251586914063</v>
      </c>
      <c r="AK24" s="24"/>
    </row>
    <row r="25" spans="2:59">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row>
    <row r="27" spans="2:59">
      <c r="B27" s="19" t="s">
        <v>333</v>
      </c>
    </row>
    <row r="29" spans="2:59">
      <c r="AW29" s="19"/>
    </row>
    <row r="30" spans="2:59">
      <c r="B30" s="24" t="s">
        <v>268</v>
      </c>
      <c r="C30" s="24"/>
      <c r="D30" s="24"/>
      <c r="E30" s="24"/>
      <c r="F30" s="24"/>
      <c r="G30" s="24"/>
      <c r="H30" s="24"/>
      <c r="I30" s="24"/>
      <c r="J30" s="24"/>
      <c r="K30" s="24" t="s">
        <v>253</v>
      </c>
      <c r="L30" s="24"/>
      <c r="M30" s="24"/>
      <c r="N30" s="24"/>
      <c r="O30" s="24"/>
      <c r="P30" s="24"/>
      <c r="Q30" s="24"/>
      <c r="R30" s="24"/>
      <c r="S30" s="24"/>
      <c r="T30" s="19"/>
      <c r="U30" s="24" t="s">
        <v>273</v>
      </c>
      <c r="V30" s="24"/>
      <c r="W30" s="24"/>
      <c r="X30" s="24"/>
      <c r="Y30" s="24"/>
      <c r="Z30" s="24"/>
      <c r="AA30" s="24"/>
      <c r="AB30" s="24"/>
      <c r="AC30" s="24"/>
      <c r="AD30" s="24" t="s">
        <v>274</v>
      </c>
      <c r="AE30" s="24"/>
      <c r="AF30" s="24"/>
      <c r="AG30" s="24"/>
      <c r="AH30" s="24"/>
      <c r="AI30" s="24"/>
      <c r="AJ30" s="24"/>
      <c r="AK30" s="24"/>
      <c r="AN30" s="19"/>
      <c r="AX30" s="19"/>
      <c r="BB30" s="19"/>
      <c r="BC30" s="19"/>
      <c r="BD30" s="24"/>
      <c r="BE30" s="24"/>
      <c r="BF30" s="24"/>
      <c r="BG30" s="24"/>
    </row>
    <row r="31" spans="2:59">
      <c r="B31" s="25" t="s">
        <v>237</v>
      </c>
      <c r="C31" s="24" t="s">
        <v>154</v>
      </c>
      <c r="D31" s="24" t="s">
        <v>155</v>
      </c>
      <c r="E31" s="24" t="s">
        <v>156</v>
      </c>
      <c r="F31" s="24" t="s">
        <v>159</v>
      </c>
      <c r="G31" s="24" t="s">
        <v>238</v>
      </c>
      <c r="H31" s="24" t="s">
        <v>157</v>
      </c>
      <c r="I31" s="24" t="s">
        <v>160</v>
      </c>
      <c r="J31" s="24" t="s">
        <v>265</v>
      </c>
      <c r="K31" s="25" t="s">
        <v>237</v>
      </c>
      <c r="L31" s="24" t="s">
        <v>154</v>
      </c>
      <c r="M31" s="24" t="s">
        <v>155</v>
      </c>
      <c r="N31" s="24" t="s">
        <v>156</v>
      </c>
      <c r="O31" s="24" t="s">
        <v>159</v>
      </c>
      <c r="P31" s="24" t="s">
        <v>238</v>
      </c>
      <c r="Q31" s="24" t="s">
        <v>157</v>
      </c>
      <c r="R31" s="24" t="s">
        <v>160</v>
      </c>
      <c r="S31" s="25"/>
      <c r="T31" s="25"/>
      <c r="U31" s="25" t="s">
        <v>237</v>
      </c>
      <c r="V31" s="24" t="s">
        <v>154</v>
      </c>
      <c r="W31" s="24" t="s">
        <v>155</v>
      </c>
      <c r="X31" s="24" t="s">
        <v>156</v>
      </c>
      <c r="Y31" s="24" t="s">
        <v>159</v>
      </c>
      <c r="Z31" s="24" t="s">
        <v>238</v>
      </c>
      <c r="AA31" s="24" t="s">
        <v>157</v>
      </c>
      <c r="AB31" s="24" t="s">
        <v>160</v>
      </c>
      <c r="AC31" s="24" t="s">
        <v>265</v>
      </c>
      <c r="AD31" s="25" t="s">
        <v>237</v>
      </c>
      <c r="AE31" s="24" t="s">
        <v>154</v>
      </c>
      <c r="AF31" s="24" t="s">
        <v>155</v>
      </c>
      <c r="AG31" s="24" t="s">
        <v>156</v>
      </c>
      <c r="AH31" s="24" t="s">
        <v>159</v>
      </c>
      <c r="AI31" s="24" t="s">
        <v>238</v>
      </c>
      <c r="AJ31" s="24" t="s">
        <v>157</v>
      </c>
      <c r="AK31" s="24" t="s">
        <v>160</v>
      </c>
      <c r="AN31" s="24"/>
      <c r="AO31" s="24"/>
      <c r="AP31" s="24"/>
      <c r="AQ31" s="24"/>
      <c r="AR31" s="24"/>
      <c r="AS31" s="24"/>
      <c r="AT31" s="24"/>
      <c r="AU31" s="24"/>
      <c r="AV31" s="24"/>
      <c r="AX31" s="19"/>
      <c r="BB31" s="19"/>
      <c r="BC31" s="28"/>
      <c r="BD31" s="24"/>
      <c r="BE31" s="24"/>
      <c r="BF31" s="24"/>
      <c r="BG31" s="24"/>
    </row>
    <row r="32" spans="2:59">
      <c r="B32" s="24">
        <v>0</v>
      </c>
      <c r="C32" s="24">
        <v>0.90009528567253816</v>
      </c>
      <c r="D32" s="24">
        <v>4.0812175960493775</v>
      </c>
      <c r="E32" s="24">
        <v>289.0145490934139</v>
      </c>
      <c r="F32" s="24">
        <v>1.4304723739624023</v>
      </c>
      <c r="G32" s="24">
        <v>27.19063146916152</v>
      </c>
      <c r="H32" s="24">
        <v>21.370198112557944</v>
      </c>
      <c r="I32" s="24">
        <v>28.015892028808594</v>
      </c>
      <c r="J32" s="24">
        <v>0.62432634830474854</v>
      </c>
      <c r="K32" s="24">
        <v>0</v>
      </c>
      <c r="L32" s="24">
        <v>0.99719889633645109</v>
      </c>
      <c r="M32" s="24">
        <v>4.5003696734814547</v>
      </c>
      <c r="N32" s="24">
        <v>323.08668784249636</v>
      </c>
      <c r="O32" s="24">
        <v>1.4110375642776489</v>
      </c>
      <c r="P32" s="24">
        <v>27.096839629574266</v>
      </c>
      <c r="Q32" s="24">
        <v>29.737284281878395</v>
      </c>
      <c r="R32" s="24">
        <v>48.3016357421875</v>
      </c>
      <c r="S32" s="19"/>
      <c r="T32" s="24"/>
      <c r="U32" s="24">
        <v>0</v>
      </c>
      <c r="V32" s="24">
        <v>0.58954791666722173</v>
      </c>
      <c r="W32" s="24">
        <v>4.0859346666665681</v>
      </c>
      <c r="X32" s="24">
        <v>289.39294471041899</v>
      </c>
      <c r="Y32" s="24">
        <v>1.4302531480789185</v>
      </c>
      <c r="Z32" s="24">
        <v>27.189575950760279</v>
      </c>
      <c r="AA32" s="24">
        <v>21.378053081452098</v>
      </c>
      <c r="AB32" s="24">
        <v>28.027933120727539</v>
      </c>
      <c r="AC32" s="24">
        <v>0.62386232614517212</v>
      </c>
      <c r="AD32" s="24">
        <v>0</v>
      </c>
      <c r="AE32" s="24">
        <v>0.56482397023326014</v>
      </c>
      <c r="AF32" s="24">
        <v>3.9651331199999049</v>
      </c>
      <c r="AG32" s="24">
        <v>279.73812981443473</v>
      </c>
      <c r="AH32" s="24">
        <v>1.4358713626861572</v>
      </c>
      <c r="AI32" s="24">
        <v>27.216607188100831</v>
      </c>
      <c r="AJ32" s="24">
        <v>21.180851940943953</v>
      </c>
      <c r="AK32" s="24">
        <v>27.727998733520508</v>
      </c>
      <c r="AN32" s="25"/>
      <c r="AO32" s="24"/>
      <c r="AP32" s="24"/>
      <c r="AQ32" s="24"/>
      <c r="AR32" s="24"/>
      <c r="AS32" s="24"/>
      <c r="AT32" s="24"/>
      <c r="AU32" s="24"/>
      <c r="AV32" s="24"/>
      <c r="AW32" s="27"/>
      <c r="AX32" s="27"/>
      <c r="BC32" s="19"/>
      <c r="BD32" s="24"/>
      <c r="BE32" s="24"/>
      <c r="BF32" s="24"/>
      <c r="BG32" s="24"/>
    </row>
    <row r="33" spans="2:59">
      <c r="B33" s="24">
        <v>0.25</v>
      </c>
      <c r="C33" s="24">
        <v>1.0308610487470646</v>
      </c>
      <c r="D33" s="24">
        <v>3.4782268881645675</v>
      </c>
      <c r="E33" s="24">
        <v>241.5641907633001</v>
      </c>
      <c r="F33" s="24">
        <v>1.4585952758789062</v>
      </c>
      <c r="G33" s="24">
        <v>27.325560080497588</v>
      </c>
      <c r="H33" s="24">
        <v>20.27625822625782</v>
      </c>
      <c r="I33" s="24">
        <v>26.396194458007813</v>
      </c>
      <c r="J33" s="24">
        <v>0.48244553804397583</v>
      </c>
      <c r="K33" s="24">
        <v>0.25</v>
      </c>
      <c r="L33" s="24">
        <v>1.0755088728484865</v>
      </c>
      <c r="M33" s="24">
        <v>3.6730958364444266</v>
      </c>
      <c r="N33" s="24">
        <v>256.70114728216583</v>
      </c>
      <c r="O33" s="24">
        <v>1.4494855403900146</v>
      </c>
      <c r="P33" s="24">
        <v>27.281955102443856</v>
      </c>
      <c r="Q33" s="24">
        <v>29.82467746676404</v>
      </c>
      <c r="R33" s="24">
        <v>48.527515411376953</v>
      </c>
      <c r="S33" s="24"/>
      <c r="T33" s="24"/>
      <c r="U33" s="24">
        <v>0.25</v>
      </c>
      <c r="V33" s="24">
        <v>0.86940474410505098</v>
      </c>
      <c r="W33" s="24">
        <v>3.792773789036938</v>
      </c>
      <c r="X33" s="24">
        <v>266.0902656008451</v>
      </c>
      <c r="Y33" s="24">
        <v>1.4439009428024292</v>
      </c>
      <c r="Z33" s="24">
        <v>27.255175286868429</v>
      </c>
      <c r="AA33" s="24">
        <v>20.882065828652163</v>
      </c>
      <c r="AB33" s="24">
        <v>27.280410766601563</v>
      </c>
      <c r="AC33" s="24">
        <v>0.55312043428421021</v>
      </c>
      <c r="AD33" s="24">
        <v>0.25</v>
      </c>
      <c r="AE33" s="24">
        <v>0.86527249902642422</v>
      </c>
      <c r="AF33" s="24">
        <v>3.7732718399999094</v>
      </c>
      <c r="AG33" s="24">
        <v>264.55542053465695</v>
      </c>
      <c r="AH33" s="24">
        <v>1.4448105096817017</v>
      </c>
      <c r="AI33" s="24">
        <v>27.259539153288767</v>
      </c>
      <c r="AJ33" s="24">
        <v>20.847381640058074</v>
      </c>
      <c r="AK33" s="24">
        <v>27.228998184204102</v>
      </c>
      <c r="AN33" s="24"/>
      <c r="AO33" s="24"/>
      <c r="AP33" s="24"/>
      <c r="AQ33" s="24"/>
      <c r="AR33" s="24"/>
      <c r="AS33" s="24"/>
      <c r="AT33" s="24"/>
      <c r="AU33" s="24"/>
      <c r="AV33" s="24"/>
      <c r="BC33" s="19"/>
      <c r="BD33" s="24"/>
      <c r="BE33" s="24"/>
      <c r="BF33" s="24"/>
      <c r="BG33" s="24"/>
    </row>
    <row r="34" spans="2:59">
      <c r="B34" s="24">
        <v>0.5</v>
      </c>
      <c r="C34" s="24">
        <v>1.1752672454917545</v>
      </c>
      <c r="D34" s="24">
        <v>2.8930415644345731</v>
      </c>
      <c r="E34" s="24">
        <v>197.20765556813885</v>
      </c>
      <c r="F34" s="24">
        <v>1.4860737323760986</v>
      </c>
      <c r="G34" s="24">
        <v>27.456504458367203</v>
      </c>
      <c r="H34" s="24">
        <v>18.891061611901979</v>
      </c>
      <c r="I34" s="24">
        <v>24.475484848022461</v>
      </c>
      <c r="J34" s="24">
        <v>0.36160415410995483</v>
      </c>
      <c r="K34" s="24">
        <v>0.5</v>
      </c>
      <c r="L34" s="24">
        <v>1.1728553974791651</v>
      </c>
      <c r="M34" s="24">
        <v>2.8905609685143578</v>
      </c>
      <c r="N34" s="24">
        <v>197.02306783140429</v>
      </c>
      <c r="O34" s="24">
        <v>1.4861905574798584</v>
      </c>
      <c r="P34" s="24">
        <v>27.457059530540661</v>
      </c>
      <c r="Q34" s="24">
        <v>29.949599198576678</v>
      </c>
      <c r="R34" s="24">
        <v>48.934299468994141</v>
      </c>
      <c r="S34" s="24"/>
      <c r="T34" s="24"/>
      <c r="U34" s="24">
        <v>0.5</v>
      </c>
      <c r="V34" s="24">
        <v>1.1499996477626866</v>
      </c>
      <c r="W34" s="24">
        <v>3.4843366478458608</v>
      </c>
      <c r="X34" s="24">
        <v>242.03596183912413</v>
      </c>
      <c r="Y34" s="24">
        <v>1.4583092927932739</v>
      </c>
      <c r="Z34" s="24">
        <v>27.324192926114254</v>
      </c>
      <c r="AA34" s="24">
        <v>20.288554770916527</v>
      </c>
      <c r="AB34" s="24">
        <v>26.413833618164062</v>
      </c>
      <c r="AC34" s="24">
        <v>0.48363041877746582</v>
      </c>
      <c r="AD34" s="24">
        <v>0.5</v>
      </c>
      <c r="AE34" s="24">
        <v>1.1634583721940774</v>
      </c>
      <c r="AF34" s="24">
        <v>3.5417592287999105</v>
      </c>
      <c r="AG34" s="24">
        <v>246.47879401961376</v>
      </c>
      <c r="AH34" s="24">
        <v>1.4556230306625366</v>
      </c>
      <c r="AI34" s="24">
        <v>27.311343724615543</v>
      </c>
      <c r="AJ34" s="24">
        <v>20.405266875948374</v>
      </c>
      <c r="AK34" s="24">
        <v>26.582004547119141</v>
      </c>
      <c r="AN34" s="24"/>
      <c r="AO34" s="24"/>
      <c r="AP34" s="24"/>
      <c r="AQ34" s="24"/>
      <c r="AR34" s="24"/>
      <c r="AS34" s="24"/>
      <c r="AT34" s="24"/>
      <c r="AU34" s="24"/>
      <c r="AV34" s="24"/>
      <c r="AW34" s="24"/>
      <c r="AX34" s="24"/>
      <c r="BC34" s="19"/>
      <c r="BD34" s="24"/>
      <c r="BE34" s="24"/>
      <c r="BF34" s="24"/>
      <c r="BG34" s="24"/>
    </row>
    <row r="35" spans="2:59">
      <c r="B35" s="24">
        <v>0.75</v>
      </c>
      <c r="C35" s="24">
        <v>1.3447266815273917</v>
      </c>
      <c r="D35" s="24">
        <v>2.342057321685981</v>
      </c>
      <c r="E35" s="24">
        <v>156.89973515351213</v>
      </c>
      <c r="F35" s="24">
        <v>1.5121147632598877</v>
      </c>
      <c r="G35" s="24">
        <v>27.579795808913726</v>
      </c>
      <c r="H35" s="24">
        <v>17.176616551132135</v>
      </c>
      <c r="I35" s="24">
        <v>22.256792068481445</v>
      </c>
      <c r="J35" s="24">
        <v>0.28168445825576782</v>
      </c>
      <c r="K35" s="24">
        <v>0.75</v>
      </c>
      <c r="L35" s="24">
        <v>1.2947448771610213</v>
      </c>
      <c r="M35" s="24">
        <v>2.1797672877321368</v>
      </c>
      <c r="N35" s="24">
        <v>145.28756801250609</v>
      </c>
      <c r="O35" s="24">
        <v>1.5198163986206055</v>
      </c>
      <c r="P35" s="24">
        <v>27.616110744830213</v>
      </c>
      <c r="Q35" s="24">
        <v>30.020000763804411</v>
      </c>
      <c r="R35" s="24">
        <v>49.156181335449219</v>
      </c>
      <c r="S35" s="24"/>
      <c r="T35" s="24"/>
      <c r="U35" s="24">
        <v>0.75</v>
      </c>
      <c r="V35" s="24">
        <v>1.4441838041955901</v>
      </c>
      <c r="W35" s="24">
        <v>3.2447347326791585</v>
      </c>
      <c r="X35" s="24">
        <v>223.67015487388096</v>
      </c>
      <c r="Y35" s="24">
        <v>1.4695372581481934</v>
      </c>
      <c r="Z35" s="24">
        <v>27.377807605850052</v>
      </c>
      <c r="AA35" s="24">
        <v>19.768002063267296</v>
      </c>
      <c r="AB35" s="24">
        <v>25.676206588745117</v>
      </c>
      <c r="AC35" s="24">
        <v>0.43129017949104309</v>
      </c>
      <c r="AD35" s="24">
        <v>0.75</v>
      </c>
      <c r="AE35" s="24">
        <v>1.4559466663368885</v>
      </c>
      <c r="AF35" s="24">
        <v>3.2923395647999167</v>
      </c>
      <c r="AG35" s="24">
        <v>227.29713375744416</v>
      </c>
      <c r="AH35" s="24">
        <v>1.467303991317749</v>
      </c>
      <c r="AI35" s="24">
        <v>27.36715527935986</v>
      </c>
      <c r="AJ35" s="24">
        <v>19.876258504022562</v>
      </c>
      <c r="AK35" s="24">
        <v>25.828004837036133</v>
      </c>
      <c r="AN35" s="24"/>
      <c r="AO35" s="24"/>
      <c r="AP35" s="24"/>
      <c r="AQ35" s="24"/>
      <c r="AR35" s="24"/>
      <c r="AS35" s="24"/>
      <c r="AT35" s="24"/>
      <c r="AU35" s="24"/>
      <c r="AV35" s="24"/>
      <c r="AW35" s="24"/>
      <c r="AX35" s="24"/>
      <c r="BC35" s="19"/>
      <c r="BD35" s="24"/>
      <c r="BE35" s="24"/>
      <c r="BF35" s="24"/>
      <c r="BG35" s="24"/>
    </row>
    <row r="36" spans="2:59">
      <c r="B36" s="24">
        <v>1</v>
      </c>
      <c r="C36" s="24">
        <v>1.525058262809335</v>
      </c>
      <c r="D36" s="24">
        <v>1.8227776440271113</v>
      </c>
      <c r="E36" s="24">
        <v>120.14992958708035</v>
      </c>
      <c r="F36" s="24">
        <v>1.5368080139160156</v>
      </c>
      <c r="G36" s="24">
        <v>27.695992766653472</v>
      </c>
      <c r="H36" s="24">
        <v>15.051310068862149</v>
      </c>
      <c r="I36" s="24">
        <v>19.69708251953125</v>
      </c>
      <c r="J36" s="24">
        <v>0.21380375325679779</v>
      </c>
      <c r="K36" s="24">
        <v>1</v>
      </c>
      <c r="L36" s="24">
        <v>1.4389514246049437</v>
      </c>
      <c r="M36" s="24">
        <v>1.5660206374993872</v>
      </c>
      <c r="N36" s="24">
        <v>102.40834990278432</v>
      </c>
      <c r="O36" s="24">
        <v>1.5490717887878418</v>
      </c>
      <c r="P36" s="24">
        <v>27.753446166662101</v>
      </c>
      <c r="Q36" s="24">
        <v>30.121769788333147</v>
      </c>
      <c r="R36" s="24">
        <v>49.527984619140625</v>
      </c>
      <c r="S36" s="24"/>
      <c r="T36" s="24"/>
      <c r="U36" s="24">
        <v>1</v>
      </c>
      <c r="V36" s="24">
        <v>1.7402228936540725</v>
      </c>
      <c r="W36" s="24">
        <v>3.0347621742887307</v>
      </c>
      <c r="X36" s="24">
        <v>207.80112082610538</v>
      </c>
      <c r="Y36" s="24">
        <v>1.4794020652770996</v>
      </c>
      <c r="Z36" s="24">
        <v>27.42479225312875</v>
      </c>
      <c r="AA36" s="24">
        <v>19.261435214325896</v>
      </c>
      <c r="AB36" s="24">
        <v>24.976531982421875</v>
      </c>
      <c r="AC36" s="24">
        <v>0.39624544978141785</v>
      </c>
      <c r="AD36" s="24">
        <v>1</v>
      </c>
      <c r="AE36" s="24">
        <v>1.7349503632791388</v>
      </c>
      <c r="AF36" s="24">
        <v>3.0193746845183211</v>
      </c>
      <c r="AG36" s="24">
        <v>206.64637374150595</v>
      </c>
      <c r="AH36" s="24">
        <v>1.480125904083252</v>
      </c>
      <c r="AI36" s="24">
        <v>27.42823544487204</v>
      </c>
      <c r="AJ36" s="24">
        <v>19.222876022003472</v>
      </c>
      <c r="AK36" s="24">
        <v>24.923992156982422</v>
      </c>
      <c r="AN36" s="24"/>
      <c r="AO36" s="24"/>
      <c r="AP36" s="24"/>
      <c r="AQ36" s="24"/>
      <c r="AR36" s="24"/>
      <c r="AS36" s="24"/>
      <c r="AT36" s="24"/>
      <c r="AU36" s="24"/>
      <c r="AV36" s="24"/>
      <c r="AW36" s="24"/>
      <c r="AX36" s="24"/>
      <c r="BC36" s="19"/>
      <c r="BD36" s="24"/>
      <c r="BE36" s="24"/>
      <c r="BF36" s="24"/>
      <c r="BG36" s="24"/>
    </row>
    <row r="37" spans="2:59">
      <c r="B37" s="24">
        <v>1.25</v>
      </c>
      <c r="C37" s="24">
        <v>1.7246968179567701</v>
      </c>
      <c r="D37" s="24">
        <v>1.3632576503106477</v>
      </c>
      <c r="E37" s="24">
        <v>88.593522004339789</v>
      </c>
      <c r="F37" s="24">
        <v>1.5587821006774902</v>
      </c>
      <c r="G37" s="24">
        <v>27.798817559511086</v>
      </c>
      <c r="H37" s="24">
        <v>12.599629464250677</v>
      </c>
      <c r="I37" s="24">
        <v>16.950334548950195</v>
      </c>
      <c r="J37" s="24">
        <v>0.16644734144210815</v>
      </c>
      <c r="K37" s="24">
        <v>1.25</v>
      </c>
      <c r="L37" s="24">
        <v>1.6045159864764986</v>
      </c>
      <c r="M37" s="24">
        <v>1.0708101114634752</v>
      </c>
      <c r="N37" s="24">
        <v>68.966932899340193</v>
      </c>
      <c r="O37" s="24">
        <v>1.5728271007537842</v>
      </c>
      <c r="P37" s="24">
        <v>27.864257274898602</v>
      </c>
      <c r="Q37" s="24">
        <v>30.232528441920646</v>
      </c>
      <c r="R37" s="24">
        <v>49.955757141113281</v>
      </c>
      <c r="S37" s="24"/>
      <c r="T37" s="24"/>
      <c r="U37" s="24">
        <v>1.25</v>
      </c>
      <c r="V37" s="24">
        <v>2.0293887554477554</v>
      </c>
      <c r="W37" s="24">
        <v>2.7842328713900284</v>
      </c>
      <c r="X37" s="24">
        <v>189.13771669580697</v>
      </c>
      <c r="Y37" s="24">
        <v>1.4912033081054688</v>
      </c>
      <c r="Z37" s="24">
        <v>27.480852106949207</v>
      </c>
      <c r="AA37" s="24">
        <v>18.588160884264983</v>
      </c>
      <c r="AB37" s="24">
        <v>24.071832656860352</v>
      </c>
      <c r="AC37" s="24">
        <v>0.34783932566642761</v>
      </c>
      <c r="AD37" s="24">
        <v>1.25</v>
      </c>
      <c r="AE37" s="24">
        <v>1.9920228281749834</v>
      </c>
      <c r="AF37" s="24">
        <v>2.6709852978431305</v>
      </c>
      <c r="AG37" s="24">
        <v>180.79649617064442</v>
      </c>
      <c r="AH37" s="24">
        <v>1.4965490102767944</v>
      </c>
      <c r="AI37" s="24">
        <v>27.506193024538902</v>
      </c>
      <c r="AJ37" s="24">
        <v>18.255799424785945</v>
      </c>
      <c r="AK37" s="24">
        <v>23.634994506835938</v>
      </c>
      <c r="AN37" s="24"/>
      <c r="AO37" s="24"/>
      <c r="AP37" s="24"/>
      <c r="AQ37" s="24"/>
      <c r="AR37" s="24"/>
      <c r="AS37" s="24"/>
      <c r="AT37" s="24"/>
      <c r="AU37" s="24"/>
      <c r="AV37" s="24"/>
      <c r="AW37" s="24"/>
      <c r="AX37" s="24"/>
      <c r="BC37" s="19"/>
      <c r="BD37" s="24"/>
      <c r="BE37" s="24"/>
      <c r="BF37" s="24"/>
      <c r="BG37" s="24"/>
    </row>
    <row r="38" spans="2:59">
      <c r="B38" s="24">
        <v>1.5</v>
      </c>
      <c r="C38" s="24">
        <v>1.934840754555309</v>
      </c>
      <c r="D38" s="24">
        <v>0.97794395963868042</v>
      </c>
      <c r="E38" s="24">
        <v>62.807275087476512</v>
      </c>
      <c r="F38" s="24">
        <v>1.5772969722747803</v>
      </c>
      <c r="G38" s="24">
        <v>27.885037530285619</v>
      </c>
      <c r="H38" s="24">
        <v>9.989881175581818</v>
      </c>
      <c r="I38" s="24">
        <v>14.220538139343262</v>
      </c>
      <c r="J38" s="24">
        <v>0.13463509082794189</v>
      </c>
      <c r="K38" s="24">
        <v>1.5</v>
      </c>
      <c r="L38" s="24">
        <v>1.7881582922210466</v>
      </c>
      <c r="M38" s="24">
        <v>0.70371120972176437</v>
      </c>
      <c r="N38" s="24">
        <v>44.819158916193324</v>
      </c>
      <c r="O38" s="24">
        <v>1.5905239582061768</v>
      </c>
      <c r="P38" s="24">
        <v>27.946401401478521</v>
      </c>
      <c r="Q38" s="24">
        <v>30.337756028181481</v>
      </c>
      <c r="R38" s="24">
        <v>50.375534057617188</v>
      </c>
      <c r="S38" s="24"/>
      <c r="T38" s="24"/>
      <c r="U38" s="24">
        <v>1.5</v>
      </c>
      <c r="V38" s="24">
        <v>2.3202714312827175</v>
      </c>
      <c r="W38" s="24">
        <v>2.5501300258772188</v>
      </c>
      <c r="X38" s="24">
        <v>171.95953701319357</v>
      </c>
      <c r="Y38" s="24">
        <v>1.5022614002227783</v>
      </c>
      <c r="Z38" s="24">
        <v>27.533236283756288</v>
      </c>
      <c r="AA38" s="24">
        <v>17.87982216315303</v>
      </c>
      <c r="AB38" s="24">
        <v>23.148090362548828</v>
      </c>
      <c r="AC38" s="24">
        <v>0.31011343002319336</v>
      </c>
      <c r="AD38" s="24">
        <v>1.5</v>
      </c>
      <c r="AE38" s="24">
        <v>2.24126689020357</v>
      </c>
      <c r="AF38" s="24">
        <v>2.3608413238385091</v>
      </c>
      <c r="AG38" s="24">
        <v>158.25131274483201</v>
      </c>
      <c r="AH38" s="24">
        <v>1.5112242698669434</v>
      </c>
      <c r="AI38" s="24">
        <v>27.575592594349001</v>
      </c>
      <c r="AJ38" s="24">
        <v>17.243079187320522</v>
      </c>
      <c r="AK38" s="24">
        <v>22.339994430541992</v>
      </c>
      <c r="AN38" s="24"/>
      <c r="AO38" s="24"/>
      <c r="AP38" s="24"/>
      <c r="AQ38" s="24"/>
      <c r="AR38" s="24"/>
      <c r="AS38" s="24"/>
      <c r="AT38" s="24"/>
      <c r="AU38" s="24"/>
      <c r="AV38" s="24"/>
      <c r="AW38" s="24"/>
      <c r="AX38" s="24"/>
      <c r="BC38" s="19"/>
      <c r="BD38" s="24"/>
      <c r="BE38" s="24"/>
      <c r="BF38" s="24"/>
      <c r="BG38" s="24"/>
    </row>
    <row r="39" spans="2:59">
      <c r="B39" s="24">
        <v>1.75</v>
      </c>
      <c r="C39" s="24">
        <v>2.1297758232999011</v>
      </c>
      <c r="D39" s="24">
        <v>0.63318434168605986</v>
      </c>
      <c r="E39" s="24">
        <v>40.241088836952471</v>
      </c>
      <c r="F39" s="24">
        <v>1.5939323902130127</v>
      </c>
      <c r="G39" s="24">
        <v>27.962182892373001</v>
      </c>
      <c r="H39" s="24">
        <v>7.1037299432914915</v>
      </c>
      <c r="I39" s="24">
        <v>11.39268684387207</v>
      </c>
      <c r="J39" s="24">
        <v>0.10576100647449493</v>
      </c>
      <c r="K39" s="24">
        <v>1.75</v>
      </c>
      <c r="L39" s="24">
        <v>1.9865599164604268</v>
      </c>
      <c r="M39" s="24">
        <v>0.43658817909268666</v>
      </c>
      <c r="N39" s="24">
        <v>27.582050351929293</v>
      </c>
      <c r="O39" s="24">
        <v>1.6034479141235352</v>
      </c>
      <c r="P39" s="24">
        <v>28.006174361670716</v>
      </c>
      <c r="Q39" s="24">
        <v>30.438016358370479</v>
      </c>
      <c r="R39" s="24">
        <v>50.784317016601562</v>
      </c>
      <c r="S39" s="24"/>
      <c r="T39" s="24"/>
      <c r="U39" s="24">
        <v>1.75</v>
      </c>
      <c r="V39" s="24">
        <v>2.6102404460939557</v>
      </c>
      <c r="W39" s="24">
        <v>2.340860096375311</v>
      </c>
      <c r="X39" s="24">
        <v>156.81364370763981</v>
      </c>
      <c r="Y39" s="24">
        <v>1.5121715068817139</v>
      </c>
      <c r="Z39" s="24">
        <v>27.580063706820795</v>
      </c>
      <c r="AA39" s="24">
        <v>17.172247761767181</v>
      </c>
      <c r="AB39" s="24">
        <v>22.251325607299805</v>
      </c>
      <c r="AC39" s="24">
        <v>0.28107264637947083</v>
      </c>
      <c r="AD39" s="24">
        <v>1.75</v>
      </c>
      <c r="AE39" s="24">
        <v>2.491852864349049</v>
      </c>
      <c r="AF39" s="24">
        <v>2.0620006499348995</v>
      </c>
      <c r="AG39" s="24">
        <v>136.9337490769509</v>
      </c>
      <c r="AH39" s="24">
        <v>1.5254141092300415</v>
      </c>
      <c r="AI39" s="24">
        <v>27.642462873796578</v>
      </c>
      <c r="AJ39" s="24">
        <v>16.103540528207908</v>
      </c>
      <c r="AK39" s="24">
        <v>20.940996170043945</v>
      </c>
      <c r="AN39" s="24"/>
      <c r="AO39" s="24"/>
      <c r="AP39" s="24"/>
      <c r="AQ39" s="24"/>
      <c r="AR39" s="24"/>
      <c r="AS39" s="24"/>
      <c r="AT39" s="24"/>
      <c r="AU39" s="24"/>
      <c r="AV39" s="24"/>
      <c r="AW39" s="24"/>
      <c r="AX39" s="24"/>
      <c r="BC39" s="19"/>
      <c r="BD39" s="24"/>
      <c r="BE39" s="24"/>
      <c r="BF39" s="24"/>
      <c r="BG39" s="24"/>
    </row>
    <row r="40" spans="2:59">
      <c r="B40" s="24">
        <v>2</v>
      </c>
      <c r="C40" s="24">
        <v>2.3448565705971971</v>
      </c>
      <c r="D40" s="24">
        <v>0.39512070120868137</v>
      </c>
      <c r="E40" s="24">
        <v>24.931036527691006</v>
      </c>
      <c r="F40" s="24">
        <v>1.6054577827453613</v>
      </c>
      <c r="G40" s="24">
        <v>28.01545335906377</v>
      </c>
      <c r="H40" s="24">
        <v>4.7377425785952552</v>
      </c>
      <c r="I40" s="24">
        <v>9.2018356323242187</v>
      </c>
      <c r="J40" s="24">
        <v>9.3361452221870422E-2</v>
      </c>
      <c r="K40" s="24">
        <v>2</v>
      </c>
      <c r="L40" s="24">
        <v>2.1962404156878703</v>
      </c>
      <c r="M40" s="24">
        <v>0.25537191511392004</v>
      </c>
      <c r="N40" s="24">
        <v>16.045505099608036</v>
      </c>
      <c r="O40" s="24">
        <v>1.6122381687164307</v>
      </c>
      <c r="P40" s="24">
        <v>28.046724337865101</v>
      </c>
      <c r="Q40" s="24">
        <v>30.534726287803323</v>
      </c>
      <c r="R40" s="24">
        <v>51.185104370117188</v>
      </c>
      <c r="S40" s="24"/>
      <c r="T40" s="24"/>
      <c r="U40" s="24">
        <v>2</v>
      </c>
      <c r="V40" s="24">
        <v>2.8947394450218322</v>
      </c>
      <c r="W40" s="24">
        <v>2.1189660664063967</v>
      </c>
      <c r="X40" s="24">
        <v>140.96702928396795</v>
      </c>
      <c r="Y40" s="24">
        <v>1.5227054357528687</v>
      </c>
      <c r="Z40" s="24">
        <v>27.62971597000822</v>
      </c>
      <c r="AA40" s="24">
        <v>16.334157049739186</v>
      </c>
      <c r="AB40" s="24">
        <v>21.219528198242188</v>
      </c>
      <c r="AC40" s="24">
        <v>0.25092166662216187</v>
      </c>
      <c r="AD40" s="24">
        <v>2</v>
      </c>
      <c r="AE40" s="24">
        <v>2.740981876546368</v>
      </c>
      <c r="AF40" s="24">
        <v>1.8225695020033217</v>
      </c>
      <c r="AG40" s="24">
        <v>120.1354337014933</v>
      </c>
      <c r="AH40" s="24">
        <v>1.5368179082870483</v>
      </c>
      <c r="AI40" s="24">
        <v>27.696039341689975</v>
      </c>
      <c r="AJ40" s="24">
        <v>15.050379315549495</v>
      </c>
      <c r="AK40" s="24">
        <v>19.696001052856445</v>
      </c>
      <c r="AN40" s="24"/>
      <c r="AO40" s="24"/>
      <c r="AP40" s="24"/>
      <c r="AQ40" s="24"/>
      <c r="AR40" s="24"/>
      <c r="AS40" s="24"/>
      <c r="AT40" s="24"/>
      <c r="AU40" s="24"/>
      <c r="AV40" s="24"/>
      <c r="AW40" s="24"/>
      <c r="AX40" s="24"/>
      <c r="BC40" s="19"/>
      <c r="BD40" s="24"/>
      <c r="BE40" s="24"/>
      <c r="BF40" s="24"/>
      <c r="BG40" s="24"/>
    </row>
    <row r="41" spans="2:59">
      <c r="B41" s="24">
        <v>2.25</v>
      </c>
      <c r="C41" s="24">
        <v>2.5450865811651049</v>
      </c>
      <c r="D41" s="24">
        <v>0.21866444452772113</v>
      </c>
      <c r="E41" s="24">
        <v>13.723929084668766</v>
      </c>
      <c r="F41" s="24">
        <v>1.6140209436416626</v>
      </c>
      <c r="G41" s="24">
        <v>28.054938209102403</v>
      </c>
      <c r="H41" s="24">
        <v>2.7574231894197738</v>
      </c>
      <c r="I41" s="24">
        <v>7.4458880424499512</v>
      </c>
      <c r="J41" s="24">
        <v>8.3876319229602814E-2</v>
      </c>
      <c r="K41" s="24">
        <v>2.25</v>
      </c>
      <c r="L41" s="24">
        <v>2.4145072073090521</v>
      </c>
      <c r="M41" s="24">
        <v>0.13933313751150359</v>
      </c>
      <c r="N41" s="24">
        <v>8.7240579729903764</v>
      </c>
      <c r="O41" s="24">
        <v>1.6178762912750244</v>
      </c>
      <c r="P41" s="24">
        <v>28.072689831061425</v>
      </c>
      <c r="Q41" s="24">
        <v>30.627735698997068</v>
      </c>
      <c r="R41" s="24">
        <v>51.575897216796875</v>
      </c>
      <c r="S41" s="24"/>
      <c r="T41" s="24"/>
      <c r="U41" s="24">
        <v>2.25</v>
      </c>
      <c r="V41" s="24">
        <v>3.1946699692752771</v>
      </c>
      <c r="W41" s="24">
        <v>1.9501622376818866</v>
      </c>
      <c r="X41" s="24">
        <v>129.05642387755358</v>
      </c>
      <c r="Y41" s="24">
        <v>1.5307369232177734</v>
      </c>
      <c r="Z41" s="24">
        <v>27.66748846948488</v>
      </c>
      <c r="AA41" s="24">
        <v>15.628205926198486</v>
      </c>
      <c r="AB41" s="24">
        <v>20.373712539672852</v>
      </c>
      <c r="AC41" s="24">
        <v>0.22986787557601929</v>
      </c>
      <c r="AD41" s="24">
        <v>2.25</v>
      </c>
      <c r="AE41" s="24">
        <v>2.9915661188456295</v>
      </c>
      <c r="AF41" s="24">
        <v>1.5918645017497368</v>
      </c>
      <c r="AG41" s="24">
        <v>104.18151259987702</v>
      </c>
      <c r="AH41" s="24">
        <v>1.5478358268737793</v>
      </c>
      <c r="AI41" s="24">
        <v>27.747663197423503</v>
      </c>
      <c r="AJ41" s="24">
        <v>13.897614009049303</v>
      </c>
      <c r="AK41" s="24">
        <v>18.380002975463867</v>
      </c>
      <c r="AN41" s="24"/>
      <c r="AO41" s="24"/>
      <c r="AP41" s="24"/>
      <c r="AQ41" s="24"/>
      <c r="AR41" s="24"/>
      <c r="AS41" s="24"/>
      <c r="AT41" s="24"/>
      <c r="AU41" s="24"/>
      <c r="AV41" s="24"/>
      <c r="AW41" s="24"/>
      <c r="AX41" s="24"/>
      <c r="BC41" s="19"/>
      <c r="BD41" s="24"/>
      <c r="BE41" s="24"/>
      <c r="BF41" s="24"/>
      <c r="BG41" s="24"/>
    </row>
    <row r="42" spans="2:59">
      <c r="B42" s="24">
        <v>2.5</v>
      </c>
      <c r="C42" s="24">
        <v>2.774936530041844</v>
      </c>
      <c r="D42" s="24">
        <v>0.11810193913962869</v>
      </c>
      <c r="E42" s="24">
        <v>7.3899943748021251</v>
      </c>
      <c r="F42" s="24">
        <v>1.6189087629318237</v>
      </c>
      <c r="G42" s="24">
        <v>28.077440644093631</v>
      </c>
      <c r="H42" s="24">
        <v>1.5332832972598667</v>
      </c>
      <c r="I42" s="24">
        <v>6.3929839134216309</v>
      </c>
      <c r="J42" s="24">
        <v>7.6104030013084412E-2</v>
      </c>
      <c r="K42" s="24">
        <v>2.5</v>
      </c>
      <c r="L42" s="24">
        <v>2.6389987887361523</v>
      </c>
      <c r="M42" s="24">
        <v>7.0280260777150536E-2</v>
      </c>
      <c r="N42" s="24">
        <v>4.3913375069425777</v>
      </c>
      <c r="O42" s="24">
        <v>1.6212351322174072</v>
      </c>
      <c r="P42" s="24">
        <v>28.088141493325359</v>
      </c>
      <c r="Q42" s="24">
        <v>30.716722093389148</v>
      </c>
      <c r="R42" s="24">
        <v>51.954696655273438</v>
      </c>
      <c r="S42" s="24"/>
      <c r="T42" s="24"/>
      <c r="U42" s="24">
        <v>2.5</v>
      </c>
      <c r="V42" s="24">
        <v>3.4599845165869065</v>
      </c>
      <c r="W42" s="24">
        <v>1.7315987755910114</v>
      </c>
      <c r="X42" s="24">
        <v>113.81755999953684</v>
      </c>
      <c r="Y42" s="24">
        <v>1.5411590337753296</v>
      </c>
      <c r="Z42" s="24">
        <v>27.716395465966091</v>
      </c>
      <c r="AA42" s="24">
        <v>14.613547096078474</v>
      </c>
      <c r="AB42" s="24">
        <v>19.191865921020508</v>
      </c>
      <c r="AC42" s="24">
        <v>0.20239466428756714</v>
      </c>
      <c r="AD42" s="24">
        <v>2.5</v>
      </c>
      <c r="AE42" s="24">
        <v>3.24067697932451</v>
      </c>
      <c r="AF42" s="24">
        <v>1.3997333775385523</v>
      </c>
      <c r="AG42" s="24">
        <v>91.066105211777838</v>
      </c>
      <c r="AH42" s="24">
        <v>1.5570336580276489</v>
      </c>
      <c r="AI42" s="24">
        <v>27.790655544478383</v>
      </c>
      <c r="AJ42" s="24">
        <v>12.81777593826547</v>
      </c>
      <c r="AK42" s="24">
        <v>17.187002182006836</v>
      </c>
      <c r="AN42" s="24"/>
      <c r="AO42" s="24"/>
      <c r="AP42" s="24"/>
      <c r="AQ42" s="24"/>
      <c r="AR42" s="24"/>
      <c r="AS42" s="24"/>
      <c r="AT42" s="24"/>
      <c r="AU42" s="24"/>
      <c r="AV42" s="24"/>
      <c r="AW42" s="24"/>
      <c r="AX42" s="24"/>
      <c r="BC42" s="19"/>
      <c r="BD42" s="24"/>
      <c r="BE42" s="24"/>
      <c r="BF42" s="24"/>
      <c r="BG42" s="24"/>
    </row>
    <row r="43" spans="2:59">
      <c r="B43" s="24">
        <v>2.75</v>
      </c>
      <c r="C43" s="24">
        <v>2.9849180617040791</v>
      </c>
      <c r="D43" s="24">
        <v>5.4279174049021384E-2</v>
      </c>
      <c r="E43" s="24">
        <v>3.3899097982648949</v>
      </c>
      <c r="F43" s="24">
        <v>1.6220138072967529</v>
      </c>
      <c r="G43" s="24">
        <v>28.091721986994436</v>
      </c>
      <c r="H43" s="24">
        <v>0.71819105702717001</v>
      </c>
      <c r="I43" s="24">
        <v>5.7049360275268555</v>
      </c>
      <c r="J43" s="24">
        <v>5.8390222489833832E-2</v>
      </c>
      <c r="K43" s="24">
        <v>2.75</v>
      </c>
      <c r="L43" s="24">
        <v>2.8683762869749736</v>
      </c>
      <c r="M43" s="24">
        <v>3.2235212943119755E-2</v>
      </c>
      <c r="N43" s="24">
        <v>2.0118623310134072</v>
      </c>
      <c r="O43" s="24">
        <v>1.62308669090271</v>
      </c>
      <c r="P43" s="24">
        <v>28.096654668413027</v>
      </c>
      <c r="Q43" s="24">
        <v>30.801774421921667</v>
      </c>
      <c r="R43" s="24">
        <v>52.321502685546875</v>
      </c>
      <c r="S43" s="24"/>
      <c r="T43" s="24"/>
      <c r="U43" s="24">
        <v>2.75</v>
      </c>
      <c r="V43" s="24">
        <v>3.754924418284121</v>
      </c>
      <c r="W43" s="24">
        <v>1.5720718026778164</v>
      </c>
      <c r="X43" s="24">
        <v>102.82327231322839</v>
      </c>
      <c r="Y43" s="24">
        <v>1.5487823486328125</v>
      </c>
      <c r="Z43" s="24">
        <v>27.752092123716139</v>
      </c>
      <c r="AA43" s="24">
        <v>13.791398461003078</v>
      </c>
      <c r="AB43" s="24">
        <v>18.261011123657227</v>
      </c>
      <c r="AC43" s="24">
        <v>0.18666625022888184</v>
      </c>
      <c r="AD43" s="24">
        <v>2.75</v>
      </c>
      <c r="AE43" s="24">
        <v>3.4912496158958382</v>
      </c>
      <c r="AF43" s="24">
        <v>1.2225519373437987</v>
      </c>
      <c r="AG43" s="24">
        <v>79.106892079667034</v>
      </c>
      <c r="AH43" s="24">
        <v>1.5655337572097778</v>
      </c>
      <c r="AI43" s="24">
        <v>27.830302665681735</v>
      </c>
      <c r="AJ43" s="24">
        <v>11.713477900245062</v>
      </c>
      <c r="AK43" s="24">
        <v>16.003002166748047</v>
      </c>
      <c r="AN43" s="24"/>
      <c r="AO43" s="24"/>
      <c r="AP43" s="24"/>
      <c r="AQ43" s="24"/>
      <c r="AR43" s="24"/>
      <c r="AS43" s="24"/>
      <c r="AT43" s="24"/>
      <c r="AU43" s="24"/>
      <c r="AV43" s="24"/>
      <c r="AW43" s="24"/>
      <c r="AX43" s="24"/>
      <c r="BC43" s="19"/>
      <c r="BD43" s="24"/>
      <c r="BE43" s="24"/>
      <c r="BF43" s="24"/>
      <c r="BG43" s="24"/>
    </row>
    <row r="44" spans="2:59">
      <c r="B44" s="24">
        <v>3</v>
      </c>
      <c r="C44" s="24">
        <v>3.1552091256537369</v>
      </c>
      <c r="D44" s="24">
        <v>1.8267493652600546E-2</v>
      </c>
      <c r="E44" s="24">
        <v>1.1396323416889067</v>
      </c>
      <c r="F44" s="24">
        <v>1.6237667798995972</v>
      </c>
      <c r="G44" s="24">
        <v>28.099780164283459</v>
      </c>
      <c r="H44" s="24">
        <v>0.25799647786803565</v>
      </c>
      <c r="I44" s="24">
        <v>5.3209776878356934</v>
      </c>
      <c r="J44" s="24">
        <v>7.096584141254425E-2</v>
      </c>
      <c r="K44" s="24">
        <v>3</v>
      </c>
      <c r="L44" s="24">
        <v>3.1017217463094453</v>
      </c>
      <c r="M44" s="24">
        <v>1.312647857288435E-2</v>
      </c>
      <c r="N44" s="24">
        <v>0.81877974375859064</v>
      </c>
      <c r="O44" s="24">
        <v>1.6240171194076538</v>
      </c>
      <c r="P44" s="24">
        <v>28.100930546895484</v>
      </c>
      <c r="Q44" s="24">
        <v>30.882746698414209</v>
      </c>
      <c r="R44" s="24">
        <v>52.675315856933594</v>
      </c>
      <c r="S44" s="24"/>
      <c r="T44" s="24"/>
      <c r="U44" s="24">
        <v>3</v>
      </c>
      <c r="V44" s="24">
        <v>4.0509806497004615</v>
      </c>
      <c r="W44" s="24">
        <v>1.4332971401701016</v>
      </c>
      <c r="X44" s="24">
        <v>93.346167157563414</v>
      </c>
      <c r="Y44" s="24">
        <v>1.5554254055023193</v>
      </c>
      <c r="Z44" s="24">
        <v>27.783145127113954</v>
      </c>
      <c r="AA44" s="24">
        <v>13.01493115898972</v>
      </c>
      <c r="AB44" s="24">
        <v>17.402124404907227</v>
      </c>
      <c r="AC44" s="24">
        <v>0.17363055050373077</v>
      </c>
      <c r="AD44" s="24">
        <v>3</v>
      </c>
      <c r="AE44" s="24">
        <v>3.7404197159873638</v>
      </c>
      <c r="AF44" s="24">
        <v>1.0749952339496081</v>
      </c>
      <c r="AG44" s="24">
        <v>69.245344755082414</v>
      </c>
      <c r="AH44" s="24">
        <v>1.5726258754730225</v>
      </c>
      <c r="AI44" s="24">
        <v>27.863320788219884</v>
      </c>
      <c r="AJ44" s="24">
        <v>10.703168839726517</v>
      </c>
      <c r="AK44" s="24">
        <v>14.948997497558594</v>
      </c>
      <c r="AN44" s="24"/>
      <c r="AO44" s="24"/>
      <c r="AP44" s="24"/>
      <c r="AQ44" s="24"/>
      <c r="AR44" s="24"/>
      <c r="AS44" s="24"/>
      <c r="AT44" s="24"/>
      <c r="AU44" s="24"/>
      <c r="AV44" s="24"/>
      <c r="AW44" s="24"/>
      <c r="AX44" s="24"/>
      <c r="BC44" s="19"/>
      <c r="BD44" s="24"/>
      <c r="BE44" s="24"/>
      <c r="BF44" s="24"/>
      <c r="BG44" s="24"/>
    </row>
    <row r="45" spans="2:59">
      <c r="B45" s="24">
        <v>3.25</v>
      </c>
      <c r="C45" s="24">
        <v>3.4294849487738759</v>
      </c>
      <c r="D45" s="24">
        <v>7.8794927449815418E-3</v>
      </c>
      <c r="E45" s="24">
        <v>0.4914154403444464</v>
      </c>
      <c r="F45" s="24">
        <v>1.6242725849151611</v>
      </c>
      <c r="G45" s="24">
        <v>28.102104642121496</v>
      </c>
      <c r="H45" s="24">
        <v>0.30870514764679041</v>
      </c>
      <c r="I45" s="24">
        <v>5.363980770111084</v>
      </c>
      <c r="J45" s="24">
        <v>2.54985261708498E-2</v>
      </c>
      <c r="K45" s="24">
        <v>3.25</v>
      </c>
      <c r="L45" s="24">
        <v>3.3380796961401265</v>
      </c>
      <c r="M45" s="24">
        <v>4.618049591100396E-3</v>
      </c>
      <c r="N45" s="24">
        <v>0.28798287845850673</v>
      </c>
      <c r="O45" s="24">
        <v>1.6244313716888428</v>
      </c>
      <c r="P45" s="24">
        <v>28.102834441088465</v>
      </c>
      <c r="Q45" s="24">
        <v>30.95951825003598</v>
      </c>
      <c r="R45" s="24">
        <v>53.01513671875</v>
      </c>
      <c r="S45" s="24"/>
      <c r="T45" s="24"/>
      <c r="U45" s="24">
        <v>3.25</v>
      </c>
      <c r="V45" s="24">
        <v>4.3402896476337967</v>
      </c>
      <c r="W45" s="24">
        <v>1.2982690289743914</v>
      </c>
      <c r="X45" s="24">
        <v>84.201753740546948</v>
      </c>
      <c r="Y45" s="24">
        <v>1.5618991851806641</v>
      </c>
      <c r="Z45" s="24">
        <v>27.813359780999548</v>
      </c>
      <c r="AA45" s="24">
        <v>12.198947498030119</v>
      </c>
      <c r="AB45" s="24">
        <v>16.519233703613281</v>
      </c>
      <c r="AC45" s="24">
        <v>0.15905855596065521</v>
      </c>
      <c r="AD45" s="24">
        <v>3.25</v>
      </c>
      <c r="AE45" s="24">
        <v>3.9909645098429234</v>
      </c>
      <c r="AF45" s="24">
        <v>0.93891988788003733</v>
      </c>
      <c r="AG45" s="24">
        <v>60.229224159090677</v>
      </c>
      <c r="AH45" s="24">
        <v>1.579176664352417</v>
      </c>
      <c r="AI45" s="24">
        <v>27.893769777304055</v>
      </c>
      <c r="AJ45" s="24">
        <v>9.6920057591776487</v>
      </c>
      <c r="AK45" s="24">
        <v>13.919998168945312</v>
      </c>
      <c r="AN45" s="24"/>
      <c r="AO45" s="24"/>
      <c r="AP45" s="24"/>
      <c r="AQ45" s="24"/>
      <c r="AR45" s="24"/>
      <c r="AS45" s="24"/>
      <c r="AT45" s="24"/>
      <c r="AU45" s="24"/>
      <c r="AV45" s="24"/>
      <c r="AW45" s="24"/>
      <c r="AX45" s="24"/>
      <c r="BC45" s="19"/>
      <c r="BD45" s="24"/>
      <c r="BE45" s="24"/>
      <c r="BF45" s="24"/>
      <c r="BG45" s="24"/>
    </row>
    <row r="46" spans="2:59">
      <c r="B46" s="24">
        <v>3.5</v>
      </c>
      <c r="C46" s="24">
        <v>3.6150663255895497</v>
      </c>
      <c r="D46" s="24">
        <v>1.9198543563310705E-3</v>
      </c>
      <c r="E46" s="24">
        <v>0.11971297748473123</v>
      </c>
      <c r="F46" s="24">
        <v>1.6245627403259277</v>
      </c>
      <c r="G46" s="24">
        <v>28.1034382045153</v>
      </c>
      <c r="H46" s="24">
        <v>0.24847522214848347</v>
      </c>
      <c r="I46" s="24">
        <v>5.3139867782592773</v>
      </c>
      <c r="J46" s="24">
        <v>7.707446813583374E-3</v>
      </c>
      <c r="K46" s="24">
        <v>3.5</v>
      </c>
      <c r="L46" s="24">
        <v>3.5773483517700657</v>
      </c>
      <c r="M46" s="24">
        <v>1.4019079115840487E-3</v>
      </c>
      <c r="N46" s="24">
        <v>8.7414945867756749E-2</v>
      </c>
      <c r="O46" s="24">
        <v>1.6245880126953125</v>
      </c>
      <c r="P46" s="24">
        <v>28.103554103141299</v>
      </c>
      <c r="Q46" s="24">
        <v>31.032655852590935</v>
      </c>
      <c r="R46" s="24">
        <v>53.342964172363281</v>
      </c>
      <c r="S46" s="24"/>
      <c r="T46" s="24"/>
      <c r="U46" s="24">
        <v>3.5</v>
      </c>
      <c r="V46" s="24">
        <v>4.6300542010380843</v>
      </c>
      <c r="W46" s="24">
        <v>1.1689626233967139</v>
      </c>
      <c r="X46" s="24">
        <v>75.515148775893238</v>
      </c>
      <c r="Y46" s="24">
        <v>1.568108081817627</v>
      </c>
      <c r="Z46" s="24">
        <v>27.842294113673855</v>
      </c>
      <c r="AA46" s="24">
        <v>11.356326094257927</v>
      </c>
      <c r="AB46" s="24">
        <v>15.627326011657715</v>
      </c>
      <c r="AC46" s="24">
        <v>0.14638951420783997</v>
      </c>
      <c r="AD46" s="24">
        <v>3.5</v>
      </c>
      <c r="AE46" s="24">
        <v>4.2401256039883375</v>
      </c>
      <c r="AF46" s="24">
        <v>0.82559633967330381</v>
      </c>
      <c r="AG46" s="24">
        <v>52.77723065424329</v>
      </c>
      <c r="AH46" s="24">
        <v>1.5846400260925293</v>
      </c>
      <c r="AI46" s="24">
        <v>27.919127695413351</v>
      </c>
      <c r="AJ46" s="24">
        <v>8.786418997448278</v>
      </c>
      <c r="AK46" s="24">
        <v>13.019000053405762</v>
      </c>
      <c r="AN46" s="24"/>
      <c r="AO46" s="24"/>
      <c r="AP46" s="24"/>
      <c r="AQ46" s="24"/>
      <c r="AR46" s="24"/>
      <c r="AS46" s="24"/>
      <c r="AT46" s="24"/>
      <c r="AU46" s="24"/>
      <c r="AV46" s="24"/>
      <c r="AW46" s="24"/>
      <c r="AX46" s="24"/>
      <c r="BC46" s="19"/>
      <c r="BD46" s="24"/>
      <c r="BE46" s="24"/>
      <c r="BF46" s="24"/>
      <c r="BG46" s="24"/>
    </row>
    <row r="47" spans="2:59">
      <c r="B47" s="24">
        <v>3.75</v>
      </c>
      <c r="C47" s="24">
        <v>3.8547328141844952</v>
      </c>
      <c r="D47" s="24">
        <v>5.0991003523920937E-4</v>
      </c>
      <c r="E47" s="24">
        <v>3.1794218412228847E-2</v>
      </c>
      <c r="F47" s="24">
        <v>1.624631404876709</v>
      </c>
      <c r="G47" s="24">
        <v>28.103753701631287</v>
      </c>
      <c r="H47" s="24">
        <v>0.26991624654463775</v>
      </c>
      <c r="I47" s="24">
        <v>5.3319864273071289</v>
      </c>
      <c r="J47" s="24">
        <v>1.8856110982596874E-3</v>
      </c>
      <c r="K47" s="24">
        <v>3.75</v>
      </c>
      <c r="L47" s="24">
        <v>3.818095287925479</v>
      </c>
      <c r="M47" s="24">
        <v>3.6218703221630312E-4</v>
      </c>
      <c r="N47" s="24">
        <v>2.2583204530680436E-2</v>
      </c>
      <c r="O47" s="24">
        <v>1.6246386766433716</v>
      </c>
      <c r="P47" s="24">
        <v>28.10378675696597</v>
      </c>
      <c r="Q47" s="24">
        <v>31.103146663739164</v>
      </c>
      <c r="R47" s="24">
        <v>53.662796020507812</v>
      </c>
      <c r="S47" s="24"/>
      <c r="T47" s="24"/>
      <c r="U47" s="24">
        <v>3.75</v>
      </c>
      <c r="V47" s="24">
        <v>4.8803308271632799</v>
      </c>
      <c r="W47" s="24">
        <v>1.0312456420808391</v>
      </c>
      <c r="X47" s="24">
        <v>66.338436390268001</v>
      </c>
      <c r="Y47" s="24">
        <v>1.5747308731079102</v>
      </c>
      <c r="Z47" s="24">
        <v>27.873110444345894</v>
      </c>
      <c r="AA47" s="24">
        <v>10.386852465967872</v>
      </c>
      <c r="AB47" s="24">
        <v>14.624404907226563</v>
      </c>
      <c r="AC47" s="24">
        <v>0.13510508835315704</v>
      </c>
      <c r="AD47" s="24">
        <v>3.75</v>
      </c>
      <c r="AE47" s="24">
        <v>4.4909976510649665</v>
      </c>
      <c r="AF47" s="24">
        <v>0.72109047389187231</v>
      </c>
      <c r="AG47" s="24">
        <v>45.950291759748197</v>
      </c>
      <c r="AH47" s="24">
        <v>1.5896844863891602</v>
      </c>
      <c r="AI47" s="24">
        <v>27.942512519029997</v>
      </c>
      <c r="AJ47" s="24">
        <v>7.8960646068561156</v>
      </c>
      <c r="AK47" s="24">
        <v>12.150998115539551</v>
      </c>
      <c r="AN47" s="24"/>
      <c r="AO47" s="24"/>
      <c r="AP47" s="24"/>
      <c r="AQ47" s="24"/>
      <c r="AR47" s="24"/>
      <c r="AS47" s="24"/>
      <c r="AT47" s="24"/>
      <c r="AU47" s="24"/>
      <c r="AV47" s="24"/>
      <c r="AW47" s="24"/>
      <c r="AX47" s="24"/>
      <c r="BC47" s="19"/>
      <c r="BD47" s="24"/>
      <c r="BE47" s="24"/>
      <c r="BF47" s="24"/>
      <c r="BG47" s="24"/>
    </row>
    <row r="48" spans="2:59">
      <c r="B48" s="24">
        <v>4</v>
      </c>
      <c r="C48" s="24">
        <v>4.054828373331941</v>
      </c>
      <c r="D48" s="24">
        <v>7.219965100732188E-5</v>
      </c>
      <c r="E48" s="24">
        <v>4.5017771701230027E-3</v>
      </c>
      <c r="F48" s="24">
        <v>1.6246527433395386</v>
      </c>
      <c r="G48" s="24">
        <v>28.103851646182569</v>
      </c>
      <c r="H48" s="24">
        <v>0.28663250562522935</v>
      </c>
      <c r="I48" s="24">
        <v>5.3459858894348145</v>
      </c>
      <c r="J48" s="24">
        <v>2.5152525631710887E-4</v>
      </c>
      <c r="K48" s="24">
        <v>4</v>
      </c>
      <c r="L48" s="24">
        <v>4.0583158973575229</v>
      </c>
      <c r="M48" s="24">
        <v>7.6075373966855427E-5</v>
      </c>
      <c r="N48" s="24">
        <v>4.743435968748334E-3</v>
      </c>
      <c r="O48" s="24">
        <v>1.6246525049209595</v>
      </c>
      <c r="P48" s="24">
        <v>28.10385077892888</v>
      </c>
      <c r="Q48" s="24">
        <v>31.176693803937422</v>
      </c>
      <c r="R48" s="24">
        <v>54.000617980957031</v>
      </c>
      <c r="S48" s="24"/>
      <c r="T48" s="24"/>
      <c r="U48" s="24">
        <v>4</v>
      </c>
      <c r="V48" s="24">
        <v>5.1298859752676078</v>
      </c>
      <c r="W48" s="24">
        <v>0.90973053058897946</v>
      </c>
      <c r="X48" s="24">
        <v>58.304873280658263</v>
      </c>
      <c r="Y48" s="24">
        <v>1.5805832147598267</v>
      </c>
      <c r="Z48" s="24">
        <v>27.900301352987686</v>
      </c>
      <c r="AA48" s="24">
        <v>9.464113917999498</v>
      </c>
      <c r="AB48" s="24">
        <v>13.691475868225098</v>
      </c>
      <c r="AC48" s="24">
        <v>0.1292392760515213</v>
      </c>
      <c r="AD48" s="24">
        <v>4</v>
      </c>
      <c r="AE48" s="24">
        <v>4.7402017048561298</v>
      </c>
      <c r="AF48" s="24">
        <v>0.63736037422778813</v>
      </c>
      <c r="AG48" s="24">
        <v>40.511621777627738</v>
      </c>
      <c r="AH48" s="24">
        <v>1.5937304496765137</v>
      </c>
      <c r="AI48" s="24">
        <v>27.961248439711653</v>
      </c>
      <c r="AJ48" s="24">
        <v>7.1419861023689108</v>
      </c>
      <c r="AK48" s="24">
        <v>11.429000854492188</v>
      </c>
      <c r="AN48" s="24"/>
      <c r="AO48" s="24"/>
      <c r="AP48" s="24"/>
      <c r="AQ48" s="24"/>
      <c r="AR48" s="24"/>
      <c r="AS48" s="24"/>
      <c r="AT48" s="24"/>
      <c r="AU48" s="24"/>
      <c r="AV48" s="24"/>
      <c r="AW48" s="24"/>
      <c r="AX48" s="24"/>
      <c r="BC48" s="19"/>
      <c r="BD48" s="24"/>
      <c r="BE48" s="24"/>
      <c r="BF48" s="24"/>
      <c r="BG48" s="24"/>
    </row>
    <row r="49" spans="2:59">
      <c r="B49" s="24"/>
      <c r="C49" s="24"/>
      <c r="D49" s="24"/>
      <c r="E49" s="24"/>
      <c r="F49" s="24"/>
      <c r="G49" s="24"/>
      <c r="H49" s="24"/>
      <c r="I49" s="24"/>
      <c r="J49" s="24"/>
      <c r="K49" s="24"/>
      <c r="L49" s="24"/>
      <c r="M49" s="24"/>
      <c r="N49" s="24"/>
      <c r="O49" s="24"/>
      <c r="P49" s="24"/>
      <c r="Q49" s="24"/>
      <c r="R49" s="24"/>
      <c r="S49" s="24"/>
      <c r="T49" s="24"/>
      <c r="U49" s="24">
        <v>4.25</v>
      </c>
      <c r="V49" s="24">
        <v>5.3398211662788988</v>
      </c>
      <c r="W49" s="24">
        <v>0.77867703347925377</v>
      </c>
      <c r="X49" s="24">
        <v>49.706839596633479</v>
      </c>
      <c r="Y49" s="24">
        <v>1.5869040489196777</v>
      </c>
      <c r="Z49" s="24">
        <v>27.92962662474482</v>
      </c>
      <c r="AA49" s="24">
        <v>8.393219263020578</v>
      </c>
      <c r="AB49" s="24">
        <v>12.633544921875</v>
      </c>
      <c r="AC49" s="24">
        <v>0.11745550483465195</v>
      </c>
      <c r="AD49" s="24">
        <v>4.25</v>
      </c>
      <c r="AE49" s="24">
        <v>4.9909570485336916</v>
      </c>
      <c r="AF49" s="24">
        <v>0.55668184584452407</v>
      </c>
      <c r="AG49" s="24">
        <v>35.297144196129423</v>
      </c>
      <c r="AH49" s="24">
        <v>1.5976326465606689</v>
      </c>
      <c r="AI49" s="24">
        <v>27.979301523543704</v>
      </c>
      <c r="AJ49" s="24">
        <v>6.3787874397928892</v>
      </c>
      <c r="AK49" s="24">
        <v>10.710001945495605</v>
      </c>
      <c r="AN49" s="24"/>
      <c r="AO49" s="24"/>
      <c r="AP49" s="24"/>
      <c r="AQ49" s="24"/>
      <c r="AR49" s="24"/>
      <c r="AS49" s="24"/>
      <c r="AT49" s="24"/>
      <c r="AU49" s="24"/>
      <c r="AV49" s="24"/>
      <c r="AW49" s="24"/>
      <c r="AX49" s="24"/>
      <c r="BC49" s="24"/>
      <c r="BD49" s="24"/>
      <c r="BE49" s="24"/>
      <c r="BF49" s="24"/>
      <c r="BG49" s="24"/>
    </row>
    <row r="50" spans="2:59">
      <c r="B50" s="24" t="s">
        <v>269</v>
      </c>
      <c r="C50" s="24"/>
      <c r="D50" s="24"/>
      <c r="E50" s="24"/>
      <c r="F50" s="24"/>
      <c r="G50" s="24"/>
      <c r="H50" s="24"/>
      <c r="I50" s="24"/>
      <c r="J50" s="24"/>
      <c r="K50" s="24"/>
      <c r="L50" s="24"/>
      <c r="M50" s="24"/>
      <c r="N50" s="24"/>
      <c r="O50" s="24"/>
      <c r="P50" s="24"/>
      <c r="Q50" s="24"/>
      <c r="R50" s="24"/>
      <c r="S50" s="24"/>
      <c r="T50" s="24"/>
      <c r="U50" s="24">
        <v>4.5</v>
      </c>
      <c r="V50" s="24">
        <v>5.6347022310133177</v>
      </c>
      <c r="W50" s="24">
        <v>0.70094175819824811</v>
      </c>
      <c r="X50" s="24">
        <v>44.639018471427214</v>
      </c>
      <c r="Y50" s="24">
        <v>1.5906577110290527</v>
      </c>
      <c r="Z50" s="24">
        <v>27.947021109615552</v>
      </c>
      <c r="AA50" s="24">
        <v>7.7181596849370901</v>
      </c>
      <c r="AB50" s="24">
        <v>11.979598999023438</v>
      </c>
      <c r="AC50" s="24">
        <v>0.1117461770772934</v>
      </c>
      <c r="AD50" s="24">
        <v>4.5</v>
      </c>
      <c r="AE50" s="24">
        <v>5.240545485618286</v>
      </c>
      <c r="AF50" s="24">
        <v>0.49204220890385314</v>
      </c>
      <c r="AG50" s="24">
        <v>31.137598392745819</v>
      </c>
      <c r="AH50" s="24">
        <v>1.6007617712020874</v>
      </c>
      <c r="AI50" s="24">
        <v>27.993765654309939</v>
      </c>
      <c r="AJ50" s="24">
        <v>5.741142032082645</v>
      </c>
      <c r="AK50" s="24">
        <v>10.118000984191895</v>
      </c>
      <c r="AW50" s="19"/>
      <c r="AX50" s="24"/>
      <c r="BC50" s="24"/>
      <c r="BD50" s="24"/>
      <c r="BE50" s="24"/>
      <c r="BF50" s="24"/>
      <c r="BG50" s="24"/>
    </row>
    <row r="51" spans="2:59">
      <c r="B51" s="25" t="s">
        <v>237</v>
      </c>
      <c r="C51" s="24" t="s">
        <v>154</v>
      </c>
      <c r="D51" s="24" t="s">
        <v>155</v>
      </c>
      <c r="E51" s="24" t="s">
        <v>156</v>
      </c>
      <c r="F51" s="24" t="s">
        <v>159</v>
      </c>
      <c r="G51" s="24" t="s">
        <v>238</v>
      </c>
      <c r="H51" s="24" t="s">
        <v>157</v>
      </c>
      <c r="I51" s="24" t="s">
        <v>160</v>
      </c>
      <c r="J51" s="24" t="s">
        <v>265</v>
      </c>
      <c r="K51" s="25" t="s">
        <v>237</v>
      </c>
      <c r="L51" s="24" t="s">
        <v>154</v>
      </c>
      <c r="M51" s="24" t="s">
        <v>155</v>
      </c>
      <c r="N51" s="24" t="s">
        <v>156</v>
      </c>
      <c r="O51" s="24" t="s">
        <v>159</v>
      </c>
      <c r="P51" s="24" t="s">
        <v>238</v>
      </c>
      <c r="Q51" s="24" t="s">
        <v>157</v>
      </c>
      <c r="R51" s="24" t="s">
        <v>160</v>
      </c>
      <c r="S51" s="25"/>
      <c r="T51" s="24"/>
      <c r="U51" s="24">
        <v>4.75</v>
      </c>
      <c r="V51" s="24">
        <v>5.9499473568671517</v>
      </c>
      <c r="W51" s="24">
        <v>0.64137914511354266</v>
      </c>
      <c r="X51" s="24">
        <v>40.772031443095791</v>
      </c>
      <c r="Y51" s="24">
        <v>1.5935361385345459</v>
      </c>
      <c r="Z51" s="24">
        <v>27.960349176807927</v>
      </c>
      <c r="AA51" s="24">
        <v>7.1784732734789864</v>
      </c>
      <c r="AB51" s="24">
        <v>11.46366024017334</v>
      </c>
      <c r="AC51" s="24">
        <v>0.11210445314645767</v>
      </c>
      <c r="AD51" s="24">
        <v>4.75</v>
      </c>
      <c r="AE51" s="24">
        <v>5.4912561065330765</v>
      </c>
      <c r="AF51" s="24">
        <v>0.42975838499197283</v>
      </c>
      <c r="AG51" s="24">
        <v>27.144966004858965</v>
      </c>
      <c r="AH51" s="24">
        <v>1.6037789583206177</v>
      </c>
      <c r="AI51" s="24">
        <v>28.007702635028284</v>
      </c>
      <c r="AJ51" s="24">
        <v>5.1027826456659895</v>
      </c>
      <c r="AK51" s="24">
        <v>9.5330028533935547</v>
      </c>
      <c r="AW51" s="24"/>
      <c r="AX51" s="19"/>
      <c r="BC51" s="24"/>
      <c r="BD51" s="24"/>
      <c r="BE51" s="24"/>
      <c r="BF51" s="24"/>
      <c r="BG51" s="24"/>
    </row>
    <row r="52" spans="2:59">
      <c r="B52" s="24">
        <v>0</v>
      </c>
      <c r="C52" s="24">
        <v>0.44998927597080646</v>
      </c>
      <c r="D52" s="24">
        <v>4.0807229629629544</v>
      </c>
      <c r="E52" s="24">
        <v>288.97487702424144</v>
      </c>
      <c r="F52" s="24">
        <v>1.4304953813552856</v>
      </c>
      <c r="G52" s="24">
        <v>27.190742151058604</v>
      </c>
      <c r="H52" s="24">
        <v>21.369530555170325</v>
      </c>
      <c r="I52" s="24">
        <v>28.01487922668457</v>
      </c>
      <c r="J52" s="24">
        <v>0.62966090440750122</v>
      </c>
      <c r="K52" s="24">
        <v>0</v>
      </c>
      <c r="L52" s="24">
        <v>0.49848894956997158</v>
      </c>
      <c r="M52" s="24">
        <v>4.4887952592592493</v>
      </c>
      <c r="N52" s="24">
        <v>322.1335128244217</v>
      </c>
      <c r="O52" s="24">
        <v>1.4115729331970215</v>
      </c>
      <c r="P52" s="24">
        <v>27.099429585965979</v>
      </c>
      <c r="Q52" s="24">
        <v>21.967743906268655</v>
      </c>
      <c r="R52" s="24">
        <v>28.948003768920898</v>
      </c>
      <c r="S52" s="19"/>
      <c r="T52" s="24"/>
      <c r="U52" s="24">
        <v>5</v>
      </c>
      <c r="V52" s="24">
        <v>6.2247241215342743</v>
      </c>
      <c r="W52" s="24">
        <v>0.57521582277551742</v>
      </c>
      <c r="X52" s="24">
        <v>36.492798943988916</v>
      </c>
      <c r="Y52" s="24">
        <v>1.596735954284668</v>
      </c>
      <c r="Z52" s="24">
        <v>27.975154256036703</v>
      </c>
      <c r="AA52" s="24">
        <v>6.557869633874013</v>
      </c>
      <c r="AB52" s="24">
        <v>10.877683639526367</v>
      </c>
      <c r="AC52" s="24">
        <v>0.10551317781209946</v>
      </c>
      <c r="AD52" s="24">
        <v>5</v>
      </c>
      <c r="AE52" s="24">
        <v>5.7410051177829589</v>
      </c>
      <c r="AF52" s="24">
        <v>0.37985658527377586</v>
      </c>
      <c r="AG52" s="24">
        <v>23.95686929649073</v>
      </c>
      <c r="AH52" s="24">
        <v>1.6061978340148926</v>
      </c>
      <c r="AI52" s="24">
        <v>28.018868943979818</v>
      </c>
      <c r="AJ52" s="24">
        <v>4.5750363213251939</v>
      </c>
      <c r="AK52" s="24">
        <v>9.0550031661987305</v>
      </c>
      <c r="AN52" s="24"/>
      <c r="AO52" s="24"/>
      <c r="AP52" s="24"/>
      <c r="AQ52" s="24"/>
      <c r="AR52" s="24"/>
      <c r="AS52" s="24"/>
      <c r="AT52" s="24"/>
      <c r="AU52" s="24"/>
      <c r="AV52" s="24"/>
      <c r="AW52" s="24"/>
      <c r="AX52" s="19"/>
      <c r="BB52" s="19"/>
      <c r="BC52" s="19"/>
      <c r="BD52" s="24"/>
      <c r="BE52" s="24"/>
      <c r="BF52" s="24"/>
      <c r="BG52" s="24"/>
    </row>
    <row r="53" spans="2:59">
      <c r="B53" s="24">
        <v>0.25</v>
      </c>
      <c r="C53" s="24">
        <v>0.58009289206597081</v>
      </c>
      <c r="D53" s="24">
        <v>2.8227061465020649</v>
      </c>
      <c r="E53" s="24">
        <v>191.98487881257276</v>
      </c>
      <c r="F53" s="24">
        <v>1.4893888235092163</v>
      </c>
      <c r="G53" s="24">
        <v>27.47224310930374</v>
      </c>
      <c r="H53" s="24">
        <v>18.697176153193016</v>
      </c>
      <c r="I53" s="24">
        <v>24.21649169921875</v>
      </c>
      <c r="J53" s="24">
        <v>0.35075810551643372</v>
      </c>
      <c r="K53" s="24">
        <v>0.25</v>
      </c>
      <c r="L53" s="24">
        <v>0.58666759842241278</v>
      </c>
      <c r="M53" s="24">
        <v>2.8750548148148112</v>
      </c>
      <c r="N53" s="24">
        <v>195.86986143308175</v>
      </c>
      <c r="O53" s="24">
        <v>1.4869211912155151</v>
      </c>
      <c r="P53" s="24">
        <v>27.460529275195903</v>
      </c>
      <c r="Q53" s="24">
        <v>18.841468673494685</v>
      </c>
      <c r="R53" s="24">
        <v>24.40899658203125</v>
      </c>
      <c r="S53" s="24"/>
      <c r="T53" s="24"/>
      <c r="U53" s="24">
        <v>5.25</v>
      </c>
      <c r="V53" s="24">
        <v>6.4700056250528499</v>
      </c>
      <c r="W53" s="24">
        <v>0.50746818142639571</v>
      </c>
      <c r="X53" s="24">
        <v>32.128782402944182</v>
      </c>
      <c r="Y53" s="24">
        <v>1.6000148057937622</v>
      </c>
      <c r="Z53" s="24">
        <v>27.990313851448374</v>
      </c>
      <c r="AA53" s="24">
        <v>5.8956510506277251</v>
      </c>
      <c r="AB53" s="24">
        <v>10.260739326477051</v>
      </c>
      <c r="AC53" s="24">
        <v>0.10017701238393784</v>
      </c>
      <c r="AD53" s="24">
        <v>5.25</v>
      </c>
      <c r="AE53" s="24">
        <v>5.9915970380586696</v>
      </c>
      <c r="AF53" s="24">
        <v>0.33658178441980141</v>
      </c>
      <c r="AG53" s="24">
        <v>21.199903876307712</v>
      </c>
      <c r="AH53" s="24">
        <v>1.6082966327667236</v>
      </c>
      <c r="AI53" s="24">
        <v>28.028552358182921</v>
      </c>
      <c r="AJ53" s="24">
        <v>4.1033917504732944</v>
      </c>
      <c r="AK53" s="24">
        <v>8.6320037841796875</v>
      </c>
      <c r="AN53" s="25"/>
      <c r="AO53" s="24"/>
      <c r="AP53" s="24"/>
      <c r="AQ53" s="24"/>
      <c r="AR53" s="24"/>
      <c r="AS53" s="24"/>
      <c r="AT53" s="24"/>
      <c r="AU53" s="24"/>
      <c r="AV53" s="24"/>
      <c r="AW53" s="27"/>
      <c r="AX53" s="27"/>
      <c r="BB53" s="19"/>
      <c r="BC53" s="28"/>
      <c r="BD53" s="24"/>
      <c r="BE53" s="24"/>
      <c r="BF53" s="24"/>
      <c r="BG53" s="24"/>
    </row>
    <row r="54" spans="2:59">
      <c r="B54" s="24">
        <v>0.5</v>
      </c>
      <c r="C54" s="24">
        <v>0.76479153023637769</v>
      </c>
      <c r="D54" s="24">
        <v>1.8283397569492594</v>
      </c>
      <c r="E54" s="24">
        <v>120.53736720927118</v>
      </c>
      <c r="F54" s="24">
        <v>1.5365427732467651</v>
      </c>
      <c r="G54" s="24">
        <v>27.694748156806476</v>
      </c>
      <c r="H54" s="24">
        <v>15.077126773176373</v>
      </c>
      <c r="I54" s="24">
        <v>19.727088928222656</v>
      </c>
      <c r="J54" s="24">
        <v>0.21369744837284088</v>
      </c>
      <c r="K54" s="24">
        <v>0.5</v>
      </c>
      <c r="L54" s="24">
        <v>0.7199265246123282</v>
      </c>
      <c r="M54" s="24">
        <v>1.5705589760000007</v>
      </c>
      <c r="N54" s="24">
        <v>102.71952487013306</v>
      </c>
      <c r="O54" s="24">
        <v>1.5488547086715698</v>
      </c>
      <c r="P54" s="24">
        <v>27.752430642370175</v>
      </c>
      <c r="Q54" s="24">
        <v>13.783343785114955</v>
      </c>
      <c r="R54" s="24">
        <v>18.252004623413086</v>
      </c>
      <c r="S54" s="24"/>
      <c r="T54" s="24"/>
      <c r="U54" s="24">
        <v>5.5</v>
      </c>
      <c r="V54" s="24">
        <v>6.629984213440177</v>
      </c>
      <c r="W54" s="24">
        <v>0.42560617807516887</v>
      </c>
      <c r="X54" s="24">
        <v>26.879326377298678</v>
      </c>
      <c r="Y54" s="24">
        <v>1.6039801836013794</v>
      </c>
      <c r="Z54" s="24">
        <v>28.008631756333038</v>
      </c>
      <c r="AA54" s="24">
        <v>5.0596546637744177</v>
      </c>
      <c r="AB54" s="24">
        <v>9.4937534332275391</v>
      </c>
      <c r="AC54" s="24">
        <v>9.5345467329025269E-2</v>
      </c>
      <c r="AD54" s="24">
        <v>5.5</v>
      </c>
      <c r="AE54" s="24">
        <v>6.2415172584023528</v>
      </c>
      <c r="AF54" s="24">
        <v>0.29476871017245027</v>
      </c>
      <c r="AG54" s="24">
        <v>18.542877806516064</v>
      </c>
      <c r="AH54" s="24">
        <v>1.6103255748748779</v>
      </c>
      <c r="AI54" s="24">
        <v>28.037908688172944</v>
      </c>
      <c r="AJ54" s="24">
        <v>3.63640487417852</v>
      </c>
      <c r="AK54" s="24">
        <v>8.2169990539550781</v>
      </c>
      <c r="AN54" s="24"/>
      <c r="AO54" s="24"/>
      <c r="AP54" s="24"/>
      <c r="AQ54" s="24"/>
      <c r="AR54" s="24"/>
      <c r="AS54" s="24"/>
      <c r="AT54" s="24"/>
      <c r="AU54" s="24"/>
      <c r="AV54" s="24"/>
      <c r="AW54" s="24"/>
      <c r="AX54" s="24"/>
      <c r="BB54" s="3"/>
      <c r="BC54" s="19"/>
      <c r="BD54" s="24"/>
      <c r="BE54" s="24"/>
      <c r="BF54" s="24"/>
      <c r="BG54" s="24"/>
    </row>
    <row r="55" spans="2:59">
      <c r="B55" s="24">
        <v>0.75</v>
      </c>
      <c r="C55" s="24">
        <v>0.94994434491564583</v>
      </c>
      <c r="D55" s="24">
        <v>0.91395414516997775</v>
      </c>
      <c r="E55" s="24">
        <v>58.583110338059718</v>
      </c>
      <c r="F55" s="24">
        <v>1.5803796052932739</v>
      </c>
      <c r="G55" s="24">
        <v>27.899356253100105</v>
      </c>
      <c r="H55" s="24">
        <v>9.4971610453058268</v>
      </c>
      <c r="I55" s="24">
        <v>13.724536895751953</v>
      </c>
      <c r="J55" s="24">
        <v>0.12878550589084625</v>
      </c>
      <c r="K55" s="24">
        <v>0.75</v>
      </c>
      <c r="L55" s="24">
        <v>0.89487761926574994</v>
      </c>
      <c r="M55" s="24">
        <v>0.70832209817600167</v>
      </c>
      <c r="N55" s="24">
        <v>45.11914357732752</v>
      </c>
      <c r="O55" s="24">
        <v>1.5903011560440063</v>
      </c>
      <c r="P55" s="24">
        <v>27.945369642998628</v>
      </c>
      <c r="Q55" s="24">
        <v>7.7830147330496899</v>
      </c>
      <c r="R55" s="24">
        <v>12.041998863220215</v>
      </c>
      <c r="S55" s="24"/>
      <c r="T55" s="24"/>
      <c r="U55" s="24">
        <v>5.75</v>
      </c>
      <c r="V55" s="24">
        <v>6.999166372945699</v>
      </c>
      <c r="W55" s="24">
        <v>0.3966733442946907</v>
      </c>
      <c r="X55" s="24">
        <v>25.030177577103601</v>
      </c>
      <c r="Y55" s="24">
        <v>1.6053825616836548</v>
      </c>
      <c r="Z55" s="24">
        <v>28.01510593086503</v>
      </c>
      <c r="AA55" s="24">
        <v>4.7542710413364171</v>
      </c>
      <c r="AB55" s="24">
        <v>9.2167778015136719</v>
      </c>
      <c r="AC55" s="24">
        <v>9.2673711478710175E-2</v>
      </c>
      <c r="AD55" s="24">
        <v>5.75</v>
      </c>
      <c r="AE55" s="24">
        <v>6.4912465971831175</v>
      </c>
      <c r="AF55" s="24">
        <v>0.26118746470976606</v>
      </c>
      <c r="AG55" s="24">
        <v>16.41378196928726</v>
      </c>
      <c r="AH55" s="24">
        <v>1.6119557619094849</v>
      </c>
      <c r="AI55" s="24">
        <v>28.045423017594555</v>
      </c>
      <c r="AJ55" s="24">
        <v>3.2529372298173929</v>
      </c>
      <c r="AK55" s="24">
        <v>7.8789997100830078</v>
      </c>
      <c r="AN55" s="24"/>
      <c r="AO55" s="24"/>
      <c r="AP55" s="24"/>
      <c r="AQ55" s="24"/>
      <c r="AR55" s="24"/>
      <c r="AS55" s="24"/>
      <c r="AT55" s="24"/>
      <c r="AU55" s="24"/>
      <c r="AV55" s="24"/>
      <c r="AW55" s="24"/>
      <c r="AX55" s="24"/>
      <c r="BB55" s="3"/>
      <c r="BC55" s="19"/>
      <c r="BD55" s="24"/>
      <c r="BE55" s="24"/>
      <c r="BF55" s="24"/>
      <c r="BG55" s="24"/>
    </row>
    <row r="56" spans="2:59">
      <c r="B56" s="24">
        <v>1</v>
      </c>
      <c r="C56" s="24">
        <v>1.1649632529933054</v>
      </c>
      <c r="D56" s="24">
        <v>0.38181199368818541</v>
      </c>
      <c r="E56" s="24">
        <v>24.081614887324818</v>
      </c>
      <c r="F56" s="24">
        <v>1.6061030626296997</v>
      </c>
      <c r="G56" s="24">
        <v>28.018431390733141</v>
      </c>
      <c r="H56" s="24">
        <v>4.5959314807345457</v>
      </c>
      <c r="I56" s="24">
        <v>9.0738334655761719</v>
      </c>
      <c r="J56" s="24">
        <v>9.3249768018722534E-2</v>
      </c>
      <c r="K56" s="24">
        <v>1</v>
      </c>
      <c r="L56" s="24">
        <v>1.0990656350008585</v>
      </c>
      <c r="M56" s="24">
        <v>0.25539662238879363</v>
      </c>
      <c r="N56" s="24">
        <v>16.047069445867542</v>
      </c>
      <c r="O56" s="24">
        <v>1.6122369766235352</v>
      </c>
      <c r="P56" s="24">
        <v>28.046718809225531</v>
      </c>
      <c r="Q56" s="24">
        <v>3.1868465560190455</v>
      </c>
      <c r="R56" s="24">
        <v>7.8210005760192871</v>
      </c>
      <c r="S56" s="24"/>
      <c r="T56" s="24"/>
      <c r="U56" s="24">
        <v>6</v>
      </c>
      <c r="V56" s="24">
        <v>7.2501000814658125</v>
      </c>
      <c r="W56" s="24">
        <v>0.3532094257120737</v>
      </c>
      <c r="X56" s="24">
        <v>22.25837322135423</v>
      </c>
      <c r="Y56" s="24">
        <v>1.607490062713623</v>
      </c>
      <c r="Z56" s="24">
        <v>28.024831663120754</v>
      </c>
      <c r="AA56" s="24">
        <v>4.285466841395789</v>
      </c>
      <c r="AB56" s="24">
        <v>8.7948322296142578</v>
      </c>
      <c r="AC56" s="24">
        <v>9.7150743007659912E-2</v>
      </c>
      <c r="AD56" s="24">
        <v>6</v>
      </c>
      <c r="AE56" s="24">
        <v>6.741753857009261</v>
      </c>
      <c r="AF56" s="24">
        <v>0.22874051909382109</v>
      </c>
      <c r="AG56" s="24">
        <v>14.36068355772586</v>
      </c>
      <c r="AH56" s="24">
        <v>1.6135314702987671</v>
      </c>
      <c r="AI56" s="24">
        <v>28.052683529666808</v>
      </c>
      <c r="AJ56" s="24">
        <v>2.8758262996793849</v>
      </c>
      <c r="AK56" s="24">
        <v>7.5490102767944336</v>
      </c>
      <c r="AN56" s="24"/>
      <c r="AO56" s="24"/>
      <c r="AP56" s="24"/>
      <c r="AQ56" s="24"/>
      <c r="AR56" s="24"/>
      <c r="AS56" s="24"/>
      <c r="AT56" s="24"/>
      <c r="AU56" s="24"/>
      <c r="AV56" s="24"/>
      <c r="AW56" s="24"/>
      <c r="AX56" s="24"/>
      <c r="BB56" s="3"/>
      <c r="BC56" s="19"/>
      <c r="BD56" s="24"/>
      <c r="BE56" s="24"/>
      <c r="BF56" s="24"/>
      <c r="BG56" s="24"/>
    </row>
    <row r="57" spans="2:59">
      <c r="B57" s="24">
        <v>1.25</v>
      </c>
      <c r="C57" s="24">
        <v>1.3750206417218254</v>
      </c>
      <c r="D57" s="24">
        <v>0.11074962165607648</v>
      </c>
      <c r="E57" s="24">
        <v>6.9284073769385452</v>
      </c>
      <c r="F57" s="24">
        <v>1.6192662715911865</v>
      </c>
      <c r="G57" s="24">
        <v>28.079085840238754</v>
      </c>
      <c r="H57" s="24">
        <v>1.4403096815808103</v>
      </c>
      <c r="I57" s="24">
        <v>6.3139815330505371</v>
      </c>
      <c r="J57" s="24">
        <v>7.6144784688949585E-2</v>
      </c>
      <c r="K57" s="24">
        <v>1.25</v>
      </c>
      <c r="L57" s="24">
        <v>1.3201999203623995</v>
      </c>
      <c r="M57" s="24">
        <v>7.1155719837712655E-2</v>
      </c>
      <c r="N57" s="24">
        <v>4.446155840727064</v>
      </c>
      <c r="O57" s="24">
        <v>1.621192455291748</v>
      </c>
      <c r="P57" s="24">
        <v>28.087945595654336</v>
      </c>
      <c r="Q57" s="24">
        <v>0.93622254860318954</v>
      </c>
      <c r="R57" s="24">
        <v>5.8879861831665039</v>
      </c>
      <c r="S57" s="24"/>
      <c r="T57" s="24"/>
      <c r="U57" s="24">
        <v>6.25</v>
      </c>
      <c r="V57" s="24">
        <v>7.4755009188674784</v>
      </c>
      <c r="W57" s="24">
        <v>0.30873723022687311</v>
      </c>
      <c r="X57" s="24">
        <v>19.429768418407956</v>
      </c>
      <c r="Y57" s="24">
        <v>1.6096476316452026</v>
      </c>
      <c r="Z57" s="24">
        <v>28.034783013119053</v>
      </c>
      <c r="AA57" s="24">
        <v>3.7941982963694554</v>
      </c>
      <c r="AB57" s="24">
        <v>8.3568124771118164</v>
      </c>
      <c r="AC57" s="24">
        <v>8.4969721734523773E-2</v>
      </c>
      <c r="AD57" s="24">
        <v>6.25</v>
      </c>
      <c r="AE57" s="24">
        <v>6.9915795180894946</v>
      </c>
      <c r="AF57" s="24">
        <v>0.20268147261477823</v>
      </c>
      <c r="AG57" s="24">
        <v>12.714680861099383</v>
      </c>
      <c r="AH57" s="24">
        <v>1.6147973537445068</v>
      </c>
      <c r="AI57" s="24">
        <v>28.05851464929798</v>
      </c>
      <c r="AJ57" s="24">
        <v>2.5675651338184551</v>
      </c>
      <c r="AK57" s="24">
        <v>7.2810091972351074</v>
      </c>
      <c r="AN57" s="24"/>
      <c r="AO57" s="24"/>
      <c r="AP57" s="24"/>
      <c r="AQ57" s="24"/>
      <c r="AR57" s="24"/>
      <c r="AS57" s="24"/>
      <c r="AT57" s="24"/>
      <c r="AU57" s="24"/>
      <c r="AV57" s="24"/>
      <c r="AW57" s="24"/>
      <c r="AX57" s="24"/>
      <c r="BB57" s="3"/>
      <c r="BC57" s="19"/>
      <c r="BD57" s="24"/>
      <c r="BE57" s="24"/>
      <c r="BF57" s="24"/>
      <c r="BG57" s="24"/>
    </row>
    <row r="58" spans="2:59">
      <c r="B58" s="24">
        <v>1.5</v>
      </c>
      <c r="C58" s="24">
        <v>1.5648318432288821</v>
      </c>
      <c r="D58" s="24">
        <v>1.5938380099060779E-2</v>
      </c>
      <c r="E58" s="24">
        <v>0.99425927368852174</v>
      </c>
      <c r="F58" s="24">
        <v>1.62388014793396</v>
      </c>
      <c r="G58" s="24">
        <v>28.100301339905759</v>
      </c>
      <c r="H58" s="24">
        <v>0.22431076369409267</v>
      </c>
      <c r="I58" s="24">
        <v>5.2929797172546387</v>
      </c>
      <c r="J58" s="24">
        <v>7.1193933486938477E-2</v>
      </c>
      <c r="K58" s="24">
        <v>1.5</v>
      </c>
      <c r="L58" s="24">
        <v>1.5516952833350752</v>
      </c>
      <c r="M58" s="24">
        <v>1.3201384786070906E-2</v>
      </c>
      <c r="N58" s="24">
        <v>0.82345395741939598</v>
      </c>
      <c r="O58" s="24">
        <v>1.6240134239196777</v>
      </c>
      <c r="P58" s="24">
        <v>28.100913785457546</v>
      </c>
      <c r="Q58" s="24">
        <v>0.17740140111025712</v>
      </c>
      <c r="R58" s="24">
        <v>5.2539896965026855</v>
      </c>
      <c r="S58" s="24"/>
      <c r="T58" s="24"/>
      <c r="U58" s="24">
        <v>6.5</v>
      </c>
      <c r="V58" s="24">
        <v>7.5891830224716346</v>
      </c>
      <c r="W58" s="24">
        <v>0.25210508940169352</v>
      </c>
      <c r="X58" s="24">
        <v>15.838685821885027</v>
      </c>
      <c r="Y58" s="24">
        <v>1.6123967170715332</v>
      </c>
      <c r="Z58" s="24">
        <v>28.04745534126377</v>
      </c>
      <c r="AA58" s="24">
        <v>3.1490381760224482</v>
      </c>
      <c r="AB58" s="24">
        <v>7.7878532409667969</v>
      </c>
      <c r="AC58" s="24">
        <v>8.5406027734279633E-2</v>
      </c>
      <c r="AD58" s="24">
        <v>6.5</v>
      </c>
      <c r="AE58" s="24">
        <v>7.241422839124434</v>
      </c>
      <c r="AF58" s="24">
        <v>0.17841760489318034</v>
      </c>
      <c r="AG58" s="24">
        <v>11.18438562464107</v>
      </c>
      <c r="AH58" s="24">
        <v>1.6159764528274536</v>
      </c>
      <c r="AI58" s="24">
        <v>28.063944069576777</v>
      </c>
      <c r="AJ58" s="24">
        <v>2.2760741242570393</v>
      </c>
      <c r="AK58" s="24">
        <v>7.0290088653564453</v>
      </c>
      <c r="AN58" s="24"/>
      <c r="AO58" s="24"/>
      <c r="AP58" s="24"/>
      <c r="AQ58" s="24"/>
      <c r="AR58" s="24"/>
      <c r="AS58" s="24"/>
      <c r="AT58" s="24"/>
      <c r="AU58" s="24"/>
      <c r="AV58" s="24"/>
      <c r="AW58" s="24"/>
      <c r="AX58" s="24"/>
      <c r="BB58" s="3"/>
      <c r="BC58" s="19"/>
      <c r="BD58" s="24"/>
      <c r="BE58" s="24"/>
      <c r="BF58" s="24"/>
      <c r="BG58" s="24"/>
    </row>
    <row r="59" spans="2:59">
      <c r="B59" s="24">
        <v>1.75</v>
      </c>
      <c r="C59" s="24">
        <v>1.7944913516198462</v>
      </c>
      <c r="D59" s="24">
        <v>1.5721298219575309E-3</v>
      </c>
      <c r="E59" s="24">
        <v>9.8029509195862341E-2</v>
      </c>
      <c r="F59" s="24">
        <v>1.6245796680450439</v>
      </c>
      <c r="G59" s="24">
        <v>28.103516013323855</v>
      </c>
      <c r="H59" s="24">
        <v>0.20534506653827497</v>
      </c>
      <c r="I59" s="24">
        <v>5.277989387512207</v>
      </c>
      <c r="J59" s="24">
        <v>7.6262606307864189E-3</v>
      </c>
      <c r="K59" s="24">
        <v>1.75</v>
      </c>
      <c r="L59" s="24">
        <v>1.7896699168717334</v>
      </c>
      <c r="M59" s="24">
        <v>1.4423280401153731E-3</v>
      </c>
      <c r="N59" s="24">
        <v>8.9935422484115152E-2</v>
      </c>
      <c r="O59" s="24">
        <v>1.6245859861373901</v>
      </c>
      <c r="P59" s="24">
        <v>28.103545058504722</v>
      </c>
      <c r="Q59" s="24">
        <v>0.10581627315903733</v>
      </c>
      <c r="R59" s="24">
        <v>5.1949939727783203</v>
      </c>
      <c r="S59" s="24"/>
      <c r="T59" s="24"/>
      <c r="U59" s="24">
        <v>6.75</v>
      </c>
      <c r="V59" s="24">
        <v>8.019443426125795</v>
      </c>
      <c r="W59" s="24">
        <v>0.24191953704596755</v>
      </c>
      <c r="X59" s="24">
        <v>15.194110082433465</v>
      </c>
      <c r="Y59" s="24">
        <v>1.6128913164138794</v>
      </c>
      <c r="Z59" s="24">
        <v>28.049734518068782</v>
      </c>
      <c r="AA59" s="24">
        <v>3.0302954985420167</v>
      </c>
      <c r="AB59" s="24">
        <v>7.6838951110839844</v>
      </c>
      <c r="AC59" s="24">
        <v>8.1262581050395966E-2</v>
      </c>
      <c r="AD59" s="24">
        <v>6.75</v>
      </c>
      <c r="AE59" s="24">
        <v>7.4935988592077329</v>
      </c>
      <c r="AF59" s="24">
        <v>0.15809154863952699</v>
      </c>
      <c r="AG59" s="24">
        <v>9.9041600619975334</v>
      </c>
      <c r="AH59" s="24">
        <v>1.6169643402099609</v>
      </c>
      <c r="AI59" s="24">
        <v>28.068492342889087</v>
      </c>
      <c r="AJ59" s="24">
        <v>2.0284549678168706</v>
      </c>
      <c r="AK59" s="24">
        <v>6.8160085678100586</v>
      </c>
      <c r="AN59" s="24"/>
      <c r="AO59" s="24"/>
      <c r="AP59" s="24"/>
      <c r="AQ59" s="24"/>
      <c r="AR59" s="24"/>
      <c r="AS59" s="24"/>
      <c r="AT59" s="24"/>
      <c r="AU59" s="24"/>
      <c r="AV59" s="24"/>
      <c r="AW59" s="24"/>
      <c r="AX59" s="24"/>
      <c r="BB59" s="3"/>
      <c r="BC59" s="19"/>
      <c r="BD59" s="24"/>
      <c r="BE59" s="24"/>
      <c r="BF59" s="24"/>
      <c r="BG59" s="24"/>
    </row>
    <row r="60" spans="2:59">
      <c r="B60" s="24">
        <v>2</v>
      </c>
      <c r="C60" s="24">
        <v>2.0049494246339838</v>
      </c>
      <c r="D60" s="24">
        <v>1.4929139782154837E-5</v>
      </c>
      <c r="E60" s="24">
        <v>9.3085692700445289E-4</v>
      </c>
      <c r="F60" s="24">
        <v>1.6246554851531982</v>
      </c>
      <c r="G60" s="24">
        <v>28.103864461356086</v>
      </c>
      <c r="H60" s="24">
        <v>5.7692719414433602E-2</v>
      </c>
      <c r="I60" s="24">
        <v>5.1549997329711914</v>
      </c>
      <c r="J60" s="24">
        <v>2.5362719316035509E-4</v>
      </c>
      <c r="K60" s="24">
        <v>2</v>
      </c>
      <c r="L60" s="24">
        <v>2.0298531313230721</v>
      </c>
      <c r="M60" s="24">
        <v>7.8184126864184951E-5</v>
      </c>
      <c r="N60" s="24">
        <v>4.8749208009978666E-3</v>
      </c>
      <c r="O60" s="24">
        <v>1.6246525049209595</v>
      </c>
      <c r="P60" s="24">
        <v>28.103850307062405</v>
      </c>
      <c r="Q60" s="24">
        <v>0.15850094048200711</v>
      </c>
      <c r="R60" s="24">
        <v>5.2389907836914062</v>
      </c>
      <c r="S60" s="24"/>
      <c r="T60" s="24"/>
      <c r="U60" s="24">
        <v>7</v>
      </c>
      <c r="V60" s="24">
        <v>7.9204556413843958</v>
      </c>
      <c r="W60" s="24">
        <v>0.17002001012176798</v>
      </c>
      <c r="X60" s="24">
        <v>10.655278164843468</v>
      </c>
      <c r="Y60" s="24">
        <v>1.6163845062255859</v>
      </c>
      <c r="Z60" s="24">
        <v>28.065823162879962</v>
      </c>
      <c r="AA60" s="24">
        <v>2.1738088920462362</v>
      </c>
      <c r="AB60" s="24">
        <v>6.940920352935791</v>
      </c>
      <c r="AC60" s="24">
        <v>8.5032142698764801E-2</v>
      </c>
      <c r="AD60" s="24">
        <v>7</v>
      </c>
      <c r="AE60" s="24">
        <v>7.7428213160184276</v>
      </c>
      <c r="AF60" s="24">
        <v>0.13916573181668054</v>
      </c>
      <c r="AG60" s="24">
        <v>8.713532372123705</v>
      </c>
      <c r="AH60" s="24">
        <v>1.6178845167160034</v>
      </c>
      <c r="AI60" s="24">
        <v>28.072727290706553</v>
      </c>
      <c r="AJ60" s="24">
        <v>1.7949062249124297</v>
      </c>
      <c r="AK60" s="24">
        <v>6.6160035133361816</v>
      </c>
      <c r="AN60" s="24"/>
      <c r="AO60" s="24"/>
      <c r="AP60" s="24"/>
      <c r="AQ60" s="24"/>
      <c r="AR60" s="24"/>
      <c r="AS60" s="24"/>
      <c r="AT60" s="24"/>
      <c r="AU60" s="24"/>
      <c r="AV60" s="24"/>
      <c r="AW60" s="24"/>
      <c r="AX60" s="24"/>
      <c r="BB60" s="3"/>
      <c r="BC60" s="19"/>
      <c r="BD60" s="24"/>
      <c r="BE60" s="24"/>
      <c r="BF60" s="24"/>
      <c r="BG60" s="24"/>
    </row>
    <row r="61" spans="2:59">
      <c r="B61" s="24"/>
      <c r="C61" s="24"/>
      <c r="D61" s="24"/>
      <c r="E61" s="24"/>
      <c r="F61" s="24"/>
      <c r="G61" s="24"/>
      <c r="H61" s="24"/>
      <c r="I61" s="24"/>
      <c r="J61" s="24"/>
      <c r="K61" s="24"/>
      <c r="L61" s="24"/>
      <c r="M61" s="24"/>
      <c r="N61" s="24"/>
      <c r="O61" s="24"/>
      <c r="P61" s="24"/>
      <c r="Q61" s="24"/>
      <c r="R61" s="24"/>
      <c r="S61" s="24"/>
      <c r="T61" s="24"/>
      <c r="U61" s="24">
        <v>7.25</v>
      </c>
      <c r="V61" s="24">
        <v>8.5900604550304109</v>
      </c>
      <c r="W61" s="24">
        <v>0.19423797667981102</v>
      </c>
      <c r="X61" s="24">
        <v>12.181905760729379</v>
      </c>
      <c r="Y61" s="24">
        <v>1.6152076721191406</v>
      </c>
      <c r="Z61" s="24">
        <v>28.060404013705138</v>
      </c>
      <c r="AA61" s="24">
        <v>2.4658224131098909</v>
      </c>
      <c r="AB61" s="24">
        <v>7.1928892135620117</v>
      </c>
      <c r="AC61" s="24">
        <v>9.3283079564571381E-2</v>
      </c>
      <c r="AD61" s="24">
        <v>7.25</v>
      </c>
      <c r="AE61" s="24">
        <v>7.9914091689580653</v>
      </c>
      <c r="AF61" s="24">
        <v>0.12331140793883091</v>
      </c>
      <c r="AG61" s="24">
        <v>7.7171742100510636</v>
      </c>
      <c r="AH61" s="24">
        <v>1.6186554431915283</v>
      </c>
      <c r="AI61" s="24">
        <v>28.076274943890155</v>
      </c>
      <c r="AJ61" s="24">
        <v>1.5979447910781144</v>
      </c>
      <c r="AK61" s="24">
        <v>6.448002815246582</v>
      </c>
      <c r="AN61" s="24"/>
      <c r="AO61" s="24"/>
      <c r="AP61" s="24"/>
      <c r="AQ61" s="24"/>
      <c r="AR61" s="24"/>
      <c r="AS61" s="24"/>
      <c r="AT61" s="24"/>
      <c r="AU61" s="24"/>
      <c r="AV61" s="24"/>
      <c r="AW61" s="24"/>
      <c r="AX61" s="24"/>
      <c r="BB61" s="3"/>
      <c r="BC61" s="19"/>
      <c r="BD61" s="24"/>
      <c r="BE61" s="24"/>
      <c r="BF61" s="24"/>
      <c r="BG61" s="24"/>
    </row>
    <row r="62" spans="2:59">
      <c r="B62" s="24" t="s">
        <v>270</v>
      </c>
      <c r="C62" s="24"/>
      <c r="D62" s="24"/>
      <c r="E62" s="24"/>
      <c r="F62" s="24"/>
      <c r="G62" s="24"/>
      <c r="H62" s="24"/>
      <c r="I62" s="24"/>
      <c r="J62" s="24"/>
      <c r="K62" s="24"/>
      <c r="L62" s="24"/>
      <c r="M62" s="24"/>
      <c r="N62" s="24"/>
      <c r="O62" s="24"/>
      <c r="P62" s="24"/>
      <c r="Q62" s="24"/>
      <c r="R62" s="24"/>
      <c r="S62" s="24"/>
      <c r="T62" s="24"/>
      <c r="U62" s="24">
        <v>7.5</v>
      </c>
      <c r="V62" s="24">
        <v>8.5302667491248787</v>
      </c>
      <c r="W62" s="24">
        <v>0.14503102258759221</v>
      </c>
      <c r="X62" s="24">
        <v>9.0823745081211253</v>
      </c>
      <c r="Y62" s="24">
        <v>1.6175992488861084</v>
      </c>
      <c r="Z62" s="24">
        <v>28.07141484006933</v>
      </c>
      <c r="AA62" s="24">
        <v>1.8672911107679624</v>
      </c>
      <c r="AB62" s="24">
        <v>6.6778979301452637</v>
      </c>
      <c r="AC62" s="24">
        <v>8.2061409950256348E-2</v>
      </c>
      <c r="AD62" s="24">
        <v>7.5</v>
      </c>
      <c r="AE62" s="24">
        <v>8.2424549567916294</v>
      </c>
      <c r="AF62" s="24">
        <v>0.10799260788974456</v>
      </c>
      <c r="AG62" s="24">
        <v>6.7553713821975885</v>
      </c>
      <c r="AH62" s="24">
        <v>1.6194003820419312</v>
      </c>
      <c r="AI62" s="24">
        <v>28.079702765232888</v>
      </c>
      <c r="AJ62" s="24">
        <v>1.4061470876714628</v>
      </c>
      <c r="AK62" s="24">
        <v>6.2849903106689453</v>
      </c>
      <c r="AN62" s="24"/>
      <c r="AO62" s="24"/>
      <c r="AP62" s="24"/>
      <c r="AQ62" s="24"/>
      <c r="AR62" s="24"/>
      <c r="AS62" s="24"/>
      <c r="AT62" s="24"/>
      <c r="AU62" s="24"/>
      <c r="AV62" s="24"/>
      <c r="AW62" s="24"/>
      <c r="AX62" s="24"/>
      <c r="BB62" s="3"/>
      <c r="BC62" s="19"/>
      <c r="BD62" s="24"/>
      <c r="BE62" s="24"/>
      <c r="BF62" s="24"/>
      <c r="BG62" s="24"/>
    </row>
    <row r="63" spans="2:59">
      <c r="B63" s="25" t="s">
        <v>237</v>
      </c>
      <c r="C63" s="24" t="s">
        <v>154</v>
      </c>
      <c r="D63" s="24" t="s">
        <v>155</v>
      </c>
      <c r="E63" s="24" t="s">
        <v>156</v>
      </c>
      <c r="F63" s="24" t="s">
        <v>159</v>
      </c>
      <c r="G63" s="24" t="s">
        <v>238</v>
      </c>
      <c r="H63" s="24" t="s">
        <v>157</v>
      </c>
      <c r="I63" s="24" t="s">
        <v>160</v>
      </c>
      <c r="J63" s="24" t="s">
        <v>265</v>
      </c>
      <c r="K63" s="25" t="s">
        <v>237</v>
      </c>
      <c r="L63" s="24" t="s">
        <v>154</v>
      </c>
      <c r="M63" s="24" t="s">
        <v>155</v>
      </c>
      <c r="N63" s="24" t="s">
        <v>156</v>
      </c>
      <c r="O63" s="24" t="s">
        <v>159</v>
      </c>
      <c r="P63" s="24" t="s">
        <v>238</v>
      </c>
      <c r="Q63" s="24" t="s">
        <v>157</v>
      </c>
      <c r="R63" s="24" t="s">
        <v>160</v>
      </c>
      <c r="S63" s="25"/>
      <c r="T63" s="24"/>
      <c r="U63" s="24">
        <v>7.75</v>
      </c>
      <c r="V63" s="24">
        <v>8.8294072178182983</v>
      </c>
      <c r="W63" s="24">
        <v>0.13137585302703006</v>
      </c>
      <c r="X63" s="24">
        <v>8.2238622516694395</v>
      </c>
      <c r="Y63" s="24">
        <v>1.6182632446289063</v>
      </c>
      <c r="Z63" s="24">
        <v>28.074470398044394</v>
      </c>
      <c r="AA63" s="24">
        <v>1.6987531394875752</v>
      </c>
      <c r="AB63" s="24">
        <v>6.5339145660400391</v>
      </c>
      <c r="AC63" s="24">
        <v>8.2501679658889771E-2</v>
      </c>
      <c r="AD63" s="24">
        <v>7.75</v>
      </c>
      <c r="AE63" s="24">
        <v>8.493021279399505</v>
      </c>
      <c r="AF63" s="24">
        <v>9.5689652560533148E-2</v>
      </c>
      <c r="AG63" s="24">
        <v>5.9835609181273819</v>
      </c>
      <c r="AH63" s="24">
        <v>1.6199988126754761</v>
      </c>
      <c r="AI63" s="24">
        <v>28.082455744103363</v>
      </c>
      <c r="AJ63" s="24">
        <v>1.2503481680996344</v>
      </c>
      <c r="AK63" s="24">
        <v>6.1529912948608398</v>
      </c>
      <c r="AW63" s="19"/>
      <c r="AX63" s="24"/>
      <c r="BC63" s="19"/>
      <c r="BD63" s="24"/>
      <c r="BE63" s="24"/>
      <c r="BF63" s="24"/>
      <c r="BG63" s="24"/>
    </row>
    <row r="64" spans="2:59">
      <c r="B64" s="24">
        <v>0</v>
      </c>
      <c r="C64" s="24">
        <v>1.3446985640058151</v>
      </c>
      <c r="D64" s="24">
        <v>4.074865518683203</v>
      </c>
      <c r="E64" s="24">
        <v>288.50517538710653</v>
      </c>
      <c r="F64" s="24">
        <v>1.4307676553726196</v>
      </c>
      <c r="G64" s="24">
        <v>27.192052845920582</v>
      </c>
      <c r="H64" s="24">
        <v>21.360372410704468</v>
      </c>
      <c r="I64" s="24">
        <v>28.000888824462891</v>
      </c>
      <c r="J64" s="24">
        <v>0.62566179037094116</v>
      </c>
      <c r="K64" s="24">
        <v>0</v>
      </c>
      <c r="L64" s="24">
        <v>1.495794028824964</v>
      </c>
      <c r="M64" s="24">
        <v>4.5136971899260194</v>
      </c>
      <c r="N64" s="24">
        <v>324.18511039466449</v>
      </c>
      <c r="O64" s="24">
        <v>1.4104211330413818</v>
      </c>
      <c r="P64" s="24">
        <v>27.093857389113658</v>
      </c>
      <c r="Q64" s="24">
        <v>22.001002776614015</v>
      </c>
      <c r="R64" s="24">
        <v>29.000997543334961</v>
      </c>
      <c r="S64" s="19"/>
      <c r="T64" s="24"/>
      <c r="U64" s="24">
        <v>8</v>
      </c>
      <c r="V64" s="24">
        <v>9.1501981017567822</v>
      </c>
      <c r="W64" s="24">
        <v>0.12158511648872664</v>
      </c>
      <c r="X64" s="24">
        <v>7.6087434204389464</v>
      </c>
      <c r="Y64" s="24">
        <v>1.6187393665313721</v>
      </c>
      <c r="Z64" s="24">
        <v>28.076661228629003</v>
      </c>
      <c r="AA64" s="24">
        <v>1.5767183787090402</v>
      </c>
      <c r="AB64" s="24">
        <v>6.4299354553222656</v>
      </c>
      <c r="AC64" s="24">
        <v>7.2857148945331573E-2</v>
      </c>
      <c r="AD64" s="24">
        <v>8</v>
      </c>
      <c r="AE64" s="24">
        <v>8.7421163833784554</v>
      </c>
      <c r="AF64" s="24">
        <v>8.4666204585559651E-2</v>
      </c>
      <c r="AG64" s="24">
        <v>5.2925027030848808</v>
      </c>
      <c r="AH64" s="24">
        <v>1.620535135269165</v>
      </c>
      <c r="AI64" s="24">
        <v>28.084922413171313</v>
      </c>
      <c r="AJ64" s="24">
        <v>1.109533103447752</v>
      </c>
      <c r="AK64" s="24">
        <v>6.0340080261230469</v>
      </c>
      <c r="AW64" s="24"/>
      <c r="AX64" s="19"/>
      <c r="BC64" s="19"/>
      <c r="BD64" s="24"/>
      <c r="BE64" s="24"/>
      <c r="BF64" s="24"/>
      <c r="BG64" s="24"/>
    </row>
    <row r="65" spans="2:59">
      <c r="B65" s="24">
        <v>0.25</v>
      </c>
      <c r="C65" s="24">
        <v>1.4702858140309023</v>
      </c>
      <c r="D65" s="24">
        <v>3.6692227973663258</v>
      </c>
      <c r="E65" s="24">
        <v>256.39848081697886</v>
      </c>
      <c r="F65" s="24">
        <v>1.4496663808822632</v>
      </c>
      <c r="G65" s="24">
        <v>27.282821755574037</v>
      </c>
      <c r="H65" s="24">
        <v>20.653921419994472</v>
      </c>
      <c r="I65" s="24">
        <v>26.943889617919922</v>
      </c>
      <c r="J65" s="24">
        <v>0.5291290283203125</v>
      </c>
      <c r="K65" s="24">
        <v>0.25</v>
      </c>
      <c r="L65" s="24">
        <v>1.5711555575422254</v>
      </c>
      <c r="M65" s="24">
        <v>3.9494850411852669</v>
      </c>
      <c r="N65" s="24">
        <v>278.49290378436751</v>
      </c>
      <c r="O65" s="24">
        <v>1.4365997314453125</v>
      </c>
      <c r="P65" s="24">
        <v>27.220108690722558</v>
      </c>
      <c r="Q65" s="24">
        <v>21.155012626903986</v>
      </c>
      <c r="R65" s="24">
        <v>27.688997268676758</v>
      </c>
      <c r="S65" s="24"/>
      <c r="T65" s="24"/>
      <c r="U65" s="24">
        <v>8.25</v>
      </c>
      <c r="V65" s="24">
        <v>9.4805428242029315</v>
      </c>
      <c r="W65" s="24">
        <v>0.11336231572608503</v>
      </c>
      <c r="X65" s="24">
        <v>7.0924119963465202</v>
      </c>
      <c r="Y65" s="24">
        <v>1.6191391944885254</v>
      </c>
      <c r="Z65" s="24">
        <v>28.078501209036144</v>
      </c>
      <c r="AA65" s="24">
        <v>1.4732488061394469</v>
      </c>
      <c r="AB65" s="24">
        <v>6.3419547080993652</v>
      </c>
      <c r="AC65" s="24">
        <v>8.9920349419116974E-2</v>
      </c>
      <c r="AD65" s="24">
        <v>8.25</v>
      </c>
      <c r="AE65" s="24">
        <v>8.9926792781910407</v>
      </c>
      <c r="AF65" s="24">
        <v>7.502068760745792E-2</v>
      </c>
      <c r="AG65" s="24">
        <v>4.688201687059081</v>
      </c>
      <c r="AH65" s="24">
        <v>1.6210044622421265</v>
      </c>
      <c r="AI65" s="24">
        <v>28.087080748605764</v>
      </c>
      <c r="AJ65" s="24">
        <v>0.98615060589538472</v>
      </c>
      <c r="AK65" s="24">
        <v>5.9300069808959961</v>
      </c>
      <c r="AN65" s="24"/>
      <c r="AO65" s="24"/>
      <c r="AP65" s="24"/>
      <c r="AQ65" s="24"/>
      <c r="AR65" s="24"/>
      <c r="AS65" s="24"/>
      <c r="AT65" s="24"/>
      <c r="AU65" s="24"/>
      <c r="AV65" s="24"/>
      <c r="AW65" s="24"/>
      <c r="AX65" s="19"/>
      <c r="BB65" s="19"/>
      <c r="BC65" s="19"/>
      <c r="BD65" s="24"/>
      <c r="BE65" s="24"/>
      <c r="BF65" s="24"/>
      <c r="BG65" s="24"/>
    </row>
    <row r="66" spans="2:59">
      <c r="B66" s="24">
        <v>0.5</v>
      </c>
      <c r="C66" s="24">
        <v>1.6050031857556277</v>
      </c>
      <c r="D66" s="24">
        <v>3.2692344897405357</v>
      </c>
      <c r="E66" s="24">
        <v>225.53541968741763</v>
      </c>
      <c r="F66" s="24">
        <v>1.4683877229690552</v>
      </c>
      <c r="G66" s="24">
        <v>27.372325401638385</v>
      </c>
      <c r="H66" s="24">
        <v>19.823765540218687</v>
      </c>
      <c r="I66" s="24">
        <v>25.754281997680664</v>
      </c>
      <c r="J66" s="24">
        <v>0.43776628375053406</v>
      </c>
      <c r="K66" s="24">
        <v>0.5</v>
      </c>
      <c r="L66" s="24">
        <v>1.6586729850239932</v>
      </c>
      <c r="M66" s="24">
        <v>3.4184618423704412</v>
      </c>
      <c r="N66" s="24">
        <v>236.95893841258734</v>
      </c>
      <c r="O66" s="24">
        <v>1.4613932371139526</v>
      </c>
      <c r="P66" s="24">
        <v>27.33893344517799</v>
      </c>
      <c r="Q66" s="24">
        <v>20.151016210689484</v>
      </c>
      <c r="R66" s="24">
        <v>26.216999053955078</v>
      </c>
      <c r="S66" s="24"/>
      <c r="T66" s="24"/>
      <c r="U66" s="24">
        <v>8.5</v>
      </c>
      <c r="V66" s="24">
        <v>9.6148262922873489</v>
      </c>
      <c r="W66" s="24">
        <v>9.4408560321041446E-2</v>
      </c>
      <c r="X66" s="24">
        <v>5.9032259650917478</v>
      </c>
      <c r="Y66" s="24">
        <v>1.6200611591339111</v>
      </c>
      <c r="Z66" s="24">
        <v>28.082742408548782</v>
      </c>
      <c r="AA66" s="24">
        <v>1.233774076600306</v>
      </c>
      <c r="AB66" s="24">
        <v>6.138969898223877</v>
      </c>
      <c r="AC66" s="24">
        <v>7.9440563917160034E-2</v>
      </c>
      <c r="AD66" s="24">
        <v>8.5</v>
      </c>
      <c r="AE66" s="24">
        <v>9.2419834832550389</v>
      </c>
      <c r="AF66" s="24">
        <v>6.6039639576736572E-2</v>
      </c>
      <c r="AG66" s="24">
        <v>4.1258446684719825</v>
      </c>
      <c r="AH66" s="24">
        <v>1.6214414834976196</v>
      </c>
      <c r="AI66" s="24">
        <v>28.08909039871029</v>
      </c>
      <c r="AJ66" s="24">
        <v>0.87080641334270048</v>
      </c>
      <c r="AK66" s="24">
        <v>5.8329920768737793</v>
      </c>
      <c r="AN66" s="25"/>
      <c r="AO66" s="24"/>
      <c r="AP66" s="24"/>
      <c r="AQ66" s="24"/>
      <c r="AR66" s="24"/>
      <c r="AS66" s="24"/>
      <c r="AT66" s="24"/>
      <c r="AU66" s="24"/>
      <c r="AV66" s="24"/>
      <c r="AW66" s="27"/>
      <c r="AX66" s="27"/>
      <c r="BB66" s="19"/>
      <c r="BC66" s="28"/>
      <c r="BD66" s="24"/>
      <c r="BE66" s="24"/>
      <c r="BF66" s="24"/>
      <c r="BG66" s="24"/>
    </row>
    <row r="67" spans="2:59">
      <c r="B67" s="24">
        <v>0.75</v>
      </c>
      <c r="C67" s="24">
        <v>1.7648743364042174</v>
      </c>
      <c r="D67" s="24">
        <v>2.917983403890716</v>
      </c>
      <c r="E67" s="24">
        <v>199.06523433482946</v>
      </c>
      <c r="F67" s="24">
        <v>1.4848988056182861</v>
      </c>
      <c r="G67" s="24">
        <v>27.450923331298448</v>
      </c>
      <c r="H67" s="24">
        <v>18.958052632247668</v>
      </c>
      <c r="I67" s="24">
        <v>24.565485000610352</v>
      </c>
      <c r="J67" s="24">
        <v>0.37155342102050781</v>
      </c>
      <c r="K67" s="24">
        <v>0.75</v>
      </c>
      <c r="L67" s="24">
        <v>1.7591933899552386</v>
      </c>
      <c r="M67" s="24">
        <v>2.9228844420765103</v>
      </c>
      <c r="N67" s="24">
        <v>199.43058642045148</v>
      </c>
      <c r="O67" s="24">
        <v>1.4846678972244263</v>
      </c>
      <c r="P67" s="24">
        <v>27.449826647273522</v>
      </c>
      <c r="Q67" s="24">
        <v>18.971064296907528</v>
      </c>
      <c r="R67" s="24">
        <v>24.58299446105957</v>
      </c>
      <c r="S67" s="24"/>
      <c r="T67" s="24"/>
      <c r="U67" s="24">
        <v>8.75</v>
      </c>
      <c r="V67" s="24">
        <v>9.8064295162421651</v>
      </c>
      <c r="W67" s="24">
        <v>8.0388706454460154E-2</v>
      </c>
      <c r="X67" s="24">
        <v>5.0244701208584717</v>
      </c>
      <c r="Y67" s="24">
        <v>1.6207432746887207</v>
      </c>
      <c r="Z67" s="24">
        <v>28.085879570346826</v>
      </c>
      <c r="AA67" s="24">
        <v>1.0549653630641143</v>
      </c>
      <c r="AB67" s="24">
        <v>5.9879837036132812</v>
      </c>
      <c r="AC67" s="24">
        <v>8.7265416979789734E-2</v>
      </c>
      <c r="AD67" s="24">
        <v>8.75</v>
      </c>
      <c r="AE67" s="24">
        <v>9.4922018748673516</v>
      </c>
      <c r="AF67" s="24">
        <v>5.8516136333817199E-2</v>
      </c>
      <c r="AG67" s="24">
        <v>3.6549864298360029</v>
      </c>
      <c r="AH67" s="24">
        <v>1.6218075752258301</v>
      </c>
      <c r="AI67" s="24">
        <v>28.090773900349163</v>
      </c>
      <c r="AJ67" s="24">
        <v>0.77313068425472919</v>
      </c>
      <c r="AK67" s="24">
        <v>5.7509932518005371</v>
      </c>
      <c r="AN67" s="24"/>
      <c r="AO67" s="24"/>
      <c r="AP67" s="24"/>
      <c r="AQ67" s="24"/>
      <c r="AR67" s="24"/>
      <c r="AS67" s="24"/>
      <c r="AT67" s="24"/>
      <c r="AU67" s="24"/>
      <c r="AV67" s="24"/>
      <c r="AW67" s="24"/>
      <c r="AX67" s="24"/>
      <c r="BC67" s="19"/>
      <c r="BD67" s="24"/>
      <c r="BE67" s="24"/>
      <c r="BF67" s="24"/>
      <c r="BG67" s="24"/>
    </row>
    <row r="68" spans="2:59">
      <c r="B68" s="24">
        <v>1</v>
      </c>
      <c r="C68" s="24">
        <v>1.9392899208072205</v>
      </c>
      <c r="D68" s="24">
        <v>2.5699770397519828</v>
      </c>
      <c r="E68" s="24">
        <v>173.40620183994508</v>
      </c>
      <c r="F68" s="24">
        <v>1.5013227462768555</v>
      </c>
      <c r="G68" s="24">
        <v>27.528795203676161</v>
      </c>
      <c r="H68" s="24">
        <v>17.943227143035674</v>
      </c>
      <c r="I68" s="24">
        <v>23.229682922363281</v>
      </c>
      <c r="J68" s="24">
        <v>0.31564229726791382</v>
      </c>
      <c r="K68" s="24">
        <v>1</v>
      </c>
      <c r="L68" s="24">
        <v>1.8772657317438686</v>
      </c>
      <c r="M68" s="24">
        <v>2.4476186791372401</v>
      </c>
      <c r="N68" s="24">
        <v>164.51572249510596</v>
      </c>
      <c r="O68" s="24">
        <v>1.507112979888916</v>
      </c>
      <c r="P68" s="24">
        <v>27.556174802511137</v>
      </c>
      <c r="Q68" s="24">
        <v>17.542890548773471</v>
      </c>
      <c r="R68" s="24">
        <v>22.717996597290039</v>
      </c>
      <c r="S68" s="24"/>
      <c r="T68" s="24"/>
      <c r="U68" s="24">
        <v>9</v>
      </c>
      <c r="V68" s="24">
        <v>9.8802472837998501</v>
      </c>
      <c r="W68" s="24">
        <v>6.214700800242335E-2</v>
      </c>
      <c r="X68" s="24">
        <v>3.8821978955461516</v>
      </c>
      <c r="Y68" s="24">
        <v>1.6216309070587158</v>
      </c>
      <c r="Z68" s="24">
        <v>28.089961435968238</v>
      </c>
      <c r="AA68" s="24">
        <v>0.81961035472592214</v>
      </c>
      <c r="AB68" s="24">
        <v>5.7899918556213379</v>
      </c>
      <c r="AC68" s="24">
        <v>7.6715655624866486E-2</v>
      </c>
      <c r="AD68" s="24">
        <v>9</v>
      </c>
      <c r="AE68" s="24">
        <v>9.7414444905674831</v>
      </c>
      <c r="AF68" s="24">
        <v>5.2162955817573943E-2</v>
      </c>
      <c r="AG68" s="24">
        <v>3.2575382854156762</v>
      </c>
      <c r="AH68" s="24">
        <v>1.6221168041229248</v>
      </c>
      <c r="AI68" s="24">
        <v>28.092195523955322</v>
      </c>
      <c r="AJ68" s="24">
        <v>0.69080683289930533</v>
      </c>
      <c r="AK68" s="24">
        <v>5.6819968223571777</v>
      </c>
      <c r="AN68" s="24"/>
      <c r="AO68" s="24"/>
      <c r="AP68" s="24"/>
      <c r="AQ68" s="24"/>
      <c r="AR68" s="24"/>
      <c r="AS68" s="24"/>
      <c r="AT68" s="24"/>
      <c r="AU68" s="24"/>
      <c r="AV68" s="24"/>
      <c r="AW68" s="24"/>
      <c r="AX68" s="24"/>
      <c r="BC68" s="19"/>
      <c r="BD68" s="24"/>
      <c r="BE68" s="24"/>
      <c r="BF68" s="24"/>
      <c r="BG68" s="24"/>
    </row>
    <row r="69" spans="2:59">
      <c r="B69" s="24">
        <v>1.25</v>
      </c>
      <c r="C69" s="24">
        <v>2.1221606083785227</v>
      </c>
      <c r="D69" s="24">
        <v>2.2265707405388975</v>
      </c>
      <c r="E69" s="24">
        <v>148.62449574795826</v>
      </c>
      <c r="F69" s="24">
        <v>1.5175938606262207</v>
      </c>
      <c r="G69" s="24">
        <v>27.605637739507955</v>
      </c>
      <c r="H69" s="24">
        <v>16.752696831180359</v>
      </c>
      <c r="I69" s="24">
        <v>21.73088264465332</v>
      </c>
      <c r="J69" s="24">
        <v>0.26801195740699768</v>
      </c>
      <c r="K69" s="24">
        <v>1.25</v>
      </c>
      <c r="L69" s="24">
        <v>2.0098578582261992</v>
      </c>
      <c r="M69" s="24">
        <v>1.9870861548490861</v>
      </c>
      <c r="N69" s="24">
        <v>131.65115560242316</v>
      </c>
      <c r="O69" s="24">
        <v>1.5289788246154785</v>
      </c>
      <c r="P69" s="24">
        <v>27.659226164936385</v>
      </c>
      <c r="Q69" s="24">
        <v>15.788494562626427</v>
      </c>
      <c r="R69" s="24">
        <v>20.564001083374023</v>
      </c>
      <c r="S69" s="24"/>
      <c r="T69" s="24"/>
      <c r="U69" s="24">
        <v>9.25</v>
      </c>
      <c r="V69" s="24">
        <v>10.25473809289818</v>
      </c>
      <c r="W69" s="24">
        <v>5.9043719498250338E-2</v>
      </c>
      <c r="X69" s="24">
        <v>3.6879982782544225</v>
      </c>
      <c r="Y69" s="24">
        <v>1.6217818260192871</v>
      </c>
      <c r="Z69" s="24">
        <v>28.090655845356256</v>
      </c>
      <c r="AA69" s="24">
        <v>0.7802488254222093</v>
      </c>
      <c r="AB69" s="24">
        <v>5.7569656372070313</v>
      </c>
      <c r="AC69" s="24">
        <v>6.7344523966312408E-2</v>
      </c>
      <c r="AD69" s="24">
        <v>9.25</v>
      </c>
      <c r="AE69" s="24">
        <v>9.9918960823302072</v>
      </c>
      <c r="AF69" s="24">
        <v>4.6294623288096907E-2</v>
      </c>
      <c r="AG69" s="24">
        <v>2.8905562644183118</v>
      </c>
      <c r="AH69" s="24">
        <v>1.6224024295806885</v>
      </c>
      <c r="AI69" s="24">
        <v>28.093508655233641</v>
      </c>
      <c r="AJ69" s="24">
        <v>0.61433674032578789</v>
      </c>
      <c r="AK69" s="24">
        <v>5.6179971694946289</v>
      </c>
      <c r="AN69" s="24"/>
      <c r="AO69" s="24"/>
      <c r="AP69" s="24"/>
      <c r="AQ69" s="24"/>
      <c r="AR69" s="24"/>
      <c r="AS69" s="24"/>
      <c r="AT69" s="24"/>
      <c r="AU69" s="24"/>
      <c r="AV69" s="24"/>
      <c r="AW69" s="24"/>
      <c r="AX69" s="24"/>
      <c r="BC69" s="19"/>
      <c r="BD69" s="24"/>
      <c r="BE69" s="24"/>
      <c r="BF69" s="24"/>
      <c r="BG69" s="24"/>
    </row>
    <row r="70" spans="2:59">
      <c r="B70" s="24">
        <v>1.5</v>
      </c>
      <c r="C70" s="24">
        <v>2.2952042548947231</v>
      </c>
      <c r="D70" s="24">
        <v>1.8668318907899695</v>
      </c>
      <c r="E70" s="24">
        <v>123.22223020509037</v>
      </c>
      <c r="F70" s="24">
        <v>1.5347074270248413</v>
      </c>
      <c r="G70" s="24">
        <v>27.686134939225219</v>
      </c>
      <c r="H70" s="24">
        <v>15.255451226345437</v>
      </c>
      <c r="I70" s="24">
        <v>19.935079574584961</v>
      </c>
      <c r="J70" s="24">
        <v>0.21660657227039337</v>
      </c>
      <c r="K70" s="24">
        <v>1.5</v>
      </c>
      <c r="L70" s="24">
        <v>2.1588022177752233</v>
      </c>
      <c r="M70" s="24">
        <v>1.5826349905877679</v>
      </c>
      <c r="N70" s="24">
        <v>103.54794822706278</v>
      </c>
      <c r="O70" s="24">
        <v>1.5482771396636963</v>
      </c>
      <c r="P70" s="24">
        <v>27.749728445043594</v>
      </c>
      <c r="Q70" s="24">
        <v>13.848552560431028</v>
      </c>
      <c r="R70" s="24">
        <v>18.325002670288086</v>
      </c>
      <c r="S70" s="24"/>
      <c r="T70" s="24"/>
      <c r="U70" s="24">
        <v>9.5</v>
      </c>
      <c r="V70" s="24">
        <v>10.60489410291062</v>
      </c>
      <c r="W70" s="24">
        <v>5.6050887484552829E-2</v>
      </c>
      <c r="X70" s="24">
        <v>3.5007451253240611</v>
      </c>
      <c r="Y70" s="24">
        <v>1.6219274997711182</v>
      </c>
      <c r="Z70" s="24">
        <v>28.091325538375219</v>
      </c>
      <c r="AA70" s="24">
        <v>0.74086606502049157</v>
      </c>
      <c r="AB70" s="24">
        <v>5.72393798828125</v>
      </c>
      <c r="AC70" s="24">
        <v>7.9489462077617645E-2</v>
      </c>
      <c r="AD70" s="24">
        <v>9.5</v>
      </c>
      <c r="AE70" s="24">
        <v>10.243137111737996</v>
      </c>
      <c r="AF70" s="24">
        <v>4.0687105537707532E-2</v>
      </c>
      <c r="AG70" s="24">
        <v>2.5400052328947553</v>
      </c>
      <c r="AH70" s="24">
        <v>1.6226752996444702</v>
      </c>
      <c r="AI70" s="24">
        <v>28.094763425121815</v>
      </c>
      <c r="AJ70" s="24">
        <v>0.5401700259919221</v>
      </c>
      <c r="AK70" s="24">
        <v>5.5560054779052734</v>
      </c>
      <c r="AN70" s="24"/>
      <c r="AO70" s="24"/>
      <c r="AP70" s="24"/>
      <c r="AQ70" s="24"/>
      <c r="AR70" s="24"/>
      <c r="AS70" s="24"/>
      <c r="AT70" s="24"/>
      <c r="AU70" s="24"/>
      <c r="AV70" s="24"/>
      <c r="AW70" s="24"/>
      <c r="AX70" s="24"/>
      <c r="BC70" s="19"/>
      <c r="BD70" s="24"/>
      <c r="BE70" s="24"/>
      <c r="BF70" s="24"/>
      <c r="BG70" s="24"/>
    </row>
    <row r="71" spans="2:59">
      <c r="B71" s="24">
        <v>1.75</v>
      </c>
      <c r="C71" s="24">
        <v>2.4905070335276553</v>
      </c>
      <c r="D71" s="24">
        <v>1.5406571387892587</v>
      </c>
      <c r="E71" s="24">
        <v>100.67087144754211</v>
      </c>
      <c r="F71" s="24">
        <v>1.5502852201461792</v>
      </c>
      <c r="G71" s="24">
        <v>27.759121646590451</v>
      </c>
      <c r="H71" s="24">
        <v>13.62130608482828</v>
      </c>
      <c r="I71" s="24">
        <v>18.071245193481445</v>
      </c>
      <c r="J71" s="24">
        <v>0.18385475873947144</v>
      </c>
      <c r="K71" s="24">
        <v>1.75</v>
      </c>
      <c r="L71" s="24">
        <v>2.3203754980701268</v>
      </c>
      <c r="M71" s="24">
        <v>1.2289688246910888</v>
      </c>
      <c r="N71" s="24">
        <v>79.537760991614761</v>
      </c>
      <c r="O71" s="24">
        <v>1.5652256011962891</v>
      </c>
      <c r="P71" s="24">
        <v>27.82886678667473</v>
      </c>
      <c r="Q71" s="24">
        <v>11.755100795290709</v>
      </c>
      <c r="R71" s="24">
        <v>16.047000885009766</v>
      </c>
      <c r="S71" s="24"/>
      <c r="T71" s="24"/>
      <c r="U71" s="24">
        <v>9.75</v>
      </c>
      <c r="V71" s="24">
        <v>10.65493215581099</v>
      </c>
      <c r="W71" s="24">
        <v>4.3391543218159939E-2</v>
      </c>
      <c r="X71" s="24">
        <v>2.7090570160422689</v>
      </c>
      <c r="Y71" s="24">
        <v>1.6225436925888062</v>
      </c>
      <c r="Z71" s="24">
        <v>28.09415826485003</v>
      </c>
      <c r="AA71" s="24">
        <v>0.57599594958255018</v>
      </c>
      <c r="AB71" s="24">
        <v>5.585939884185791</v>
      </c>
      <c r="AC71" s="24">
        <v>7.0316359400749207E-2</v>
      </c>
      <c r="AD71" s="24">
        <v>9.75</v>
      </c>
      <c r="AE71" s="24">
        <v>10.493735858408586</v>
      </c>
      <c r="AF71" s="24">
        <v>3.6109806164715437E-2</v>
      </c>
      <c r="AG71" s="24">
        <v>2.2539451533886878</v>
      </c>
      <c r="AH71" s="24">
        <v>1.6228981018066406</v>
      </c>
      <c r="AI71" s="24">
        <v>28.095787667518906</v>
      </c>
      <c r="AJ71" s="24">
        <v>0.48027309577629135</v>
      </c>
      <c r="AK71" s="24">
        <v>5.506004810333252</v>
      </c>
      <c r="AN71" s="24"/>
      <c r="AO71" s="24"/>
      <c r="AP71" s="24"/>
      <c r="AQ71" s="24"/>
      <c r="AR71" s="24"/>
      <c r="AS71" s="24"/>
      <c r="AT71" s="24"/>
      <c r="AU71" s="24"/>
      <c r="AV71" s="24"/>
      <c r="AW71" s="24"/>
      <c r="AX71" s="24"/>
      <c r="BC71" s="19"/>
      <c r="BD71" s="24"/>
      <c r="BE71" s="24"/>
      <c r="BF71" s="24"/>
      <c r="BG71" s="24"/>
    </row>
    <row r="72" spans="2:59">
      <c r="B72" s="24">
        <v>2</v>
      </c>
      <c r="C72" s="24">
        <v>2.6952145413847215</v>
      </c>
      <c r="D72" s="24">
        <v>1.2519216807329043</v>
      </c>
      <c r="E72" s="24">
        <v>81.080335682616791</v>
      </c>
      <c r="F72" s="24">
        <v>1.5641236305236816</v>
      </c>
      <c r="G72" s="24">
        <v>27.823730725784536</v>
      </c>
      <c r="H72" s="24">
        <v>11.904537146879042</v>
      </c>
      <c r="I72" s="24">
        <v>16.205390930175781</v>
      </c>
      <c r="J72" s="24">
        <v>0.15382517874240875</v>
      </c>
      <c r="K72" s="24">
        <v>2</v>
      </c>
      <c r="L72" s="24">
        <v>2.4955770468388705</v>
      </c>
      <c r="M72" s="24">
        <v>0.93590702803397974</v>
      </c>
      <c r="N72" s="24">
        <v>60.030439175042019</v>
      </c>
      <c r="O72" s="24">
        <v>1.5793218612670898</v>
      </c>
      <c r="P72" s="24">
        <v>27.894443951864066</v>
      </c>
      <c r="Q72" s="24">
        <v>9.6691233536673042</v>
      </c>
      <c r="R72" s="24">
        <v>13.897004127502441</v>
      </c>
      <c r="S72" s="24"/>
      <c r="T72" s="24"/>
      <c r="U72" s="24">
        <v>10</v>
      </c>
      <c r="V72" s="24">
        <v>10.680318211725071</v>
      </c>
      <c r="W72" s="24">
        <v>3.0780525586474008E-2</v>
      </c>
      <c r="X72" s="24">
        <v>1.9209886505596918</v>
      </c>
      <c r="Y72" s="24">
        <v>1.6231575012207031</v>
      </c>
      <c r="Z72" s="24">
        <v>28.096980177483722</v>
      </c>
      <c r="AA72" s="24">
        <v>0.41064956109988709</v>
      </c>
      <c r="AB72" s="24">
        <v>5.4479532241821289</v>
      </c>
      <c r="AC72" s="24">
        <v>6.1573836952447891E-2</v>
      </c>
      <c r="AD72" s="24">
        <v>10</v>
      </c>
      <c r="AE72" s="24">
        <v>10.740768547725875</v>
      </c>
      <c r="AF72" s="24">
        <v>3.1735942319412069E-2</v>
      </c>
      <c r="AG72" s="24">
        <v>1.980672220791766</v>
      </c>
      <c r="AH72" s="24">
        <v>1.6231110095977783</v>
      </c>
      <c r="AI72" s="24">
        <v>28.096766388031682</v>
      </c>
      <c r="AJ72" s="24">
        <v>0.42272226482936515</v>
      </c>
      <c r="AK72" s="24">
        <v>5.458012580871582</v>
      </c>
      <c r="AN72" s="24"/>
      <c r="AO72" s="24"/>
      <c r="AP72" s="24"/>
      <c r="AQ72" s="24"/>
      <c r="AR72" s="24"/>
      <c r="AS72" s="24"/>
      <c r="AT72" s="24"/>
      <c r="AU72" s="24"/>
      <c r="AV72" s="24"/>
      <c r="AW72" s="24"/>
      <c r="AX72" s="24"/>
      <c r="BC72" s="19"/>
      <c r="BD72" s="24"/>
      <c r="BE72" s="24"/>
      <c r="BF72" s="24"/>
      <c r="BG72" s="24"/>
    </row>
    <row r="73" spans="2:59">
      <c r="B73" s="24">
        <v>2.25</v>
      </c>
      <c r="C73" s="24">
        <v>2.8998616388929803</v>
      </c>
      <c r="D73" s="24">
        <v>0.98264260070118725</v>
      </c>
      <c r="E73" s="24">
        <v>63.118094110117759</v>
      </c>
      <c r="F73" s="24">
        <v>1.5770707130432129</v>
      </c>
      <c r="G73" s="24">
        <v>27.883986135785769</v>
      </c>
      <c r="H73" s="24">
        <v>10.025417798788567</v>
      </c>
      <c r="I73" s="24">
        <v>14.256536483764648</v>
      </c>
      <c r="J73" s="24">
        <v>0.13539038598537445</v>
      </c>
      <c r="K73" s="24">
        <v>2.25</v>
      </c>
      <c r="L73" s="24">
        <v>2.68205123297802</v>
      </c>
      <c r="M73" s="24">
        <v>0.70440106557949778</v>
      </c>
      <c r="N73" s="24">
        <v>44.864035652944558</v>
      </c>
      <c r="O73" s="24">
        <v>1.5904905796051025</v>
      </c>
      <c r="P73" s="24">
        <v>27.946247035429941</v>
      </c>
      <c r="Q73" s="24">
        <v>7.7487246303086268</v>
      </c>
      <c r="R73" s="24">
        <v>12.008997917175293</v>
      </c>
      <c r="S73" s="24"/>
      <c r="T73" s="24"/>
      <c r="U73" s="24">
        <v>10.25</v>
      </c>
      <c r="V73" s="24">
        <v>11.454116489010911</v>
      </c>
      <c r="W73" s="24">
        <v>4.0727728531397576E-2</v>
      </c>
      <c r="X73" s="24">
        <v>2.5425443340724172</v>
      </c>
      <c r="Y73" s="24">
        <v>1.6226733922958374</v>
      </c>
      <c r="Z73" s="24">
        <v>28.094754335090983</v>
      </c>
      <c r="AA73" s="24">
        <v>0.54129569620050733</v>
      </c>
      <c r="AB73" s="24">
        <v>5.556948184967041</v>
      </c>
      <c r="AC73" s="24">
        <v>8.1360101699829102E-2</v>
      </c>
      <c r="AD73" s="24">
        <v>10.25</v>
      </c>
      <c r="AE73" s="24">
        <v>10.993418225253013</v>
      </c>
      <c r="AF73" s="24">
        <v>2.8165648808478199E-2</v>
      </c>
      <c r="AG73" s="24">
        <v>1.7576583789619011</v>
      </c>
      <c r="AH73" s="24">
        <v>1.6232848167419434</v>
      </c>
      <c r="AI73" s="24">
        <v>28.097565297101411</v>
      </c>
      <c r="AJ73" s="24">
        <v>0.37590793589383686</v>
      </c>
      <c r="AK73" s="24">
        <v>5.419011116027832</v>
      </c>
      <c r="AN73" s="24"/>
      <c r="AO73" s="24"/>
      <c r="AP73" s="24"/>
      <c r="AQ73" s="24"/>
      <c r="AR73" s="24"/>
      <c r="AS73" s="24"/>
      <c r="AT73" s="24"/>
      <c r="AU73" s="24"/>
      <c r="AV73" s="24"/>
      <c r="AW73" s="24"/>
      <c r="AX73" s="24"/>
      <c r="BC73" s="19"/>
      <c r="BD73" s="24"/>
      <c r="BE73" s="24"/>
      <c r="BF73" s="24"/>
      <c r="BG73" s="24"/>
    </row>
    <row r="74" spans="2:59">
      <c r="B74" s="24">
        <v>2.5</v>
      </c>
      <c r="C74" s="24">
        <v>3.0950464261554291</v>
      </c>
      <c r="D74" s="24">
        <v>0.73889375857895523</v>
      </c>
      <c r="E74" s="24">
        <v>47.110256339502691</v>
      </c>
      <c r="F74" s="24">
        <v>1.5888246297836304</v>
      </c>
      <c r="G74" s="24">
        <v>27.938528755352319</v>
      </c>
      <c r="H74" s="24">
        <v>8.0518871680409489</v>
      </c>
      <c r="I74" s="24">
        <v>12.301676750183105</v>
      </c>
      <c r="J74" s="24">
        <v>0.11190531402826309</v>
      </c>
      <c r="K74" s="24">
        <v>2.5</v>
      </c>
      <c r="L74" s="24">
        <v>2.8782329684076728</v>
      </c>
      <c r="M74" s="24">
        <v>0.51349400127550082</v>
      </c>
      <c r="N74" s="24">
        <v>32.516217503506496</v>
      </c>
      <c r="O74" s="24">
        <v>1.5997229814529419</v>
      </c>
      <c r="P74" s="24">
        <v>27.988965479916658</v>
      </c>
      <c r="Q74" s="24">
        <v>5.9553454309896674</v>
      </c>
      <c r="R74" s="24">
        <v>10.316003799438477</v>
      </c>
      <c r="S74" s="24"/>
      <c r="T74" s="25"/>
      <c r="U74" s="24">
        <v>10.5</v>
      </c>
      <c r="V74" s="24">
        <v>11.170375767774324</v>
      </c>
      <c r="W74" s="24">
        <v>2.2604863682498172E-2</v>
      </c>
      <c r="X74" s="24">
        <v>1.4104061000905341</v>
      </c>
      <c r="Y74" s="24">
        <v>1.6235555410385132</v>
      </c>
      <c r="Z74" s="24">
        <v>28.098809609833229</v>
      </c>
      <c r="AA74" s="24">
        <v>0.30255294070185806</v>
      </c>
      <c r="AB74" s="24">
        <v>5.3579626083374023</v>
      </c>
      <c r="AC74" s="24">
        <v>5.4107196629047394E-2</v>
      </c>
      <c r="AD74" s="24">
        <v>10.5</v>
      </c>
      <c r="AE74" s="24">
        <v>11.240567458570091</v>
      </c>
      <c r="AF74" s="24">
        <v>2.5063460446755684E-2</v>
      </c>
      <c r="AG74" s="24">
        <v>1.5639228960696048</v>
      </c>
      <c r="AH74" s="24">
        <v>1.6234358549118042</v>
      </c>
      <c r="AI74" s="24">
        <v>28.098259460315333</v>
      </c>
      <c r="AJ74" s="24">
        <v>0.33504773673646415</v>
      </c>
      <c r="AK74" s="24">
        <v>5.3849964141845703</v>
      </c>
      <c r="AN74" s="24"/>
      <c r="AO74" s="24"/>
      <c r="AP74" s="24"/>
      <c r="AQ74" s="24"/>
      <c r="AR74" s="24"/>
      <c r="AS74" s="24"/>
      <c r="AT74" s="24"/>
      <c r="AU74" s="24"/>
      <c r="AV74" s="24"/>
      <c r="AW74" s="24"/>
      <c r="AX74" s="24"/>
      <c r="BC74" s="19"/>
      <c r="BD74" s="24"/>
      <c r="BE74" s="24"/>
      <c r="BF74" s="24"/>
      <c r="BG74" s="24"/>
    </row>
    <row r="75" spans="2:59">
      <c r="B75" s="24">
        <v>2.75</v>
      </c>
      <c r="C75" s="24">
        <v>3.3199420780693982</v>
      </c>
      <c r="D75" s="24">
        <v>0.55827528425964912</v>
      </c>
      <c r="E75" s="24">
        <v>35.399886730810515</v>
      </c>
      <c r="F75" s="24">
        <v>1.5975555181503296</v>
      </c>
      <c r="G75" s="24">
        <v>27.978944966751381</v>
      </c>
      <c r="H75" s="24">
        <v>6.3945770389717804</v>
      </c>
      <c r="I75" s="24">
        <v>10.724764823913574</v>
      </c>
      <c r="J75" s="24">
        <v>0.10232087969779968</v>
      </c>
      <c r="K75" s="24">
        <v>2.75</v>
      </c>
      <c r="L75" s="24">
        <v>3.0828528568048275</v>
      </c>
      <c r="M75" s="24">
        <v>0.36595366170901739</v>
      </c>
      <c r="N75" s="24">
        <v>23.070353619113003</v>
      </c>
      <c r="O75" s="24">
        <v>1.6068720817565918</v>
      </c>
      <c r="P75" s="24">
        <v>28.021979940792164</v>
      </c>
      <c r="Q75" s="24">
        <v>4.4249713885332635</v>
      </c>
      <c r="R75" s="24">
        <v>8.9199914932250977</v>
      </c>
      <c r="S75" s="24"/>
      <c r="T75" s="24"/>
      <c r="U75" s="24">
        <v>10.75</v>
      </c>
      <c r="V75" s="24">
        <v>11.700510670953138</v>
      </c>
      <c r="W75" s="24">
        <v>2.6675471318809943E-2</v>
      </c>
      <c r="X75" s="24">
        <v>1.6645904615512159</v>
      </c>
      <c r="Y75" s="24">
        <v>1.6233574151992798</v>
      </c>
      <c r="Z75" s="24">
        <v>28.097898747645004</v>
      </c>
      <c r="AA75" s="24">
        <v>0.35543948445352747</v>
      </c>
      <c r="AB75" s="24">
        <v>5.4019646644592285</v>
      </c>
      <c r="AC75" s="24">
        <v>0.12573966383934021</v>
      </c>
      <c r="AD75" s="24">
        <v>10.75</v>
      </c>
      <c r="AE75" s="24">
        <v>11.493111981023068</v>
      </c>
      <c r="AF75" s="24">
        <v>2.2278631508227283E-2</v>
      </c>
      <c r="AG75" s="24">
        <v>1.3900375967390781</v>
      </c>
      <c r="AH75" s="24">
        <v>1.623571515083313</v>
      </c>
      <c r="AI75" s="24">
        <v>28.098882609389726</v>
      </c>
      <c r="AJ75" s="24">
        <v>0.29778673060903754</v>
      </c>
      <c r="AK75" s="24">
        <v>5.353996753692627</v>
      </c>
      <c r="AN75" s="24"/>
      <c r="AO75" s="24"/>
      <c r="AP75" s="24"/>
      <c r="AQ75" s="24"/>
      <c r="AR75" s="24"/>
      <c r="AS75" s="24"/>
      <c r="AT75" s="24"/>
      <c r="AU75" s="24"/>
      <c r="AV75" s="24"/>
      <c r="AW75" s="24"/>
      <c r="AX75" s="24"/>
      <c r="BC75" s="19"/>
      <c r="BD75" s="24"/>
      <c r="BE75" s="24"/>
      <c r="BF75" s="24"/>
      <c r="BG75" s="24"/>
    </row>
    <row r="76" spans="2:59">
      <c r="B76" s="24">
        <v>3</v>
      </c>
      <c r="C76" s="24">
        <v>3.5299403120702637</v>
      </c>
      <c r="D76" s="24">
        <v>0.40196306981103735</v>
      </c>
      <c r="E76" s="24">
        <v>25.368012507698282</v>
      </c>
      <c r="F76" s="24">
        <v>1.6051261425018311</v>
      </c>
      <c r="G76" s="24">
        <v>28.013922271964592</v>
      </c>
      <c r="H76" s="24">
        <v>4.8107039029555567</v>
      </c>
      <c r="I76" s="24">
        <v>9.2678365707397461</v>
      </c>
      <c r="J76" s="24">
        <v>9.3647778034210205E-2</v>
      </c>
      <c r="K76" s="24">
        <v>3</v>
      </c>
      <c r="L76" s="24">
        <v>3.2940915475863584</v>
      </c>
      <c r="M76" s="24">
        <v>0.25630922267826417</v>
      </c>
      <c r="N76" s="24">
        <v>16.104852552263253</v>
      </c>
      <c r="O76" s="24">
        <v>1.6121926307678223</v>
      </c>
      <c r="P76" s="24">
        <v>28.046514600623055</v>
      </c>
      <c r="Q76" s="24">
        <v>3.1971103855620049</v>
      </c>
      <c r="R76" s="24">
        <v>7.8300018310546875</v>
      </c>
      <c r="S76" s="24"/>
      <c r="T76" s="24"/>
      <c r="U76" s="24">
        <v>11</v>
      </c>
      <c r="V76" s="24">
        <v>11.619178381175731</v>
      </c>
      <c r="W76" s="24">
        <v>1.7067249471440109E-2</v>
      </c>
      <c r="X76" s="24">
        <v>1.064715820730517</v>
      </c>
      <c r="Y76" s="24">
        <v>1.6238251924514771</v>
      </c>
      <c r="Z76" s="24">
        <v>28.100048737710061</v>
      </c>
      <c r="AA76" s="24">
        <v>0.22797654778632945</v>
      </c>
      <c r="AB76" s="24">
        <v>5.2959742546081543</v>
      </c>
      <c r="AC76" s="24">
        <v>0.11134281009435654</v>
      </c>
      <c r="AD76" s="24">
        <v>11</v>
      </c>
      <c r="AE76" s="24">
        <v>11.742349825448157</v>
      </c>
      <c r="AF76" s="24">
        <v>1.9689359446271093E-2</v>
      </c>
      <c r="AG76" s="24">
        <v>1.228388958699661</v>
      </c>
      <c r="AH76" s="24">
        <v>1.6236975193023682</v>
      </c>
      <c r="AI76" s="24">
        <v>28.099461999551334</v>
      </c>
      <c r="AJ76" s="24">
        <v>0.26289261545593162</v>
      </c>
      <c r="AK76" s="24">
        <v>5.3249845504760742</v>
      </c>
      <c r="AN76" s="24"/>
      <c r="AO76" s="24"/>
      <c r="AP76" s="24"/>
      <c r="AQ76" s="24"/>
      <c r="AR76" s="24"/>
      <c r="AS76" s="24"/>
      <c r="AT76" s="24"/>
      <c r="AU76" s="24"/>
      <c r="AV76" s="24"/>
      <c r="AW76" s="24"/>
      <c r="AX76" s="24"/>
      <c r="BC76" s="19"/>
      <c r="BD76" s="24"/>
      <c r="BE76" s="24"/>
      <c r="BF76" s="24"/>
      <c r="BG76" s="24"/>
    </row>
    <row r="77" spans="2:59">
      <c r="B77" s="24">
        <v>3.25</v>
      </c>
      <c r="C77" s="24">
        <v>3.7299336839711299</v>
      </c>
      <c r="D77" s="24">
        <v>0.27601464127024483</v>
      </c>
      <c r="E77" s="24">
        <v>17.353314442152143</v>
      </c>
      <c r="F77" s="24">
        <v>1.6112358570098877</v>
      </c>
      <c r="G77" s="24">
        <v>28.042105204704271</v>
      </c>
      <c r="H77" s="24">
        <v>3.423366653492983</v>
      </c>
      <c r="I77" s="24">
        <v>8.0289154052734375</v>
      </c>
      <c r="J77" s="24">
        <v>8.536268025636673E-2</v>
      </c>
      <c r="K77" s="24">
        <v>3.25</v>
      </c>
      <c r="L77" s="24">
        <v>3.5109457801305775</v>
      </c>
      <c r="M77" s="24">
        <v>0.17250725074171938</v>
      </c>
      <c r="N77" s="24">
        <v>10.811963970682536</v>
      </c>
      <c r="O77" s="24">
        <v>1.6162636280059814</v>
      </c>
      <c r="P77" s="24">
        <v>28.065266603850908</v>
      </c>
      <c r="Q77" s="24">
        <v>2.2040999955609859</v>
      </c>
      <c r="R77" s="24">
        <v>6.9669942855834961</v>
      </c>
      <c r="S77" s="24"/>
      <c r="T77" s="24"/>
      <c r="U77" s="24">
        <v>11.25</v>
      </c>
      <c r="V77" s="24">
        <v>12.205548427774463</v>
      </c>
      <c r="W77" s="24">
        <v>2.0997345762676478E-2</v>
      </c>
      <c r="X77" s="24">
        <v>1.3100436009997163</v>
      </c>
      <c r="Y77" s="24">
        <v>1.623633861541748</v>
      </c>
      <c r="Z77" s="24">
        <v>28.099169317135154</v>
      </c>
      <c r="AA77" s="24">
        <v>0.28092028393776436</v>
      </c>
      <c r="AB77" s="24">
        <v>5.339972972869873</v>
      </c>
      <c r="AC77" s="24">
        <v>9.7927272319793701E-2</v>
      </c>
      <c r="AD77" s="24">
        <v>11.25</v>
      </c>
      <c r="AE77" s="24">
        <v>11.992976631126805</v>
      </c>
      <c r="AF77" s="24">
        <v>1.7288218050384368E-2</v>
      </c>
      <c r="AG77" s="24">
        <v>1.0785077735723387</v>
      </c>
      <c r="AH77" s="24">
        <v>1.6238144636154175</v>
      </c>
      <c r="AI77" s="24">
        <v>28.099999292531031</v>
      </c>
      <c r="AJ77" s="24">
        <v>0.23159950511789326</v>
      </c>
      <c r="AK77" s="24">
        <v>5.2989864349365234</v>
      </c>
      <c r="AN77" s="24"/>
      <c r="AO77" s="24"/>
      <c r="AP77" s="24"/>
      <c r="AQ77" s="24"/>
      <c r="AR77" s="24"/>
      <c r="AS77" s="24"/>
      <c r="AT77" s="24"/>
      <c r="AU77" s="24"/>
      <c r="AV77" s="24"/>
      <c r="AW77" s="24"/>
      <c r="AX77" s="24"/>
      <c r="BC77" s="19"/>
      <c r="BD77" s="24"/>
      <c r="BE77" s="24"/>
      <c r="BF77" s="24"/>
      <c r="BG77" s="24"/>
    </row>
    <row r="78" spans="2:59">
      <c r="B78" s="24">
        <v>3.5</v>
      </c>
      <c r="C78" s="24">
        <v>3.929814265746622</v>
      </c>
      <c r="D78" s="24">
        <v>0.18066585116451717</v>
      </c>
      <c r="E78" s="24">
        <v>11.326086244582726</v>
      </c>
      <c r="F78" s="24">
        <v>1.6158671379089355</v>
      </c>
      <c r="G78" s="24">
        <v>28.06344098927493</v>
      </c>
      <c r="H78" s="24">
        <v>2.3026265113782323</v>
      </c>
      <c r="I78" s="24">
        <v>7.051903247833252</v>
      </c>
      <c r="J78" s="24">
        <v>8.6928673088550568E-2</v>
      </c>
      <c r="K78" s="24">
        <v>3.5</v>
      </c>
      <c r="L78" s="24">
        <v>3.732299706215652</v>
      </c>
      <c r="M78" s="24">
        <v>0.11199937417044591</v>
      </c>
      <c r="N78" s="24">
        <v>7.0068539130757967</v>
      </c>
      <c r="O78" s="24">
        <v>1.6192054748535156</v>
      </c>
      <c r="P78" s="24">
        <v>28.078806188547489</v>
      </c>
      <c r="Q78" s="24">
        <v>1.4568098998814571</v>
      </c>
      <c r="R78" s="24">
        <v>6.327995777130127</v>
      </c>
      <c r="S78" s="24"/>
      <c r="T78" s="24"/>
      <c r="U78" s="24">
        <v>11.5</v>
      </c>
      <c r="V78" s="24">
        <v>12.199730018904415</v>
      </c>
      <c r="W78" s="24">
        <v>1.4777832334895465E-2</v>
      </c>
      <c r="X78" s="24">
        <v>0.92183054290241129</v>
      </c>
      <c r="Y78" s="24">
        <v>1.623936653137207</v>
      </c>
      <c r="Z78" s="24">
        <v>28.100561030637571</v>
      </c>
      <c r="AA78" s="24">
        <v>0.19787374590304738</v>
      </c>
      <c r="AB78" s="24">
        <v>5.2709794044494629</v>
      </c>
      <c r="AC78" s="24">
        <v>8.6329609155654907E-2</v>
      </c>
      <c r="AD78" s="24">
        <v>11.5</v>
      </c>
      <c r="AE78" s="24">
        <v>12.241103937727702</v>
      </c>
      <c r="AF78" s="24">
        <v>1.5278942930306402E-2</v>
      </c>
      <c r="AG78" s="24">
        <v>0.95310378125522532</v>
      </c>
      <c r="AH78" s="24">
        <v>1.6239122152328491</v>
      </c>
      <c r="AI78" s="24">
        <v>28.100448899296442</v>
      </c>
      <c r="AJ78" s="24">
        <v>0.2051084061522353</v>
      </c>
      <c r="AK78" s="24">
        <v>5.2769880294799805</v>
      </c>
      <c r="AN78" s="24"/>
      <c r="AO78" s="24"/>
      <c r="AP78" s="24"/>
      <c r="AQ78" s="24"/>
      <c r="AR78" s="24"/>
      <c r="AS78" s="24"/>
      <c r="AT78" s="24"/>
      <c r="AU78" s="24"/>
      <c r="AV78" s="24"/>
      <c r="AW78" s="24"/>
      <c r="AX78" s="24"/>
      <c r="BC78" s="19"/>
      <c r="BD78" s="24"/>
      <c r="BE78" s="24"/>
      <c r="BF78" s="24"/>
      <c r="BG78" s="24"/>
    </row>
    <row r="79" spans="2:59">
      <c r="B79" s="24">
        <v>3.75</v>
      </c>
      <c r="C79" s="24">
        <v>4.1502128458384453</v>
      </c>
      <c r="D79" s="24">
        <v>0.11657495411989548</v>
      </c>
      <c r="E79" s="24">
        <v>7.294111723638383</v>
      </c>
      <c r="F79" s="24">
        <v>1.6189830303192139</v>
      </c>
      <c r="G79" s="24">
        <v>28.077782330898334</v>
      </c>
      <c r="H79" s="24">
        <v>1.5132933051142494</v>
      </c>
      <c r="I79" s="24">
        <v>6.3759827613830566</v>
      </c>
      <c r="J79" s="24">
        <v>9.553101658821106E-2</v>
      </c>
      <c r="K79" s="24">
        <v>3.75</v>
      </c>
      <c r="L79" s="24">
        <v>3.9575947386441346</v>
      </c>
      <c r="M79" s="24">
        <v>7.0422151949989797E-2</v>
      </c>
      <c r="N79" s="24">
        <v>4.4002220645853427</v>
      </c>
      <c r="O79" s="24">
        <v>1.6212282180786133</v>
      </c>
      <c r="P79" s="24">
        <v>28.088109742953982</v>
      </c>
      <c r="Q79" s="24">
        <v>0.92671165805542455</v>
      </c>
      <c r="R79" s="24">
        <v>5.8799858093261719</v>
      </c>
      <c r="S79" s="24"/>
      <c r="T79" s="24"/>
      <c r="U79" s="24">
        <v>11.75</v>
      </c>
      <c r="V79" s="24">
        <v>12.411254388090205</v>
      </c>
      <c r="W79" s="24">
        <v>1.2300984380173465E-2</v>
      </c>
      <c r="X79" s="24">
        <v>0.76726956971892846</v>
      </c>
      <c r="Y79" s="24">
        <v>1.6240572929382324</v>
      </c>
      <c r="Z79" s="24">
        <v>28.101115264145072</v>
      </c>
      <c r="AA79" s="24">
        <v>0.16534154593288702</v>
      </c>
      <c r="AB79" s="24">
        <v>5.2439827919006348</v>
      </c>
      <c r="AC79" s="24">
        <v>7.5599297881126404E-2</v>
      </c>
      <c r="AD79" s="24">
        <v>11.75</v>
      </c>
      <c r="AE79" s="24">
        <v>12.490662670184065</v>
      </c>
      <c r="AF79" s="24">
        <v>1.3601985779419108E-2</v>
      </c>
      <c r="AG79" s="24">
        <v>0.84845216851368477</v>
      </c>
      <c r="AH79" s="24">
        <v>1.6239938735961914</v>
      </c>
      <c r="AI79" s="24">
        <v>28.10082414471346</v>
      </c>
      <c r="AJ79" s="24">
        <v>0.18222375458607815</v>
      </c>
      <c r="AK79" s="24">
        <v>5.2579894065856934</v>
      </c>
      <c r="AN79" s="24"/>
      <c r="AO79" s="24"/>
      <c r="AP79" s="24"/>
      <c r="AQ79" s="24"/>
      <c r="AR79" s="24"/>
      <c r="AS79" s="24"/>
      <c r="AT79" s="24"/>
      <c r="AU79" s="24"/>
      <c r="AV79" s="24"/>
      <c r="AW79" s="24"/>
      <c r="AX79" s="24"/>
      <c r="BC79" s="19"/>
      <c r="BD79" s="24"/>
      <c r="BE79" s="24"/>
      <c r="BF79" s="24"/>
      <c r="BG79" s="24"/>
    </row>
    <row r="80" spans="2:59">
      <c r="B80" s="24">
        <v>4</v>
      </c>
      <c r="C80" s="24">
        <v>4.3647586945721537</v>
      </c>
      <c r="D80" s="24">
        <v>7.0722138832736217E-2</v>
      </c>
      <c r="E80" s="24">
        <v>4.4190060807614095</v>
      </c>
      <c r="F80" s="24">
        <v>1.6212135553359985</v>
      </c>
      <c r="G80" s="24">
        <v>28.088042616192361</v>
      </c>
      <c r="H80" s="24">
        <v>0.93019811794059604</v>
      </c>
      <c r="I80" s="24">
        <v>5.8829164505004883</v>
      </c>
      <c r="J80" s="24">
        <v>0.11452957987785339</v>
      </c>
      <c r="K80" s="24">
        <v>4</v>
      </c>
      <c r="L80" s="24">
        <v>4.1862525866077265</v>
      </c>
      <c r="M80" s="24">
        <v>4.2324522771966168E-2</v>
      </c>
      <c r="N80" s="24">
        <v>2.6423553247507527</v>
      </c>
      <c r="O80" s="24">
        <v>1.6225956678390503</v>
      </c>
      <c r="P80" s="24">
        <v>28.094397027380182</v>
      </c>
      <c r="Q80" s="24">
        <v>0.56171789529790495</v>
      </c>
      <c r="R80" s="24">
        <v>5.5740070343017578</v>
      </c>
      <c r="S80" s="24"/>
      <c r="T80" s="24"/>
      <c r="U80" s="24">
        <v>12</v>
      </c>
      <c r="V80" s="24">
        <v>12.899249876626495</v>
      </c>
      <c r="W80" s="24">
        <v>1.3871865644723124E-2</v>
      </c>
      <c r="X80" s="24">
        <v>0.86529348835062181</v>
      </c>
      <c r="Y80" s="24">
        <v>1.6239807605743408</v>
      </c>
      <c r="Z80" s="24">
        <v>28.10076375486835</v>
      </c>
      <c r="AA80" s="24">
        <v>0.20859591453028273</v>
      </c>
      <c r="AB80" s="24">
        <v>5.2799816131591797</v>
      </c>
      <c r="AC80" s="24">
        <v>6.6622406244277954E-2</v>
      </c>
      <c r="AD80" s="24">
        <v>12</v>
      </c>
      <c r="AE80" s="24">
        <v>12.740032040620273</v>
      </c>
      <c r="AF80" s="24">
        <v>1.2001050686038687E-2</v>
      </c>
      <c r="AG80" s="24">
        <v>0.74855457976416151</v>
      </c>
      <c r="AH80" s="24">
        <v>1.6240718364715576</v>
      </c>
      <c r="AI80" s="24">
        <v>28.101182379004911</v>
      </c>
      <c r="AJ80" s="24">
        <v>0.16173299993519755</v>
      </c>
      <c r="AK80" s="24">
        <v>5.2409906387329102</v>
      </c>
      <c r="AN80" s="24"/>
      <c r="AO80" s="24"/>
      <c r="AP80" s="24"/>
      <c r="AQ80" s="24"/>
      <c r="AR80" s="24"/>
      <c r="AS80" s="24"/>
      <c r="AT80" s="24"/>
      <c r="AU80" s="24"/>
      <c r="AV80" s="24"/>
      <c r="AW80" s="24"/>
      <c r="AX80" s="24"/>
      <c r="BC80" s="19"/>
      <c r="BD80" s="24"/>
      <c r="BE80" s="24"/>
      <c r="BF80" s="24"/>
      <c r="BG80" s="24"/>
    </row>
    <row r="81" spans="1:59">
      <c r="B81" s="24">
        <v>4.25</v>
      </c>
      <c r="C81" s="24">
        <v>4.5750437585900583</v>
      </c>
      <c r="D81" s="24">
        <v>4.0072844689094049E-2</v>
      </c>
      <c r="E81" s="24">
        <v>2.5016122029731376</v>
      </c>
      <c r="F81" s="24">
        <v>1.6227052211761475</v>
      </c>
      <c r="G81" s="24">
        <v>28.094900875603585</v>
      </c>
      <c r="H81" s="24">
        <v>0.53291899833348222</v>
      </c>
      <c r="I81" s="24">
        <v>5.5499529838562012</v>
      </c>
      <c r="J81" s="24">
        <v>6.593099981546402E-2</v>
      </c>
      <c r="K81" s="24">
        <v>4.25</v>
      </c>
      <c r="L81" s="24">
        <v>4.4179339979309171</v>
      </c>
      <c r="M81" s="24">
        <v>2.4095449243203049E-2</v>
      </c>
      <c r="N81" s="24">
        <v>1.5034767820972039</v>
      </c>
      <c r="O81" s="24">
        <v>1.6234830617904663</v>
      </c>
      <c r="P81" s="24">
        <v>28.098476067977352</v>
      </c>
      <c r="Q81" s="24">
        <v>0.32181839223564707</v>
      </c>
      <c r="R81" s="24">
        <v>5.3739862442016602</v>
      </c>
      <c r="S81" s="24"/>
      <c r="T81" s="24"/>
      <c r="U81" s="24">
        <v>12.25</v>
      </c>
      <c r="V81" s="24">
        <v>12.362317836812878</v>
      </c>
      <c r="W81" s="24">
        <v>1.7685069559907037E-3</v>
      </c>
      <c r="X81" s="24">
        <v>0.11027517385168632</v>
      </c>
      <c r="Y81" s="24">
        <v>1.6245701313018799</v>
      </c>
      <c r="Z81" s="24">
        <v>28.103472070865624</v>
      </c>
      <c r="AA81" s="24">
        <v>3.0168318352117397E-2</v>
      </c>
      <c r="AB81" s="24">
        <v>5.131993293762207</v>
      </c>
      <c r="AC81" s="24">
        <v>5.8618541806936264E-2</v>
      </c>
      <c r="AD81" s="24">
        <v>12.25</v>
      </c>
      <c r="AE81" s="24">
        <v>12.990541879271735</v>
      </c>
      <c r="AF81" s="24">
        <v>1.0555140964829198E-2</v>
      </c>
      <c r="AG81" s="24">
        <v>0.65833874147224014</v>
      </c>
      <c r="AH81" s="24">
        <v>1.6241422891616821</v>
      </c>
      <c r="AI81" s="24">
        <v>28.101505923942252</v>
      </c>
      <c r="AJ81" s="24">
        <v>0.14244496974791493</v>
      </c>
      <c r="AK81" s="24">
        <v>5.2249917984008789</v>
      </c>
      <c r="AN81" s="24"/>
      <c r="AO81" s="24"/>
      <c r="AP81" s="24"/>
      <c r="AQ81" s="24"/>
      <c r="AR81" s="24"/>
      <c r="AS81" s="24"/>
      <c r="AT81" s="24"/>
      <c r="AU81" s="24"/>
      <c r="AV81" s="24"/>
      <c r="AW81" s="24"/>
      <c r="AX81" s="24"/>
      <c r="BC81" s="19"/>
      <c r="BD81" s="24"/>
      <c r="BE81" s="24"/>
      <c r="BF81" s="24"/>
      <c r="BG81" s="24"/>
    </row>
    <row r="82" spans="1:59">
      <c r="B82" s="24">
        <v>4.5</v>
      </c>
      <c r="C82" s="24">
        <v>4.7597742651499395</v>
      </c>
      <c r="D82" s="24">
        <v>1.9841842914954243E-2</v>
      </c>
      <c r="E82" s="24">
        <v>1.2379078287191982</v>
      </c>
      <c r="F82" s="24">
        <v>1.623690128326416</v>
      </c>
      <c r="G82" s="24">
        <v>28.099427878987932</v>
      </c>
      <c r="H82" s="24">
        <v>0.27844985287598562</v>
      </c>
      <c r="I82" s="24">
        <v>5.3379764556884766</v>
      </c>
      <c r="J82" s="24">
        <v>7.1433261036872864E-2</v>
      </c>
      <c r="K82" s="24">
        <v>4.5</v>
      </c>
      <c r="L82" s="24">
        <v>4.651932833075362</v>
      </c>
      <c r="M82" s="24">
        <v>1.3107924388302435E-2</v>
      </c>
      <c r="N82" s="24">
        <v>0.81762194954702594</v>
      </c>
      <c r="O82" s="24">
        <v>1.6240179538726807</v>
      </c>
      <c r="P82" s="24">
        <v>28.100934698684767</v>
      </c>
      <c r="Q82" s="24">
        <v>0.17619621667746374</v>
      </c>
      <c r="R82" s="24">
        <v>5.2529897689819336</v>
      </c>
      <c r="S82" s="24"/>
      <c r="T82" s="24"/>
      <c r="U82" s="24">
        <v>12.5</v>
      </c>
      <c r="V82" s="24">
        <v>13.344017496318175</v>
      </c>
      <c r="W82" s="24">
        <v>1.0255453937326266E-2</v>
      </c>
      <c r="X82" s="24">
        <v>0.63964109998733487</v>
      </c>
      <c r="Y82" s="24">
        <v>1.6241568326950073</v>
      </c>
      <c r="Z82" s="24">
        <v>28.101572983606566</v>
      </c>
      <c r="AA82" s="24">
        <v>0.19995819824545735</v>
      </c>
      <c r="AB82" s="24">
        <v>5.2729840278625488</v>
      </c>
      <c r="AC82" s="24">
        <v>5.1379192620515823E-2</v>
      </c>
      <c r="AD82" s="24">
        <v>12.5</v>
      </c>
      <c r="AE82" s="24">
        <v>13.241678267647883</v>
      </c>
      <c r="AF82" s="24">
        <v>9.3764353600992566E-3</v>
      </c>
      <c r="AG82" s="24">
        <v>0.58480057653496653</v>
      </c>
      <c r="AH82" s="24">
        <v>1.6241996288299561</v>
      </c>
      <c r="AI82" s="24">
        <v>28.10176967777517</v>
      </c>
      <c r="AJ82" s="24">
        <v>0.1255684116277038</v>
      </c>
      <c r="AK82" s="24">
        <v>5.2109928131103516</v>
      </c>
      <c r="AN82" s="24"/>
      <c r="AO82" s="24"/>
      <c r="AP82" s="24"/>
      <c r="AQ82" s="24"/>
      <c r="AR82" s="24"/>
      <c r="AS82" s="24"/>
      <c r="AT82" s="24"/>
      <c r="AU82" s="24"/>
      <c r="AV82" s="24"/>
      <c r="AW82" s="24"/>
      <c r="AX82" s="24"/>
      <c r="BC82" s="19"/>
      <c r="BD82" s="24"/>
      <c r="BE82" s="24"/>
      <c r="BF82" s="24"/>
      <c r="BG82" s="24"/>
    </row>
    <row r="83" spans="1:59">
      <c r="B83" s="24">
        <v>4.75</v>
      </c>
      <c r="C83" s="24">
        <v>5.0358621092154907</v>
      </c>
      <c r="D83" s="24">
        <v>1.1458449544826355E-2</v>
      </c>
      <c r="E83" s="24">
        <v>0.7146987022371657</v>
      </c>
      <c r="F83" s="24">
        <v>1.6240983009338379</v>
      </c>
      <c r="G83" s="24">
        <v>28.101303794505242</v>
      </c>
      <c r="H83" s="24">
        <v>0.31254392455107621</v>
      </c>
      <c r="I83" s="24">
        <v>5.3669791221618652</v>
      </c>
      <c r="J83" s="24">
        <v>3.6626696586608887E-2</v>
      </c>
      <c r="K83" s="24">
        <v>4.75</v>
      </c>
      <c r="L83" s="24">
        <v>4.8878057812471214</v>
      </c>
      <c r="M83" s="24">
        <v>6.6323013187307165E-3</v>
      </c>
      <c r="N83" s="24">
        <v>0.41361716051861735</v>
      </c>
      <c r="O83" s="24">
        <v>1.6243332624435425</v>
      </c>
      <c r="P83" s="24">
        <v>28.1023837207292</v>
      </c>
      <c r="Q83" s="24">
        <v>0.10257679569059551</v>
      </c>
      <c r="R83" s="24">
        <v>5.1919941902160645</v>
      </c>
      <c r="S83" s="24"/>
      <c r="T83" s="24"/>
      <c r="U83" s="24">
        <v>12.75</v>
      </c>
      <c r="V83" s="24">
        <v>12.963289744156944</v>
      </c>
      <c r="W83" s="24">
        <v>2.6095805681485675E-3</v>
      </c>
      <c r="X83" s="24">
        <v>0.16272438469058484</v>
      </c>
      <c r="Y83" s="24">
        <v>1.6245291233062744</v>
      </c>
      <c r="Z83" s="24">
        <v>28.103283867477021</v>
      </c>
      <c r="AA83" s="24">
        <v>5.7865039777675688E-2</v>
      </c>
      <c r="AB83" s="24">
        <v>5.1549935340881348</v>
      </c>
      <c r="AC83" s="24">
        <v>4.5115653425455093E-2</v>
      </c>
      <c r="AD83" s="24">
        <v>12.75</v>
      </c>
      <c r="AE83" s="24">
        <v>13.492230514507796</v>
      </c>
      <c r="AF83" s="24">
        <v>8.26019305532554E-3</v>
      </c>
      <c r="AG83" s="24">
        <v>0.51516422023703645</v>
      </c>
      <c r="AH83" s="24">
        <v>1.6242539882659912</v>
      </c>
      <c r="AI83" s="24">
        <v>28.102019454466799</v>
      </c>
      <c r="AJ83" s="24">
        <v>0.11109140673194211</v>
      </c>
      <c r="AK83" s="24">
        <v>5.1989936828613281</v>
      </c>
      <c r="AN83" s="24"/>
      <c r="AO83" s="24"/>
      <c r="AP83" s="24"/>
      <c r="AQ83" s="24"/>
      <c r="AR83" s="24"/>
      <c r="AS83" s="24"/>
      <c r="AT83" s="24"/>
      <c r="AU83" s="24"/>
      <c r="AV83" s="24"/>
      <c r="AW83" s="24"/>
      <c r="AX83" s="24"/>
      <c r="BC83" s="19"/>
      <c r="BD83" s="24"/>
      <c r="BE83" s="24"/>
      <c r="BF83" s="24"/>
      <c r="BG83" s="24"/>
    </row>
    <row r="84" spans="1:59">
      <c r="B84" s="24">
        <v>5</v>
      </c>
      <c r="C84" s="24">
        <v>5.3347849150893216</v>
      </c>
      <c r="D84" s="24">
        <v>6.3886343975598815E-3</v>
      </c>
      <c r="E84" s="24">
        <v>0.39841819449754579</v>
      </c>
      <c r="F84" s="24">
        <v>1.6243451833724976</v>
      </c>
      <c r="G84" s="24">
        <v>28.102438245017673</v>
      </c>
      <c r="H84" s="24">
        <v>0.36595602345212935</v>
      </c>
      <c r="I84" s="24">
        <v>5.4119787216186523</v>
      </c>
      <c r="J84" s="24">
        <v>1.746024563908577E-2</v>
      </c>
      <c r="K84" s="24">
        <v>5</v>
      </c>
      <c r="L84" s="24">
        <v>5.1258532459864599</v>
      </c>
      <c r="M84" s="24">
        <v>3.1569754277158196E-3</v>
      </c>
      <c r="N84" s="24">
        <v>0.1968612580251814</v>
      </c>
      <c r="O84" s="24">
        <v>1.6245025396347046</v>
      </c>
      <c r="P84" s="24">
        <v>28.10316137930716</v>
      </c>
      <c r="Q84" s="24">
        <v>0.1023349919872126</v>
      </c>
      <c r="R84" s="24">
        <v>5.1919941902160645</v>
      </c>
      <c r="S84" s="24"/>
      <c r="T84" s="24"/>
      <c r="U84" s="24"/>
      <c r="V84" s="24"/>
      <c r="W84" s="24"/>
      <c r="X84" s="24"/>
      <c r="Y84" s="24"/>
      <c r="Z84" s="24"/>
      <c r="AA84" s="24"/>
      <c r="AB84" s="24"/>
      <c r="AC84" s="24"/>
      <c r="AD84" s="24"/>
      <c r="AE84" s="24"/>
      <c r="AF84" s="24"/>
      <c r="AG84" s="24"/>
      <c r="AH84" s="24"/>
      <c r="AI84" s="24"/>
      <c r="AJ84" s="24"/>
      <c r="AK84" s="24"/>
      <c r="AN84" s="24"/>
      <c r="AO84" s="24"/>
      <c r="AP84" s="24"/>
      <c r="AQ84" s="24"/>
      <c r="AR84" s="24"/>
      <c r="AS84" s="24"/>
      <c r="AT84" s="24"/>
      <c r="AU84" s="24"/>
      <c r="AV84" s="24"/>
      <c r="AW84" s="24"/>
      <c r="AX84" s="24"/>
      <c r="BC84" s="19"/>
      <c r="BD84" s="24"/>
      <c r="BE84" s="24"/>
      <c r="BF84" s="24"/>
      <c r="BG84" s="24"/>
    </row>
    <row r="85" spans="1:59">
      <c r="B85" s="24">
        <v>5.25</v>
      </c>
      <c r="C85" s="24">
        <v>5.4646845654824832</v>
      </c>
      <c r="D85" s="24">
        <v>2.2527707466079593E-3</v>
      </c>
      <c r="E85" s="24">
        <v>0.14047346045592596</v>
      </c>
      <c r="F85" s="24">
        <v>1.6245465278625488</v>
      </c>
      <c r="G85" s="24">
        <v>28.103363709260819</v>
      </c>
      <c r="H85" s="24">
        <v>0.29156897341622173</v>
      </c>
      <c r="I85" s="24">
        <v>5.3499841690063477</v>
      </c>
      <c r="J85" s="24">
        <v>7.7159418724477291E-3</v>
      </c>
      <c r="K85" s="24">
        <v>5.25</v>
      </c>
      <c r="L85" s="24">
        <v>5.3654844043112906</v>
      </c>
      <c r="M85" s="24">
        <v>1.4056057261496585E-3</v>
      </c>
      <c r="N85" s="24">
        <v>8.7645530114356496E-2</v>
      </c>
      <c r="O85" s="24">
        <v>1.6245877742767334</v>
      </c>
      <c r="P85" s="24">
        <v>28.103553275697397</v>
      </c>
      <c r="Q85" s="24">
        <v>0.10341335846249602</v>
      </c>
      <c r="R85" s="24">
        <v>5.1929941177368164</v>
      </c>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19"/>
      <c r="BD85" s="24"/>
      <c r="BE85" s="24"/>
      <c r="BF85" s="24"/>
      <c r="BG85" s="24"/>
    </row>
    <row r="86" spans="1:59">
      <c r="B86" s="24">
        <v>5.5</v>
      </c>
      <c r="C86" s="24">
        <v>5.6488970933674274</v>
      </c>
      <c r="D86" s="24">
        <v>7.6175657814262551E-4</v>
      </c>
      <c r="E86" s="24">
        <v>4.7497864692176102E-2</v>
      </c>
      <c r="F86" s="24">
        <v>1.6246191263198853</v>
      </c>
      <c r="G86" s="24">
        <v>28.103697347024394</v>
      </c>
      <c r="H86" s="24">
        <v>0.24360694571414765</v>
      </c>
      <c r="I86" s="24">
        <v>5.3099880218505859</v>
      </c>
      <c r="J86" s="24">
        <v>3.1188591383397579E-3</v>
      </c>
      <c r="K86" s="24">
        <v>5.5</v>
      </c>
      <c r="L86" s="24">
        <v>5.6059292423636498</v>
      </c>
      <c r="M86" s="24">
        <v>5.8122623603186225E-4</v>
      </c>
      <c r="N86" s="24">
        <v>3.6241046699071293E-2</v>
      </c>
      <c r="O86" s="24">
        <v>1.624627947807312</v>
      </c>
      <c r="P86" s="24">
        <v>28.103737743514831</v>
      </c>
      <c r="Q86" s="24">
        <v>0.10575634063923527</v>
      </c>
      <c r="R86" s="24">
        <v>5.1949939727783203</v>
      </c>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19"/>
      <c r="BD86" s="24"/>
      <c r="BE86" s="24"/>
      <c r="BF86" s="24"/>
      <c r="BG86" s="24"/>
    </row>
    <row r="87" spans="1:59">
      <c r="B87" s="15"/>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19"/>
      <c r="BD87" s="24"/>
      <c r="BE87" s="24"/>
      <c r="BF87" s="24"/>
      <c r="BG87" s="24"/>
    </row>
    <row r="88" spans="1:59">
      <c r="B88" s="15"/>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19"/>
      <c r="BD88" s="24"/>
      <c r="BE88" s="24"/>
      <c r="BF88" s="24"/>
      <c r="BG88" s="24"/>
    </row>
    <row r="89" spans="1:59">
      <c r="A89" s="19" t="s">
        <v>356</v>
      </c>
      <c r="AN89" s="24"/>
      <c r="AO89" s="24"/>
      <c r="AP89" s="24"/>
      <c r="AQ89" s="24"/>
      <c r="AR89" s="24"/>
      <c r="AS89" s="24"/>
      <c r="AT89" s="24"/>
      <c r="AU89" s="24"/>
      <c r="AV89" s="24"/>
      <c r="AW89" s="24"/>
      <c r="AX89" s="24"/>
      <c r="BC89" s="19"/>
    </row>
    <row r="90" spans="1:59">
      <c r="AW90" s="19"/>
      <c r="AX90" s="24"/>
      <c r="BC90" s="19"/>
    </row>
    <row r="91" spans="1:59">
      <c r="A91" s="19" t="s">
        <v>358</v>
      </c>
      <c r="AW91" s="24"/>
      <c r="AX91" s="19"/>
      <c r="BC91" s="19"/>
    </row>
    <row r="92" spans="1:59">
      <c r="J92" s="19" t="s">
        <v>363</v>
      </c>
      <c r="AN92" s="24"/>
      <c r="AO92" s="24"/>
      <c r="AP92" s="24"/>
      <c r="AQ92" s="24"/>
      <c r="AR92" s="24"/>
      <c r="AS92" s="24"/>
      <c r="AT92" s="24"/>
      <c r="AU92" s="24"/>
      <c r="AV92" s="24"/>
      <c r="AW92" s="24"/>
      <c r="AX92" s="19"/>
      <c r="BB92" s="19"/>
      <c r="BC92" s="19"/>
    </row>
    <row r="93" spans="1:59">
      <c r="B93" s="19" t="s">
        <v>357</v>
      </c>
      <c r="C93" s="19" t="s">
        <v>359</v>
      </c>
      <c r="D93" s="24" t="s">
        <v>154</v>
      </c>
      <c r="E93" s="24" t="s">
        <v>155</v>
      </c>
      <c r="F93" s="24" t="s">
        <v>156</v>
      </c>
      <c r="G93" s="24" t="s">
        <v>159</v>
      </c>
      <c r="H93" s="24" t="s">
        <v>157</v>
      </c>
      <c r="I93" s="24" t="s">
        <v>279</v>
      </c>
      <c r="J93" s="24" t="s">
        <v>160</v>
      </c>
      <c r="K93" s="24" t="s">
        <v>280</v>
      </c>
      <c r="L93" s="24" t="s">
        <v>265</v>
      </c>
      <c r="M93" s="27" t="s">
        <v>360</v>
      </c>
      <c r="N93" s="27" t="s">
        <v>362</v>
      </c>
      <c r="O93" s="24" t="s">
        <v>154</v>
      </c>
      <c r="AN93" s="25"/>
      <c r="AO93" s="24"/>
      <c r="AP93" s="24"/>
      <c r="AQ93" s="24"/>
      <c r="AR93" s="24"/>
      <c r="AS93" s="24"/>
      <c r="AT93" s="24"/>
      <c r="AU93" s="24"/>
      <c r="AV93" s="24"/>
      <c r="AW93" s="27"/>
      <c r="AX93" s="27"/>
      <c r="BB93" s="19"/>
      <c r="BC93" s="28"/>
    </row>
    <row r="94" spans="1:59">
      <c r="B94" s="24">
        <v>0</v>
      </c>
      <c r="C94">
        <v>150</v>
      </c>
      <c r="D94" s="24">
        <v>0.90009429202363278</v>
      </c>
      <c r="E94" s="24">
        <v>5.7606566953085734</v>
      </c>
      <c r="F94" s="24">
        <v>431.25327774108894</v>
      </c>
      <c r="G94" s="24">
        <v>1.3531596241805413</v>
      </c>
      <c r="H94" s="24">
        <v>31.898329358676158</v>
      </c>
      <c r="I94" s="24">
        <v>36.756395585684359</v>
      </c>
      <c r="J94" s="24">
        <v>28.01202392578125</v>
      </c>
      <c r="K94" s="24">
        <v>26.81483069197143</v>
      </c>
      <c r="L94" s="24">
        <v>0.5781859559701682</v>
      </c>
      <c r="M94" s="24">
        <v>431.25327869148742</v>
      </c>
      <c r="N94">
        <f>M94/F94</f>
        <v>1.0000000022038058</v>
      </c>
      <c r="O94" s="24">
        <v>0.90009429202363278</v>
      </c>
      <c r="AN94" s="24"/>
      <c r="AO94" s="24"/>
      <c r="AP94" s="24"/>
      <c r="AQ94" s="24"/>
      <c r="AR94" s="24"/>
      <c r="AS94" s="24"/>
      <c r="AT94" s="24"/>
      <c r="AU94" s="24"/>
      <c r="AV94" s="24"/>
      <c r="AW94" s="24"/>
      <c r="AX94" s="24"/>
      <c r="BC94" s="19"/>
    </row>
    <row r="95" spans="1:59">
      <c r="B95" s="24">
        <v>0.25</v>
      </c>
      <c r="C95">
        <v>114</v>
      </c>
      <c r="D95" s="24">
        <v>0.98037652875106585</v>
      </c>
      <c r="E95" s="24">
        <v>4.596388716378546</v>
      </c>
      <c r="F95" s="24">
        <v>331.02137486735575</v>
      </c>
      <c r="G95" s="24">
        <v>1.4065985229978695</v>
      </c>
      <c r="H95" s="24">
        <v>24.379193691642122</v>
      </c>
      <c r="I95" s="24">
        <v>28.427092645047818</v>
      </c>
      <c r="J95" s="24">
        <v>28.063446044921875</v>
      </c>
      <c r="K95" s="24">
        <v>27.075353882184405</v>
      </c>
      <c r="L95" s="24">
        <v>0.61838282497674557</v>
      </c>
      <c r="M95" s="24">
        <v>359.13029819112637</v>
      </c>
      <c r="N95" s="24">
        <f t="shared" ref="N95:N108" si="0">M95/F95</f>
        <v>1.0849157349280971</v>
      </c>
      <c r="O95" s="24">
        <v>1.0347744075807179</v>
      </c>
      <c r="AN95" s="24"/>
      <c r="AO95" s="24"/>
      <c r="AP95" s="24"/>
      <c r="AQ95" s="24"/>
      <c r="AR95" s="24"/>
      <c r="AS95" s="24"/>
      <c r="AT95" s="24"/>
      <c r="AU95" s="24"/>
      <c r="AV95" s="24"/>
      <c r="AW95" s="24"/>
      <c r="AX95" s="24"/>
      <c r="BC95" s="19"/>
    </row>
    <row r="96" spans="1:59">
      <c r="B96" s="24">
        <v>0.5</v>
      </c>
      <c r="C96">
        <v>87</v>
      </c>
      <c r="D96" s="24">
        <v>1.0996254038061031</v>
      </c>
      <c r="E96" s="24">
        <v>3.6361919950616843</v>
      </c>
      <c r="F96" s="24">
        <v>253.8202296310476</v>
      </c>
      <c r="G96" s="24">
        <v>1.4512091870501249</v>
      </c>
      <c r="H96" s="24">
        <v>18.643228569134379</v>
      </c>
      <c r="I96" s="24">
        <v>21.912573869108698</v>
      </c>
      <c r="J96" s="24">
        <v>28.095863342285156</v>
      </c>
      <c r="K96" s="24">
        <v>27.290212933190343</v>
      </c>
      <c r="L96" s="24">
        <v>0.65124545177785897</v>
      </c>
      <c r="M96" s="24">
        <v>298.20759571953658</v>
      </c>
      <c r="N96" s="24">
        <f t="shared" si="0"/>
        <v>1.1748771804083951</v>
      </c>
      <c r="O96" s="24">
        <v>1.1999602080560583</v>
      </c>
      <c r="AN96" s="24"/>
      <c r="AO96" s="24"/>
      <c r="AP96" s="24"/>
      <c r="AQ96" s="24"/>
      <c r="AR96" s="24"/>
      <c r="AS96" s="24"/>
      <c r="AT96" s="24"/>
      <c r="AU96" s="24"/>
      <c r="AV96" s="24"/>
      <c r="AW96" s="24"/>
      <c r="AX96" s="24"/>
      <c r="BC96" s="19"/>
    </row>
    <row r="97" spans="2:55">
      <c r="B97" s="24">
        <v>0.75</v>
      </c>
      <c r="C97">
        <v>62</v>
      </c>
      <c r="D97" s="24">
        <v>1.2147589256797391</v>
      </c>
      <c r="E97" s="24">
        <v>2.6466136671604916</v>
      </c>
      <c r="F97" s="24">
        <v>179.00908728968156</v>
      </c>
      <c r="G97" s="24">
        <v>1.4977003041722772</v>
      </c>
      <c r="H97" s="24">
        <v>13.244408255692266</v>
      </c>
      <c r="I97" s="24">
        <v>15.772701826836107</v>
      </c>
      <c r="J97" s="24">
        <v>28.009286880493164</v>
      </c>
      <c r="K97" s="24">
        <v>27.511646578722161</v>
      </c>
      <c r="L97" s="24">
        <v>0.66835962391990666</v>
      </c>
      <c r="M97" s="24">
        <v>231.32054007326633</v>
      </c>
      <c r="N97" s="24">
        <f t="shared" si="0"/>
        <v>1.2922279174516529</v>
      </c>
      <c r="O97" s="24">
        <v>1.3498060462116068</v>
      </c>
      <c r="AN97" s="24"/>
      <c r="AO97" s="24"/>
      <c r="AP97" s="24"/>
      <c r="AQ97" s="24"/>
      <c r="AR97" s="24"/>
      <c r="AS97" s="24"/>
      <c r="AT97" s="24"/>
      <c r="AU97" s="24"/>
      <c r="AV97" s="24"/>
      <c r="AW97" s="24"/>
      <c r="AX97" s="24"/>
      <c r="BC97" s="19"/>
    </row>
    <row r="98" spans="2:55">
      <c r="B98" s="24">
        <v>1</v>
      </c>
      <c r="C98">
        <v>43</v>
      </c>
      <c r="D98" s="24">
        <v>1.368816131124706</v>
      </c>
      <c r="E98" s="24">
        <v>1.8863864148148182</v>
      </c>
      <c r="F98" s="24">
        <v>124.58861262318806</v>
      </c>
      <c r="G98" s="24">
        <v>1.5337753571322441</v>
      </c>
      <c r="H98" s="24">
        <v>9.1862965553739642</v>
      </c>
      <c r="I98" s="24">
        <v>11.005081966598754</v>
      </c>
      <c r="J98" s="24">
        <v>28.050691604614258</v>
      </c>
      <c r="K98" s="24">
        <v>27.681759329954875</v>
      </c>
      <c r="L98" s="24">
        <v>0.70800497022736986</v>
      </c>
      <c r="M98" s="24">
        <v>179.44191059357513</v>
      </c>
      <c r="N98" s="24">
        <f t="shared" si="0"/>
        <v>1.4402753736112954</v>
      </c>
      <c r="O98" s="24">
        <v>1.5448985248697567</v>
      </c>
      <c r="AN98" s="24"/>
      <c r="AO98" s="24"/>
      <c r="AP98" s="24"/>
      <c r="AQ98" s="24"/>
      <c r="AR98" s="24"/>
      <c r="AS98" s="24"/>
      <c r="AT98" s="24"/>
      <c r="AU98" s="24"/>
      <c r="AV98" s="24"/>
      <c r="AW98" s="24"/>
      <c r="AX98" s="24"/>
      <c r="BC98" s="19"/>
    </row>
    <row r="99" spans="2:55">
      <c r="B99" s="24">
        <v>1.25</v>
      </c>
      <c r="C99">
        <v>28</v>
      </c>
      <c r="D99" s="24">
        <v>1.5350967984780235</v>
      </c>
      <c r="E99" s="24">
        <v>1.2475255611522686</v>
      </c>
      <c r="F99" s="24">
        <v>80.78472173661784</v>
      </c>
      <c r="G99" s="24">
        <v>1.5643346492761669</v>
      </c>
      <c r="H99" s="24">
        <v>5.9682164861152742</v>
      </c>
      <c r="I99" s="24">
        <v>7.2041275323936826</v>
      </c>
      <c r="J99" s="24">
        <v>28.026058197021484</v>
      </c>
      <c r="K99" s="24">
        <v>27.824714449146001</v>
      </c>
      <c r="L99" s="24">
        <v>0.7321069043155134</v>
      </c>
      <c r="M99" s="24">
        <v>127.21907631458024</v>
      </c>
      <c r="N99" s="24">
        <f t="shared" si="0"/>
        <v>1.5747912919642426</v>
      </c>
      <c r="O99" s="24">
        <v>1.7246100963948425</v>
      </c>
      <c r="AN99" s="24"/>
      <c r="AO99" s="24"/>
      <c r="AP99" s="24"/>
      <c r="AQ99" s="24"/>
      <c r="AR99" s="24"/>
      <c r="AS99" s="24"/>
      <c r="AT99" s="24"/>
      <c r="AU99" s="24"/>
      <c r="AV99" s="24"/>
      <c r="AW99" s="24"/>
      <c r="AX99" s="24"/>
      <c r="BC99" s="19"/>
    </row>
    <row r="100" spans="2:55">
      <c r="B100" s="24">
        <v>1.5</v>
      </c>
      <c r="C100">
        <v>18.3</v>
      </c>
      <c r="D100" s="24">
        <v>1.7350831568283089</v>
      </c>
      <c r="E100" s="24">
        <v>0.82533223802469469</v>
      </c>
      <c r="F100" s="24">
        <v>52.759923279998645</v>
      </c>
      <c r="G100" s="24">
        <v>1.5846527158161501</v>
      </c>
      <c r="H100" s="24">
        <v>3.8964328979146519</v>
      </c>
      <c r="I100" s="24">
        <v>4.7082271880245026</v>
      </c>
      <c r="J100" s="24">
        <v>28.030359268188477</v>
      </c>
      <c r="K100" s="24">
        <v>27.919186815833346</v>
      </c>
      <c r="L100" s="24">
        <v>0.74961147013082952</v>
      </c>
      <c r="M100" s="24">
        <v>88.976008585155341</v>
      </c>
      <c r="N100" s="24">
        <f t="shared" si="0"/>
        <v>1.686431727979526</v>
      </c>
      <c r="O100" s="24">
        <v>1.9300879418599042</v>
      </c>
      <c r="AN100" s="24"/>
      <c r="AO100" s="24"/>
      <c r="AP100" s="24"/>
      <c r="AQ100" s="24"/>
      <c r="AR100" s="24"/>
      <c r="AS100" s="24"/>
      <c r="AT100" s="24"/>
      <c r="AU100" s="24"/>
      <c r="AV100" s="24"/>
      <c r="AW100" s="24"/>
      <c r="AX100" s="24"/>
      <c r="BC100" s="19"/>
    </row>
    <row r="101" spans="2:55">
      <c r="B101" s="24">
        <v>1.75</v>
      </c>
      <c r="C101">
        <v>11.1</v>
      </c>
      <c r="D101" s="24">
        <v>1.9401350361966549</v>
      </c>
      <c r="E101" s="24">
        <v>0.50501454485596831</v>
      </c>
      <c r="F101" s="24">
        <v>31.971064053962106</v>
      </c>
      <c r="G101" s="24">
        <v>1.6001335866570787</v>
      </c>
      <c r="H101" s="24">
        <v>2.3610597744229405</v>
      </c>
      <c r="I101" s="24">
        <v>2.8597422728490365</v>
      </c>
      <c r="J101" s="24">
        <v>28.031585693359375</v>
      </c>
      <c r="K101" s="24">
        <v>27.990862915164591</v>
      </c>
      <c r="L101" s="24">
        <v>0.75802979418701766</v>
      </c>
      <c r="M101" s="24">
        <v>58.196452559616652</v>
      </c>
      <c r="N101" s="24">
        <f t="shared" si="0"/>
        <v>1.8202851322492812</v>
      </c>
      <c r="O101" s="24">
        <v>2.140203142525559</v>
      </c>
      <c r="AN101" s="24"/>
      <c r="AO101" s="24"/>
      <c r="AP101" s="24"/>
      <c r="AQ101" s="24"/>
      <c r="AR101" s="24"/>
      <c r="AS101" s="24"/>
      <c r="AT101" s="24"/>
      <c r="AU101" s="24"/>
      <c r="AV101" s="24"/>
      <c r="AW101" s="24"/>
      <c r="AX101" s="24"/>
      <c r="BC101" s="19"/>
    </row>
    <row r="102" spans="2:55">
      <c r="B102" s="24">
        <v>2</v>
      </c>
      <c r="C102">
        <v>6</v>
      </c>
      <c r="D102" s="24">
        <v>2.1450776175263342</v>
      </c>
      <c r="E102" s="24">
        <v>0.27490711111111149</v>
      </c>
      <c r="F102" s="24">
        <v>17.283106141131725</v>
      </c>
      <c r="G102" s="24">
        <v>1.61128966796544</v>
      </c>
      <c r="H102" s="24">
        <v>1.2755159711424877</v>
      </c>
      <c r="I102" s="24">
        <v>1.5547570117191756</v>
      </c>
      <c r="J102" s="24">
        <v>28.03874397277832</v>
      </c>
      <c r="K102" s="24">
        <v>28.0423530564515</v>
      </c>
      <c r="L102" s="24">
        <v>0.77672012432472526</v>
      </c>
      <c r="M102" s="24">
        <v>35.358522268206436</v>
      </c>
      <c r="N102" s="24">
        <f t="shared" si="0"/>
        <v>2.0458430318875021</v>
      </c>
      <c r="O102" s="24">
        <v>2.344786423187696</v>
      </c>
      <c r="AN102" s="24"/>
      <c r="AO102" s="24"/>
      <c r="AP102" s="24"/>
      <c r="AQ102" s="24"/>
      <c r="AR102" s="24"/>
      <c r="AS102" s="24"/>
      <c r="AT102" s="24"/>
      <c r="AU102" s="24"/>
      <c r="AV102" s="24"/>
      <c r="AW102" s="24"/>
      <c r="AX102" s="24"/>
      <c r="BC102" s="19"/>
    </row>
    <row r="103" spans="2:55">
      <c r="B103" s="24">
        <v>2.25</v>
      </c>
      <c r="C103">
        <v>3</v>
      </c>
      <c r="D103" s="24">
        <v>2.3599977375429666</v>
      </c>
      <c r="E103" s="24">
        <v>0.13806446024691391</v>
      </c>
      <c r="F103" s="24">
        <v>8.6442927430183811</v>
      </c>
      <c r="G103" s="24">
        <v>1.617938012836065</v>
      </c>
      <c r="H103" s="24">
        <v>0.63758373312960892</v>
      </c>
      <c r="I103" s="24">
        <v>0.7821499384048507</v>
      </c>
      <c r="J103" s="24">
        <v>28.045856475830078</v>
      </c>
      <c r="K103" s="24">
        <v>28.072973742243359</v>
      </c>
      <c r="L103" s="24">
        <v>0.78162636375909778</v>
      </c>
      <c r="M103" s="24">
        <v>19.73230691002043</v>
      </c>
      <c r="N103" s="24">
        <f t="shared" si="0"/>
        <v>2.2826976707790645</v>
      </c>
      <c r="O103" s="24">
        <v>2.5500266303290262</v>
      </c>
      <c r="AN103" s="24"/>
      <c r="AO103" s="24"/>
      <c r="AP103" s="24"/>
      <c r="AQ103" s="24"/>
      <c r="AR103" s="24"/>
      <c r="AS103" s="24"/>
      <c r="AT103" s="24"/>
      <c r="AU103" s="24"/>
      <c r="AV103" s="24"/>
      <c r="AW103" s="24"/>
      <c r="AX103" s="24"/>
      <c r="BC103" s="19"/>
    </row>
    <row r="104" spans="2:55">
      <c r="B104" s="24">
        <v>2.5</v>
      </c>
      <c r="C104">
        <v>1.45</v>
      </c>
      <c r="D104" s="24">
        <v>2.5898636491219942</v>
      </c>
      <c r="E104" s="24">
        <v>6.7810420740740895E-2</v>
      </c>
      <c r="F104" s="24">
        <v>4.2366998474729582</v>
      </c>
      <c r="G104" s="24">
        <v>1.6213552690390105</v>
      </c>
      <c r="H104" s="24">
        <v>0.3092715402660704</v>
      </c>
      <c r="I104" s="24">
        <v>0.37915931929099245</v>
      </c>
      <c r="J104" s="24">
        <v>28.168935775756836</v>
      </c>
      <c r="K104" s="24">
        <v>28.088694183609718</v>
      </c>
      <c r="L104" s="24">
        <v>0.81235047072331623</v>
      </c>
      <c r="M104" s="24">
        <v>10.484497295352579</v>
      </c>
      <c r="N104" s="24">
        <f t="shared" si="0"/>
        <v>2.4746849370521753</v>
      </c>
      <c r="O104" s="24">
        <v>2.7748775982878611</v>
      </c>
      <c r="AN104" s="24"/>
      <c r="AO104" s="24"/>
      <c r="AP104" s="24"/>
      <c r="AQ104" s="24"/>
      <c r="AR104" s="24"/>
      <c r="AS104" s="24"/>
      <c r="AT104" s="24"/>
      <c r="AU104" s="24"/>
      <c r="AV104" s="24"/>
      <c r="AW104" s="24"/>
      <c r="AX104" s="24"/>
      <c r="BC104" s="19"/>
    </row>
    <row r="105" spans="2:55">
      <c r="B105" s="24">
        <v>2.75</v>
      </c>
      <c r="C105">
        <v>0.7</v>
      </c>
      <c r="D105" s="24">
        <v>2.8300094202082513</v>
      </c>
      <c r="E105" s="24">
        <v>3.2290676543209898E-2</v>
      </c>
      <c r="F105" s="24">
        <v>2.0153272679176375</v>
      </c>
      <c r="G105" s="24">
        <v>1.6230840449089998</v>
      </c>
      <c r="H105" s="24">
        <v>0.14869274021625697</v>
      </c>
      <c r="I105" s="24">
        <v>0.18251375056748603</v>
      </c>
      <c r="J105" s="24">
        <v>28.041963577270508</v>
      </c>
      <c r="K105" s="24">
        <v>28.09664228253656</v>
      </c>
      <c r="L105" s="24">
        <v>0.78807218680536217</v>
      </c>
      <c r="M105" s="24">
        <v>4.9719555391527592</v>
      </c>
      <c r="N105" s="24">
        <f t="shared" si="0"/>
        <v>2.4670710401740834</v>
      </c>
      <c r="O105" s="24">
        <v>3.0000235763038345</v>
      </c>
      <c r="AN105" s="24"/>
      <c r="AO105" s="24"/>
      <c r="AP105" s="24"/>
      <c r="AQ105" s="24"/>
      <c r="AR105" s="24"/>
      <c r="AS105" s="24"/>
      <c r="AT105" s="24"/>
      <c r="AU105" s="24"/>
      <c r="AV105" s="24"/>
      <c r="AW105" s="24"/>
      <c r="AX105" s="24"/>
      <c r="BC105" s="19"/>
    </row>
    <row r="106" spans="2:55">
      <c r="B106" s="24">
        <v>3</v>
      </c>
      <c r="C106">
        <v>0.27</v>
      </c>
      <c r="D106" s="24">
        <v>3.0648450008439498</v>
      </c>
      <c r="E106" s="24">
        <v>1.2450819423868305E-2</v>
      </c>
      <c r="F106" s="24">
        <v>0.77661896401181019</v>
      </c>
      <c r="G106" s="24">
        <v>1.6240499731328719</v>
      </c>
      <c r="H106" s="24">
        <v>5.7336070247581306E-2</v>
      </c>
      <c r="I106" s="24">
        <v>7.065334217048555E-2</v>
      </c>
      <c r="J106" s="24">
        <v>28.034994125366211</v>
      </c>
      <c r="K106" s="24">
        <v>28.101081761216417</v>
      </c>
      <c r="L106" s="24">
        <v>0.78727802356598042</v>
      </c>
      <c r="M106" s="24">
        <v>1.9172230635185588</v>
      </c>
      <c r="N106" s="24">
        <f t="shared" si="0"/>
        <v>2.4686791751964008</v>
      </c>
      <c r="O106" s="24">
        <v>3.1997104875823239</v>
      </c>
      <c r="AN106" s="24"/>
      <c r="AO106" s="24"/>
      <c r="AP106" s="24"/>
      <c r="AQ106" s="24"/>
      <c r="AR106" s="24"/>
      <c r="AS106" s="24"/>
      <c r="AT106" s="24"/>
      <c r="AU106" s="24"/>
      <c r="AV106" s="24"/>
      <c r="AW106" s="24"/>
      <c r="AX106" s="24"/>
      <c r="BC106" s="19"/>
    </row>
    <row r="107" spans="2:55">
      <c r="B107" s="24">
        <v>3.25</v>
      </c>
      <c r="C107">
        <v>0.12</v>
      </c>
      <c r="D107" s="24">
        <v>3.3247077141956116</v>
      </c>
      <c r="E107" s="24">
        <v>5.6485734620941291E-3</v>
      </c>
      <c r="F107" s="24">
        <v>0.35225751930279564</v>
      </c>
      <c r="G107" s="24">
        <v>1.6243811994209831</v>
      </c>
      <c r="H107" s="24">
        <v>2.5622415193943048E-2</v>
      </c>
      <c r="I107" s="24">
        <v>3.0941814222172903E-2</v>
      </c>
      <c r="J107" s="24">
        <v>28.210996627807617</v>
      </c>
      <c r="K107" s="24">
        <v>28.102603870258875</v>
      </c>
      <c r="L107" s="24">
        <v>0.82057703522768455</v>
      </c>
      <c r="M107" s="24">
        <v>0.69360191603003585</v>
      </c>
      <c r="N107" s="24">
        <f t="shared" si="0"/>
        <v>1.9690194758733464</v>
      </c>
      <c r="O107" s="24">
        <v>3.4294459648388735</v>
      </c>
      <c r="AN107" s="24"/>
      <c r="AO107" s="24"/>
      <c r="AP107" s="24"/>
      <c r="AQ107" s="24"/>
      <c r="AR107" s="24"/>
      <c r="AS107" s="24"/>
      <c r="AT107" s="24"/>
      <c r="AU107" s="24"/>
      <c r="AV107" s="24"/>
      <c r="AW107" s="24"/>
      <c r="AX107" s="24"/>
      <c r="BC107" s="19"/>
    </row>
    <row r="108" spans="2:55">
      <c r="B108" s="24">
        <v>3.5</v>
      </c>
      <c r="C108">
        <v>0.03</v>
      </c>
      <c r="D108" s="24">
        <v>3.5531284344825678</v>
      </c>
      <c r="E108" s="24">
        <v>1.4346563347050569E-3</v>
      </c>
      <c r="F108" s="24">
        <v>8.9457037434353737E-2</v>
      </c>
      <c r="G108" s="24">
        <v>1.624586403414827</v>
      </c>
      <c r="H108" s="24">
        <v>6.43228397419597E-3</v>
      </c>
      <c r="I108" s="24">
        <v>7.8345593879150365E-3</v>
      </c>
      <c r="J108" s="24">
        <v>28.346006393432617</v>
      </c>
      <c r="K108" s="24">
        <v>28.103546800196987</v>
      </c>
      <c r="L108" s="24">
        <v>0.84372339211258207</v>
      </c>
      <c r="M108" s="24">
        <v>0.16895490422377829</v>
      </c>
      <c r="N108" s="24">
        <f t="shared" si="0"/>
        <v>1.888670909180985</v>
      </c>
      <c r="O108" s="24">
        <v>3.6150436474362828</v>
      </c>
      <c r="AN108" s="24"/>
      <c r="AO108" s="24"/>
      <c r="AP108" s="24"/>
      <c r="AQ108" s="24"/>
      <c r="AR108" s="24"/>
      <c r="AS108" s="24"/>
      <c r="AT108" s="24"/>
      <c r="AU108" s="24"/>
      <c r="AV108" s="24"/>
      <c r="AW108" s="24"/>
      <c r="AX108" s="24"/>
      <c r="BC108" s="19"/>
    </row>
    <row r="109" spans="2:55">
      <c r="B109" s="24">
        <v>3.75</v>
      </c>
      <c r="C109" s="19" t="s">
        <v>361</v>
      </c>
      <c r="M109" s="24">
        <v>4.4871457207819862E-2</v>
      </c>
      <c r="O109" s="24">
        <v>3.8547124226996345</v>
      </c>
      <c r="AN109" s="24"/>
      <c r="AO109" s="24"/>
      <c r="AP109" s="24"/>
      <c r="AQ109" s="24"/>
      <c r="AR109" s="24"/>
      <c r="AS109" s="24"/>
      <c r="AT109" s="24"/>
      <c r="AU109" s="24"/>
      <c r="AV109" s="24"/>
      <c r="AW109" s="24"/>
      <c r="AX109" s="24"/>
      <c r="BC109" s="19"/>
    </row>
    <row r="110" spans="2:55">
      <c r="B110" s="24">
        <v>4</v>
      </c>
      <c r="M110" s="24">
        <v>6.3515981932578723E-3</v>
      </c>
      <c r="O110" s="24">
        <v>4.054796860078647</v>
      </c>
      <c r="AN110" s="24"/>
      <c r="AO110" s="24"/>
      <c r="AP110" s="24"/>
      <c r="AQ110" s="24"/>
      <c r="AR110" s="24"/>
      <c r="AS110" s="24"/>
      <c r="AT110" s="24"/>
      <c r="AU110" s="24"/>
      <c r="AV110" s="24"/>
      <c r="AW110" s="24"/>
      <c r="AX110" s="24"/>
      <c r="BC110" s="19"/>
    </row>
    <row r="111" spans="2:55">
      <c r="AN111" s="24"/>
      <c r="AO111" s="24"/>
      <c r="AP111" s="24"/>
      <c r="AQ111" s="24"/>
      <c r="AR111" s="24"/>
      <c r="AS111" s="24"/>
      <c r="AT111" s="24"/>
      <c r="AU111" s="24"/>
      <c r="AV111" s="24"/>
      <c r="AW111" s="24"/>
      <c r="AX111" s="24"/>
      <c r="BC111" s="19"/>
    </row>
    <row r="112" spans="2:55">
      <c r="AN112" s="24"/>
      <c r="AO112" s="24"/>
      <c r="AP112" s="24"/>
      <c r="AQ112" s="24"/>
      <c r="AR112" s="24"/>
      <c r="AS112" s="24"/>
      <c r="AT112" s="24"/>
      <c r="AU112" s="24"/>
      <c r="AV112" s="24"/>
      <c r="AW112" s="24"/>
      <c r="AX112" s="24"/>
      <c r="BC112" s="19"/>
    </row>
    <row r="113" spans="40:55">
      <c r="AN113" s="24"/>
      <c r="AO113" s="24"/>
      <c r="AP113" s="24"/>
      <c r="AQ113" s="24"/>
      <c r="AR113" s="24"/>
      <c r="AS113" s="24"/>
      <c r="AT113" s="24"/>
      <c r="AU113" s="24"/>
      <c r="AV113" s="24"/>
      <c r="AW113" s="24"/>
      <c r="AX113" s="24"/>
      <c r="BC113" s="19"/>
    </row>
    <row r="114" spans="40:55">
      <c r="AN114" s="24"/>
      <c r="AO114" s="24"/>
      <c r="AP114" s="24"/>
      <c r="AQ114" s="24"/>
      <c r="AR114" s="24"/>
      <c r="AS114" s="24"/>
      <c r="AT114" s="24"/>
      <c r="AU114" s="24"/>
      <c r="AV114" s="24"/>
      <c r="AW114" s="24"/>
      <c r="AX114" s="24"/>
      <c r="BC114" s="19"/>
    </row>
    <row r="115" spans="40:55">
      <c r="AN115" s="24"/>
      <c r="AO115" s="24"/>
      <c r="AP115" s="24"/>
      <c r="AQ115" s="24"/>
      <c r="AR115" s="24"/>
      <c r="AS115" s="24"/>
      <c r="AT115" s="24"/>
      <c r="AU115" s="24"/>
      <c r="AV115" s="24"/>
      <c r="AW115" s="24"/>
      <c r="AX115" s="24"/>
      <c r="BC115" s="19"/>
    </row>
    <row r="116" spans="40:55">
      <c r="AN116" s="24"/>
      <c r="AO116" s="24"/>
      <c r="AP116" s="24"/>
      <c r="AQ116" s="24"/>
      <c r="AR116" s="24"/>
      <c r="AS116" s="24"/>
      <c r="AT116" s="24"/>
      <c r="AU116" s="24"/>
      <c r="AV116" s="24"/>
      <c r="AW116" s="24"/>
      <c r="AX116" s="24"/>
      <c r="BC116" s="19"/>
    </row>
    <row r="117" spans="40:55">
      <c r="AN117" s="24"/>
      <c r="AO117" s="24"/>
      <c r="AP117" s="24"/>
      <c r="AQ117" s="24"/>
      <c r="AR117" s="24"/>
      <c r="AS117" s="24"/>
      <c r="AT117" s="24"/>
      <c r="AU117" s="24"/>
      <c r="AV117" s="24"/>
      <c r="AW117" s="24"/>
      <c r="AX117" s="24"/>
      <c r="BC117" s="19"/>
    </row>
    <row r="118" spans="40:55">
      <c r="AN118" s="24"/>
      <c r="AO118" s="24"/>
      <c r="AP118" s="24"/>
      <c r="AQ118" s="24"/>
      <c r="AR118" s="24"/>
      <c r="AS118" s="24"/>
      <c r="AT118" s="24"/>
      <c r="AU118" s="24"/>
      <c r="AV118" s="24"/>
      <c r="AW118" s="24"/>
      <c r="AX118" s="24"/>
      <c r="BC118" s="19"/>
    </row>
    <row r="119" spans="40:55">
      <c r="AN119" s="24"/>
      <c r="AO119" s="24"/>
      <c r="AP119" s="24"/>
      <c r="AQ119" s="24"/>
      <c r="AR119" s="24"/>
      <c r="AS119" s="24"/>
      <c r="AT119" s="24"/>
      <c r="AU119" s="24"/>
      <c r="AV119" s="24"/>
      <c r="AW119" s="24"/>
      <c r="AX119" s="24"/>
      <c r="BC119" s="19"/>
    </row>
    <row r="120" spans="40:55">
      <c r="AN120" s="24"/>
      <c r="AO120" s="24"/>
      <c r="AP120" s="24"/>
      <c r="AQ120" s="24"/>
      <c r="AR120" s="24"/>
      <c r="AS120" s="24"/>
      <c r="AT120" s="24"/>
      <c r="AU120" s="24"/>
      <c r="AV120" s="24"/>
      <c r="AW120" s="24"/>
      <c r="AX120" s="24"/>
      <c r="BC120" s="19"/>
    </row>
    <row r="121" spans="40:55">
      <c r="AN121" s="24"/>
      <c r="AO121" s="24"/>
      <c r="AP121" s="24"/>
      <c r="AQ121" s="24"/>
      <c r="AR121" s="24"/>
      <c r="AS121" s="24"/>
      <c r="AT121" s="24"/>
      <c r="AU121" s="24"/>
      <c r="AV121" s="24"/>
      <c r="AW121" s="24"/>
      <c r="AX121" s="24"/>
      <c r="BC121" s="19"/>
    </row>
    <row r="122" spans="40:55">
      <c r="AN122" s="24"/>
      <c r="AO122" s="24"/>
      <c r="AP122" s="24"/>
      <c r="AQ122" s="24"/>
      <c r="AR122" s="24"/>
      <c r="AS122" s="24"/>
      <c r="AT122" s="24"/>
      <c r="AU122" s="24"/>
      <c r="AV122" s="24"/>
      <c r="AW122" s="24"/>
      <c r="AX122" s="24"/>
      <c r="BC122" s="19"/>
    </row>
    <row r="123" spans="40:55">
      <c r="AN123" s="24"/>
      <c r="AO123" s="24"/>
      <c r="AP123" s="24"/>
      <c r="AQ123" s="24"/>
      <c r="AR123" s="24"/>
      <c r="AS123" s="24"/>
      <c r="AT123" s="24"/>
      <c r="AU123" s="24"/>
      <c r="AV123" s="24"/>
      <c r="AW123" s="24"/>
      <c r="AX123" s="24"/>
      <c r="BC123" s="19"/>
    </row>
    <row r="124" spans="40:55">
      <c r="AN124" s="24"/>
      <c r="AO124" s="24"/>
      <c r="AP124" s="24"/>
      <c r="AQ124" s="24"/>
      <c r="AR124" s="24"/>
      <c r="AS124" s="24"/>
      <c r="AT124" s="24"/>
      <c r="AU124" s="24"/>
      <c r="AV124" s="24"/>
      <c r="AW124" s="24"/>
      <c r="AX124" s="24"/>
      <c r="BC124" s="19"/>
    </row>
    <row r="125" spans="40:55">
      <c r="AN125" s="24"/>
      <c r="AO125" s="24"/>
      <c r="AP125" s="24"/>
      <c r="AQ125" s="24"/>
      <c r="AR125" s="24"/>
      <c r="AS125" s="24"/>
      <c r="AT125" s="24"/>
      <c r="AU125" s="24"/>
      <c r="AV125" s="24"/>
      <c r="AW125" s="24"/>
      <c r="AX125" s="24"/>
      <c r="BC125" s="19"/>
    </row>
    <row r="126" spans="40:55">
      <c r="AN126" s="24"/>
      <c r="AO126" s="24"/>
      <c r="AP126" s="24"/>
      <c r="AQ126" s="24"/>
      <c r="AR126" s="24"/>
      <c r="AS126" s="24"/>
      <c r="AT126" s="24"/>
      <c r="AU126" s="24"/>
      <c r="AV126" s="24"/>
      <c r="AW126" s="24"/>
      <c r="AX126" s="24"/>
      <c r="BC126" s="19"/>
    </row>
    <row r="127" spans="40:55">
      <c r="AN127" s="24"/>
      <c r="AO127" s="24"/>
      <c r="AP127" s="24"/>
      <c r="AQ127" s="24"/>
      <c r="AR127" s="24"/>
      <c r="AS127" s="24"/>
      <c r="AT127" s="24"/>
      <c r="AU127" s="24"/>
      <c r="AV127" s="24"/>
      <c r="AW127" s="24"/>
      <c r="AX127" s="24"/>
      <c r="BC127" s="19"/>
    </row>
    <row r="128" spans="40:55">
      <c r="AN128" s="24"/>
      <c r="AO128" s="24"/>
      <c r="AP128" s="24"/>
      <c r="AQ128" s="24"/>
      <c r="AR128" s="24"/>
      <c r="AS128" s="24"/>
      <c r="AT128" s="24"/>
      <c r="AU128" s="24"/>
      <c r="AV128" s="24"/>
      <c r="AW128" s="24"/>
      <c r="AX128" s="24"/>
      <c r="BC128" s="19"/>
    </row>
    <row r="129" spans="40:55">
      <c r="AN129" s="24"/>
      <c r="AO129" s="24"/>
      <c r="AP129" s="24"/>
      <c r="AQ129" s="24"/>
      <c r="AR129" s="24"/>
      <c r="AS129" s="24"/>
      <c r="AT129" s="24"/>
      <c r="AU129" s="24"/>
      <c r="AV129" s="24"/>
      <c r="AW129" s="24"/>
      <c r="AX129" s="24"/>
      <c r="BC129" s="19"/>
    </row>
    <row r="130" spans="40:55">
      <c r="AN130" s="24"/>
      <c r="AO130" s="24"/>
      <c r="AP130" s="24"/>
      <c r="AQ130" s="24"/>
      <c r="AR130" s="24"/>
      <c r="AS130" s="24"/>
      <c r="AT130" s="24"/>
      <c r="AU130" s="24"/>
      <c r="AV130" s="24"/>
      <c r="AW130" s="24"/>
      <c r="AX130" s="24"/>
      <c r="BC130" s="19"/>
    </row>
    <row r="131" spans="40:55">
      <c r="AN131" s="24"/>
      <c r="AO131" s="24"/>
      <c r="AP131" s="24"/>
      <c r="AQ131" s="24"/>
      <c r="AR131" s="24"/>
      <c r="AS131" s="24"/>
      <c r="AT131" s="24"/>
      <c r="AU131" s="24"/>
      <c r="AV131" s="24"/>
      <c r="AW131" s="24"/>
      <c r="AX131" s="24"/>
      <c r="BC131" s="19"/>
    </row>
    <row r="132" spans="40:55">
      <c r="AN132" s="24"/>
      <c r="AO132" s="24"/>
      <c r="AP132" s="24"/>
      <c r="AQ132" s="24"/>
      <c r="AR132" s="24"/>
      <c r="AS132" s="24"/>
      <c r="AT132" s="24"/>
      <c r="AU132" s="24"/>
      <c r="AV132" s="24"/>
      <c r="AW132" s="24"/>
      <c r="AX132" s="24"/>
      <c r="BC132" s="19"/>
    </row>
    <row r="133" spans="40:55">
      <c r="AN133" s="24"/>
      <c r="AO133" s="24"/>
      <c r="AP133" s="24"/>
      <c r="AQ133" s="24"/>
      <c r="AR133" s="24"/>
      <c r="AS133" s="24"/>
      <c r="AT133" s="24"/>
      <c r="AU133" s="24"/>
      <c r="AV133" s="24"/>
      <c r="AW133" s="24"/>
      <c r="AX133" s="24"/>
      <c r="BC133" s="19"/>
    </row>
    <row r="134" spans="40:55">
      <c r="AN134" s="24"/>
      <c r="AO134" s="24"/>
      <c r="AP134" s="24"/>
      <c r="AQ134" s="24"/>
      <c r="AR134" s="24"/>
      <c r="AS134" s="24"/>
      <c r="AT134" s="24"/>
      <c r="AU134" s="24"/>
      <c r="AV134" s="24"/>
      <c r="AW134" s="24"/>
      <c r="AX134" s="24"/>
      <c r="BC134" s="19"/>
    </row>
    <row r="135" spans="40:55">
      <c r="AN135" s="24"/>
      <c r="AO135" s="24"/>
      <c r="AP135" s="24"/>
      <c r="AQ135" s="24"/>
      <c r="AR135" s="24"/>
      <c r="AS135" s="24"/>
      <c r="AT135" s="24"/>
      <c r="AU135" s="24"/>
      <c r="AV135" s="24"/>
      <c r="AW135" s="24"/>
      <c r="AX135" s="24"/>
      <c r="BC135" s="19"/>
    </row>
    <row r="136" spans="40:55">
      <c r="AN136" s="24"/>
      <c r="AO136" s="24"/>
      <c r="AP136" s="24"/>
      <c r="AQ136" s="24"/>
      <c r="AR136" s="24"/>
      <c r="AS136" s="24"/>
      <c r="AT136" s="24"/>
      <c r="AU136" s="24"/>
      <c r="AV136" s="24"/>
      <c r="AW136" s="24"/>
      <c r="AX136" s="24"/>
      <c r="BC136" s="19"/>
    </row>
    <row r="137" spans="40:55">
      <c r="AN137" s="24"/>
      <c r="AO137" s="24"/>
      <c r="AP137" s="24"/>
      <c r="AQ137" s="24"/>
      <c r="AR137" s="24"/>
      <c r="AS137" s="24"/>
      <c r="AT137" s="24"/>
      <c r="AU137" s="24"/>
      <c r="AV137" s="24"/>
      <c r="AW137" s="24"/>
      <c r="AX137" s="24"/>
      <c r="BC137" s="19"/>
    </row>
    <row r="138" spans="40:55">
      <c r="AN138" s="24"/>
      <c r="AO138" s="24"/>
      <c r="AP138" s="24"/>
      <c r="AQ138" s="24"/>
      <c r="AR138" s="24"/>
      <c r="AS138" s="24"/>
      <c r="AT138" s="24"/>
      <c r="AU138" s="24"/>
      <c r="AV138" s="24"/>
      <c r="AW138" s="24"/>
      <c r="AX138" s="24"/>
      <c r="BC138" s="19"/>
    </row>
    <row r="139" spans="40:55">
      <c r="AN139" s="24"/>
      <c r="AO139" s="24"/>
      <c r="AP139" s="24"/>
      <c r="AQ139" s="24"/>
      <c r="AR139" s="24"/>
      <c r="AS139" s="24"/>
      <c r="AT139" s="24"/>
      <c r="AU139" s="24"/>
      <c r="AV139" s="24"/>
      <c r="AW139" s="24"/>
      <c r="AX139" s="24"/>
      <c r="BC139" s="19"/>
    </row>
    <row r="140" spans="40:55">
      <c r="AN140" s="24"/>
      <c r="AO140" s="24"/>
      <c r="AP140" s="24"/>
      <c r="AQ140" s="24"/>
      <c r="AR140" s="24"/>
      <c r="AS140" s="24"/>
      <c r="AT140" s="24"/>
      <c r="AU140" s="24"/>
      <c r="AV140" s="24"/>
      <c r="AW140" s="24"/>
      <c r="AX140" s="24"/>
      <c r="BC140" s="19"/>
    </row>
    <row r="141" spans="40:55">
      <c r="AN141" s="24"/>
      <c r="AO141" s="24"/>
      <c r="AP141" s="24"/>
      <c r="AQ141" s="24"/>
      <c r="AR141" s="24"/>
      <c r="AS141" s="24"/>
      <c r="AT141" s="24"/>
      <c r="AU141" s="24"/>
      <c r="AV141" s="24"/>
      <c r="AW141" s="24"/>
      <c r="AX141" s="24"/>
      <c r="BC141" s="19"/>
    </row>
    <row r="142" spans="40:55">
      <c r="AN142" s="24"/>
      <c r="AO142" s="24"/>
      <c r="AP142" s="24"/>
      <c r="AQ142" s="24"/>
      <c r="AR142" s="24"/>
      <c r="AS142" s="24"/>
      <c r="AT142" s="24"/>
      <c r="AU142" s="24"/>
      <c r="AV142" s="24"/>
      <c r="AW142" s="24"/>
      <c r="AX142" s="24"/>
      <c r="BC142" s="19"/>
    </row>
    <row r="143" spans="40:55">
      <c r="AN143" s="24"/>
      <c r="AO143" s="24"/>
      <c r="AP143" s="24"/>
      <c r="AQ143" s="24"/>
      <c r="AR143" s="24"/>
      <c r="AS143" s="24"/>
      <c r="AT143" s="24"/>
      <c r="AU143" s="24"/>
      <c r="AV143" s="24"/>
      <c r="AW143" s="24"/>
      <c r="AX143" s="24"/>
      <c r="BC143" s="19"/>
    </row>
    <row r="144" spans="40:55">
      <c r="AN144" s="24"/>
      <c r="AO144" s="24"/>
      <c r="AP144" s="24"/>
      <c r="AQ144" s="24"/>
      <c r="AR144" s="24"/>
      <c r="AS144" s="24"/>
      <c r="AT144" s="24"/>
      <c r="AU144" s="24"/>
      <c r="AV144" s="24"/>
      <c r="AW144" s="24"/>
      <c r="AX144" s="24"/>
      <c r="BC144" s="19"/>
    </row>
    <row r="145" spans="40:55">
      <c r="AN145" s="24"/>
      <c r="AO145" s="24"/>
      <c r="AP145" s="24"/>
      <c r="AQ145" s="24"/>
      <c r="AR145" s="24"/>
      <c r="AS145" s="24"/>
      <c r="AT145" s="24"/>
      <c r="AU145" s="24"/>
      <c r="AV145" s="24"/>
      <c r="AW145" s="24"/>
      <c r="AX145" s="24"/>
      <c r="BC145" s="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1:AZ98"/>
  <sheetViews>
    <sheetView topLeftCell="A46" workbookViewId="0">
      <selection activeCell="C56" sqref="C56:E75"/>
    </sheetView>
  </sheetViews>
  <sheetFormatPr defaultRowHeight="12.75"/>
  <sheetData>
    <row r="1" spans="2:35">
      <c r="C1" s="19" t="s">
        <v>317</v>
      </c>
      <c r="P1" s="19"/>
      <c r="T1" s="19"/>
      <c r="U1" s="24"/>
      <c r="V1" s="24"/>
      <c r="W1" s="24"/>
      <c r="Y1" s="24"/>
      <c r="AA1" s="19"/>
    </row>
    <row r="2" spans="2:35">
      <c r="C2" s="19" t="s">
        <v>310</v>
      </c>
      <c r="J2" s="19" t="s">
        <v>311</v>
      </c>
      <c r="P2" s="19"/>
      <c r="Q2" s="19"/>
      <c r="T2" s="19"/>
      <c r="U2" s="24"/>
      <c r="V2" s="24"/>
      <c r="W2" s="24"/>
      <c r="Y2" s="24"/>
      <c r="AA2" s="19" t="s">
        <v>330</v>
      </c>
    </row>
    <row r="3" spans="2:35">
      <c r="Q3" s="19"/>
      <c r="R3" s="19"/>
      <c r="S3" s="19"/>
      <c r="T3" s="19"/>
      <c r="U3" s="24"/>
      <c r="V3" s="24"/>
      <c r="W3" s="24"/>
      <c r="X3" s="19"/>
      <c r="Y3" s="24"/>
      <c r="AA3" s="24">
        <v>0.47687804400920869</v>
      </c>
      <c r="AI3" s="19"/>
    </row>
    <row r="4" spans="2:35">
      <c r="C4" s="24" t="s">
        <v>154</v>
      </c>
      <c r="D4" s="24" t="s">
        <v>155</v>
      </c>
      <c r="E4" s="24" t="s">
        <v>156</v>
      </c>
      <c r="F4" s="24" t="s">
        <v>159</v>
      </c>
      <c r="G4" s="24" t="s">
        <v>238</v>
      </c>
      <c r="H4" s="24" t="s">
        <v>157</v>
      </c>
      <c r="J4" s="24" t="s">
        <v>154</v>
      </c>
      <c r="K4" s="24" t="s">
        <v>155</v>
      </c>
      <c r="L4" s="24" t="s">
        <v>156</v>
      </c>
      <c r="M4" s="24" t="s">
        <v>159</v>
      </c>
      <c r="O4" s="19"/>
      <c r="P4" s="19"/>
      <c r="Q4" s="19"/>
      <c r="R4" s="19"/>
      <c r="S4" s="19"/>
      <c r="T4" s="24"/>
      <c r="U4" s="24"/>
      <c r="V4" s="14"/>
      <c r="W4" s="19"/>
      <c r="X4" s="24"/>
      <c r="Y4" s="24"/>
      <c r="AA4" s="24" t="s">
        <v>154</v>
      </c>
      <c r="AB4" s="24" t="s">
        <v>155</v>
      </c>
      <c r="AC4" s="24" t="s">
        <v>156</v>
      </c>
      <c r="AD4" s="24" t="s">
        <v>159</v>
      </c>
      <c r="AE4" s="24" t="s">
        <v>238</v>
      </c>
      <c r="AF4" s="24" t="s">
        <v>157</v>
      </c>
      <c r="AG4" s="24" t="s">
        <v>160</v>
      </c>
      <c r="AH4" s="24" t="s">
        <v>265</v>
      </c>
      <c r="AI4" s="27"/>
    </row>
    <row r="5" spans="2:35">
      <c r="B5" s="24"/>
      <c r="C5" s="24">
        <v>0.72613444865691157</v>
      </c>
      <c r="D5" s="24">
        <v>3.901690225514332</v>
      </c>
      <c r="E5" s="24">
        <v>675.65815149500406</v>
      </c>
      <c r="F5" s="24">
        <v>0.58497220277786255</v>
      </c>
      <c r="G5" s="24">
        <v>31.924776235771681</v>
      </c>
      <c r="H5" s="24">
        <v>30.722916434255403</v>
      </c>
      <c r="J5" s="24">
        <v>0.69546166006216747</v>
      </c>
      <c r="K5" s="24">
        <v>3.7637299081480586</v>
      </c>
      <c r="L5" s="24">
        <v>642.85683733489645</v>
      </c>
      <c r="M5" s="24">
        <v>0.59308046102523804</v>
      </c>
      <c r="Q5" s="24"/>
      <c r="T5" s="24"/>
      <c r="U5" s="24"/>
      <c r="V5" s="24"/>
      <c r="W5" s="24"/>
      <c r="X5" s="24"/>
      <c r="Y5" s="24"/>
      <c r="AA5" s="24">
        <v>0.73862647345790511</v>
      </c>
      <c r="AB5" s="24">
        <v>3.9663591242797627</v>
      </c>
      <c r="AC5" s="24">
        <v>691.3436433284478</v>
      </c>
      <c r="AD5" s="24">
        <v>0.58117580413818359</v>
      </c>
      <c r="AE5" s="24">
        <v>31.910420946858142</v>
      </c>
      <c r="AF5" s="24">
        <v>30.858949065072817</v>
      </c>
      <c r="AG5" s="24">
        <v>32.765571594238281</v>
      </c>
      <c r="AH5" s="24">
        <v>0.4848612656072282</v>
      </c>
    </row>
    <row r="6" spans="2:35">
      <c r="B6" s="24"/>
      <c r="C6" s="24">
        <v>0.77209846856494957</v>
      </c>
      <c r="D6" s="24">
        <v>4.1603658205760556</v>
      </c>
      <c r="E6" s="24">
        <v>679.96584736469231</v>
      </c>
      <c r="F6" s="24">
        <v>0.61980324983596802</v>
      </c>
      <c r="G6" s="24">
        <v>31.867355080117523</v>
      </c>
      <c r="H6" s="24">
        <v>30.837597412986305</v>
      </c>
      <c r="J6" s="24">
        <v>0.73155879602666718</v>
      </c>
      <c r="K6" s="24">
        <v>3.9577366044443485</v>
      </c>
      <c r="L6" s="24">
        <v>634.68460876635891</v>
      </c>
      <c r="M6" s="24">
        <v>0.63168179988861084</v>
      </c>
      <c r="O6" s="24"/>
      <c r="P6" s="24"/>
      <c r="Q6" s="24"/>
      <c r="S6" s="24"/>
      <c r="T6" s="24"/>
      <c r="U6" s="24"/>
      <c r="V6" s="24"/>
      <c r="W6" s="24"/>
      <c r="X6" s="24"/>
      <c r="Y6" s="24"/>
      <c r="AA6" s="24">
        <v>0.75951787499433809</v>
      </c>
      <c r="AB6" s="24">
        <v>4.0741406222221483</v>
      </c>
      <c r="AC6" s="24">
        <v>660.49033720462546</v>
      </c>
      <c r="AD6" s="24">
        <v>0.62485462427139282</v>
      </c>
      <c r="AE6" s="24">
        <v>31.886495465335575</v>
      </c>
      <c r="AF6" s="24">
        <v>30.660724826864048</v>
      </c>
      <c r="AG6" s="24">
        <v>32.476554870605469</v>
      </c>
      <c r="AH6" s="24">
        <v>0.48145839651576977</v>
      </c>
    </row>
    <row r="7" spans="2:35">
      <c r="B7" s="24"/>
      <c r="C7" s="24">
        <v>0.81853984265635948</v>
      </c>
      <c r="D7" s="24">
        <v>4.397485116049304</v>
      </c>
      <c r="E7" s="24">
        <v>679.12758342853351</v>
      </c>
      <c r="F7" s="24">
        <v>0.65593749284744263</v>
      </c>
      <c r="G7" s="24">
        <v>31.814719020767882</v>
      </c>
      <c r="H7" s="24">
        <v>30.905338005196828</v>
      </c>
      <c r="J7" s="24">
        <v>0.76636103060429839</v>
      </c>
      <c r="K7" s="24">
        <v>4.1517433007406392</v>
      </c>
      <c r="L7" s="24">
        <v>627.43019554765988</v>
      </c>
      <c r="M7" s="24">
        <v>0.67030817270278931</v>
      </c>
      <c r="O7" s="24"/>
      <c r="P7" s="24"/>
      <c r="Q7" s="24"/>
      <c r="S7" s="24"/>
      <c r="T7" s="24"/>
      <c r="U7" s="24"/>
      <c r="V7" s="24"/>
      <c r="W7" s="24"/>
      <c r="X7" s="24"/>
      <c r="Y7" s="24"/>
      <c r="AA7" s="24">
        <v>0.77209846856494957</v>
      </c>
      <c r="AB7" s="24">
        <v>4.1388095209875786</v>
      </c>
      <c r="AC7" s="24">
        <v>624.76958127804016</v>
      </c>
      <c r="AD7" s="24">
        <v>0.67106562852859497</v>
      </c>
      <c r="AE7" s="24">
        <v>31.872140176422036</v>
      </c>
      <c r="AF7" s="24">
        <v>30.384968770585804</v>
      </c>
      <c r="AG7" s="24">
        <v>32.117557525634766</v>
      </c>
      <c r="AH7" s="24">
        <v>0.47712656654966384</v>
      </c>
    </row>
    <row r="8" spans="2:35">
      <c r="B8" s="24"/>
      <c r="C8" s="24">
        <v>0.86552972868697564</v>
      </c>
      <c r="D8" s="24">
        <v>4.6346044115225498</v>
      </c>
      <c r="E8" s="24">
        <v>678.3403480539946</v>
      </c>
      <c r="F8" s="24">
        <v>0.69210892915725708</v>
      </c>
      <c r="G8" s="24">
        <v>31.762082961418241</v>
      </c>
      <c r="H8" s="24">
        <v>30.973189137703276</v>
      </c>
      <c r="J8" s="24">
        <v>0.79960731086425918</v>
      </c>
      <c r="K8" s="24">
        <v>4.3069486577776726</v>
      </c>
      <c r="L8" s="24">
        <v>613.43806818665871</v>
      </c>
      <c r="M8" s="24">
        <v>0.71122729778289795</v>
      </c>
      <c r="O8" s="24"/>
      <c r="P8" s="24"/>
      <c r="Q8" s="24"/>
      <c r="S8" s="24"/>
      <c r="W8" s="24"/>
      <c r="X8" s="24"/>
      <c r="Y8" s="24"/>
      <c r="AA8" s="24">
        <v>0.79736664929636225</v>
      </c>
      <c r="AB8" s="24">
        <v>4.2681473185184409</v>
      </c>
      <c r="AC8" s="24">
        <v>605.97860515664706</v>
      </c>
      <c r="AD8" s="24">
        <v>0.71349602937698364</v>
      </c>
      <c r="AE8" s="24">
        <v>31.843429598594959</v>
      </c>
      <c r="AF8" s="24">
        <v>30.256451721867546</v>
      </c>
      <c r="AG8" s="24">
        <v>31.907566070556641</v>
      </c>
      <c r="AH8" s="24">
        <v>0.48385006983675888</v>
      </c>
    </row>
    <row r="9" spans="2:35">
      <c r="B9" s="24"/>
      <c r="C9" s="24">
        <v>0.90009434322361959</v>
      </c>
      <c r="D9" s="24">
        <v>4.807054808230367</v>
      </c>
      <c r="E9" s="24">
        <v>522.44139577776741</v>
      </c>
      <c r="F9" s="24">
        <v>0.9320751428604126</v>
      </c>
      <c r="G9" s="24">
        <v>31.723802190982138</v>
      </c>
      <c r="H9" s="24">
        <v>29.534643957506923</v>
      </c>
      <c r="J9" s="24">
        <v>0.94013857649811128</v>
      </c>
      <c r="K9" s="24">
        <v>5.0053727644443198</v>
      </c>
      <c r="L9" s="24">
        <v>550.79946356827963</v>
      </c>
      <c r="M9" s="24">
        <v>0.92056053876876831</v>
      </c>
      <c r="O9" s="24"/>
      <c r="P9" s="24"/>
      <c r="Q9" s="24"/>
      <c r="S9" s="24"/>
      <c r="W9" s="24"/>
      <c r="X9" s="24"/>
      <c r="Y9" s="24"/>
      <c r="AA9" s="24">
        <v>0.86983125776507797</v>
      </c>
      <c r="AB9" s="24">
        <v>4.6346044115225498</v>
      </c>
      <c r="AC9" s="24">
        <v>498.33453578869535</v>
      </c>
      <c r="AD9" s="24">
        <v>0.94210892915725708</v>
      </c>
      <c r="AE9" s="24">
        <v>31.762082961418241</v>
      </c>
      <c r="AF9" s="24">
        <v>29.181975855520019</v>
      </c>
      <c r="AG9" s="24">
        <v>30.509552001953125</v>
      </c>
      <c r="AH9" s="24">
        <v>0.47705441354007494</v>
      </c>
    </row>
    <row r="10" spans="2:35">
      <c r="B10" s="24"/>
      <c r="C10" s="24">
        <v>0.93502617060602988</v>
      </c>
      <c r="D10" s="24">
        <v>4.9795052049381834</v>
      </c>
      <c r="E10" s="24">
        <v>430.37340178786167</v>
      </c>
      <c r="F10" s="24">
        <v>1.1720609664916992</v>
      </c>
      <c r="G10" s="24">
        <v>31.685521420546035</v>
      </c>
      <c r="H10" s="24">
        <v>28.267740377562152</v>
      </c>
      <c r="J10" s="24">
        <v>0.99719890039476555</v>
      </c>
      <c r="K10" s="24">
        <v>5.3157834785183864</v>
      </c>
      <c r="L10" s="24">
        <v>467.19913364428459</v>
      </c>
      <c r="M10" s="24">
        <v>1.1525895595550537</v>
      </c>
      <c r="O10" s="24"/>
      <c r="P10" s="24"/>
      <c r="Q10" s="24"/>
      <c r="S10" s="24"/>
      <c r="W10" s="24"/>
      <c r="X10" s="24"/>
      <c r="Y10" s="24"/>
      <c r="AA10" s="24">
        <v>0.94382157011456103</v>
      </c>
      <c r="AB10" s="24">
        <v>5.0010615045266595</v>
      </c>
      <c r="AC10" s="24">
        <v>432.6981073287688</v>
      </c>
      <c r="AD10" s="24">
        <v>1.1708105802536011</v>
      </c>
      <c r="AE10" s="24">
        <v>31.680736324241522</v>
      </c>
      <c r="AF10" s="24">
        <v>28.312261200268704</v>
      </c>
      <c r="AG10" s="24">
        <v>29.395565032958984</v>
      </c>
      <c r="AH10" s="24">
        <v>0.48418466411906008</v>
      </c>
    </row>
    <row r="11" spans="2:35">
      <c r="B11" s="24"/>
      <c r="C11" s="24">
        <v>0.97036320586896574</v>
      </c>
      <c r="D11" s="24">
        <v>5.1519556016459989</v>
      </c>
      <c r="E11" s="24">
        <v>369.59530094899276</v>
      </c>
      <c r="F11" s="24">
        <v>1.4120663404464722</v>
      </c>
      <c r="G11" s="24">
        <v>31.647240650109932</v>
      </c>
      <c r="H11" s="24">
        <v>27.150488579853594</v>
      </c>
      <c r="J11" s="24">
        <v>0.99719890039476555</v>
      </c>
      <c r="K11" s="24">
        <v>5.2769821392591272</v>
      </c>
      <c r="L11" s="24">
        <v>380.5138932362857</v>
      </c>
      <c r="M11" s="24">
        <v>1.4048324823379517</v>
      </c>
      <c r="O11" s="24"/>
      <c r="P11" s="24"/>
      <c r="Q11" s="24"/>
      <c r="S11" s="24"/>
      <c r="W11" s="24"/>
      <c r="X11" s="24"/>
      <c r="Y11" s="24"/>
      <c r="AA11" s="24">
        <v>0.98819707045172556</v>
      </c>
      <c r="AB11" s="24">
        <v>5.21662450041143</v>
      </c>
      <c r="AC11" s="24">
        <v>375.22918576088449</v>
      </c>
      <c r="AD11" s="24">
        <v>1.4083234071731567</v>
      </c>
      <c r="AE11" s="24">
        <v>31.632885361196394</v>
      </c>
      <c r="AF11" s="24">
        <v>27.286799149392625</v>
      </c>
      <c r="AG11" s="24">
        <v>28.213567733764648</v>
      </c>
      <c r="AH11" s="24">
        <v>0.48158495130522067</v>
      </c>
    </row>
    <row r="12" spans="2:35">
      <c r="B12" s="24"/>
      <c r="C12" s="24">
        <v>0.97481066871124766</v>
      </c>
      <c r="D12" s="24">
        <v>5.1950682008229538</v>
      </c>
      <c r="E12" s="24">
        <v>317.10633323043987</v>
      </c>
      <c r="F12" s="24">
        <v>1.6595708131790161</v>
      </c>
      <c r="G12" s="24">
        <v>31.637670457500903</v>
      </c>
      <c r="H12" s="24">
        <v>25.881635480924093</v>
      </c>
      <c r="J12" s="24">
        <v>0.99719890039476555</v>
      </c>
      <c r="K12" s="24">
        <v>5.2769821392591272</v>
      </c>
      <c r="L12" s="24">
        <v>323.02863579559113</v>
      </c>
      <c r="M12" s="24">
        <v>1.6548324823379517</v>
      </c>
      <c r="O12" s="24"/>
      <c r="P12" s="24"/>
      <c r="Q12" s="24"/>
      <c r="S12" s="24"/>
      <c r="W12" s="24"/>
      <c r="X12" s="24"/>
      <c r="Y12" s="24"/>
      <c r="AA12" s="24">
        <v>1.0378608453623939</v>
      </c>
      <c r="AB12" s="24">
        <v>5.4537437958846713</v>
      </c>
      <c r="AC12" s="24">
        <v>335.92155218153334</v>
      </c>
      <c r="AD12" s="24">
        <v>1.644622802734375</v>
      </c>
      <c r="AE12" s="24">
        <v>31.580249301846752</v>
      </c>
      <c r="AF12" s="24">
        <v>26.437456415465217</v>
      </c>
      <c r="AG12" s="24">
        <v>27.244569778442383</v>
      </c>
      <c r="AH12" s="24">
        <v>0.48208586539924664</v>
      </c>
    </row>
    <row r="13" spans="2:35">
      <c r="B13" s="24"/>
      <c r="C13" s="24">
        <v>1.0106535006748827</v>
      </c>
      <c r="D13" s="24">
        <v>5.3675185975307658</v>
      </c>
      <c r="E13" s="24">
        <v>286.23366130841441</v>
      </c>
      <c r="F13" s="24">
        <v>1.899600625038147</v>
      </c>
      <c r="G13" s="24">
        <v>31.599389687064804</v>
      </c>
      <c r="H13" s="24">
        <v>25.00857874396273</v>
      </c>
      <c r="J13" s="24">
        <v>0.99719890039476555</v>
      </c>
      <c r="K13" s="24">
        <v>5.2769821392591272</v>
      </c>
      <c r="L13" s="24">
        <v>280.63269904383094</v>
      </c>
      <c r="M13" s="24">
        <v>1.9048324823379517</v>
      </c>
      <c r="O13" s="24"/>
      <c r="P13" s="24"/>
      <c r="Q13" s="24"/>
      <c r="S13" s="24"/>
      <c r="W13" s="24"/>
      <c r="X13" s="24"/>
      <c r="Y13" s="24"/>
      <c r="AA13" s="24">
        <v>1.0607625252018069</v>
      </c>
      <c r="AB13" s="24">
        <v>5.561525293827053</v>
      </c>
      <c r="AC13" s="24">
        <v>298.33737560960049</v>
      </c>
      <c r="AD13" s="24">
        <v>1.8884074687957764</v>
      </c>
      <c r="AE13" s="24">
        <v>31.556323820324188</v>
      </c>
      <c r="AF13" s="24">
        <v>25.426199312991514</v>
      </c>
      <c r="AG13" s="24">
        <v>26.186563491821289</v>
      </c>
      <c r="AH13" s="24">
        <v>0.48233853156297268</v>
      </c>
    </row>
    <row r="14" spans="2:35">
      <c r="B14" s="24"/>
      <c r="C14" s="24">
        <v>1.0151674987555988</v>
      </c>
      <c r="D14" s="24">
        <v>5.3890748971192419</v>
      </c>
      <c r="E14" s="24">
        <v>254.10749660699304</v>
      </c>
      <c r="F14" s="24">
        <v>2.1483557224273682</v>
      </c>
      <c r="G14" s="24">
        <v>31.594604590760291</v>
      </c>
      <c r="H14" s="24">
        <v>23.900955870879081</v>
      </c>
      <c r="J14" s="24">
        <v>0.99719890039476555</v>
      </c>
      <c r="K14" s="24">
        <v>5.2769821392591272</v>
      </c>
      <c r="L14" s="24">
        <v>248.07417109317899</v>
      </c>
      <c r="M14" s="24">
        <v>2.1548326015472412</v>
      </c>
      <c r="O14" s="24"/>
      <c r="P14" s="24"/>
      <c r="Q14" s="24"/>
      <c r="S14" s="24"/>
      <c r="W14" s="24"/>
      <c r="X14" s="24"/>
      <c r="Y14" s="24"/>
      <c r="AA14" s="24">
        <v>1.1025603110975066</v>
      </c>
      <c r="AB14" s="24">
        <v>5.755531990123341</v>
      </c>
      <c r="AC14" s="24">
        <v>274.08083197993614</v>
      </c>
      <c r="AD14" s="24">
        <v>2.1272387504577637</v>
      </c>
      <c r="AE14" s="24">
        <v>31.513257953583572</v>
      </c>
      <c r="AF14" s="24">
        <v>24.691504093252508</v>
      </c>
      <c r="AG14" s="24">
        <v>25.39857292175293</v>
      </c>
      <c r="AH14" s="24">
        <v>0.48594057883595376</v>
      </c>
    </row>
    <row r="15" spans="2:35">
      <c r="B15" s="24"/>
      <c r="C15" s="24">
        <v>1.0424241111822012</v>
      </c>
      <c r="D15" s="24">
        <v>5.5184126946501006</v>
      </c>
      <c r="E15" s="24">
        <v>233.81024803331019</v>
      </c>
      <c r="F15" s="24">
        <v>2.3908927440643311</v>
      </c>
      <c r="G15" s="24">
        <v>31.565894012933214</v>
      </c>
      <c r="H15" s="24">
        <v>23.120618382890157</v>
      </c>
      <c r="J15" s="24">
        <v>0.99719890039476555</v>
      </c>
      <c r="K15" s="24">
        <v>5.2769821392591272</v>
      </c>
      <c r="L15" s="24">
        <v>222.28503928740724</v>
      </c>
      <c r="M15" s="24">
        <v>2.4048326015472412</v>
      </c>
      <c r="O15" s="24"/>
      <c r="P15" s="24"/>
      <c r="Q15" s="24"/>
      <c r="S15" s="24"/>
      <c r="W15" s="24"/>
      <c r="X15" s="24"/>
      <c r="Y15" s="24"/>
      <c r="AA15" s="24">
        <v>1.1072528592638571</v>
      </c>
      <c r="AB15" s="24">
        <v>5.7770882897118172</v>
      </c>
      <c r="AC15" s="24">
        <v>246.30437335861956</v>
      </c>
      <c r="AD15" s="24">
        <v>2.3759994506835937</v>
      </c>
      <c r="AE15" s="24">
        <v>31.50847285727906</v>
      </c>
      <c r="AF15" s="24">
        <v>23.678552934868286</v>
      </c>
      <c r="AG15" s="24">
        <v>24.418577194213867</v>
      </c>
      <c r="AH15" s="24">
        <v>0.47707487386173758</v>
      </c>
    </row>
    <row r="16" spans="2:35">
      <c r="B16" s="24"/>
      <c r="C16" s="24">
        <v>1.0469958019465719</v>
      </c>
      <c r="D16" s="24">
        <v>5.5399689942385777</v>
      </c>
      <c r="E16" s="24">
        <v>212.60352069201693</v>
      </c>
      <c r="F16" s="24">
        <v>2.6396498680114746</v>
      </c>
      <c r="G16" s="24">
        <v>31.561108916628701</v>
      </c>
      <c r="H16" s="24">
        <v>22.17992654153419</v>
      </c>
      <c r="J16" s="24">
        <v>0.99719890039476555</v>
      </c>
      <c r="K16" s="24">
        <v>5.2769821392591272</v>
      </c>
      <c r="L16" s="24">
        <v>201.35292419220124</v>
      </c>
      <c r="M16" s="24">
        <v>2.6548326015472412</v>
      </c>
      <c r="O16" s="24"/>
      <c r="P16" s="24"/>
      <c r="Q16" s="24"/>
      <c r="S16" s="24"/>
      <c r="W16" s="24"/>
      <c r="X16" s="24"/>
      <c r="Y16" s="24"/>
      <c r="AA16" s="24">
        <v>1.1213916678054758</v>
      </c>
      <c r="AB16" s="24">
        <v>5.8417571884772475</v>
      </c>
      <c r="AC16" s="24">
        <v>225.66977837939794</v>
      </c>
      <c r="AD16" s="24">
        <v>2.6222829818725586</v>
      </c>
      <c r="AE16" s="24">
        <v>31.494117568365521</v>
      </c>
      <c r="AF16" s="24">
        <v>22.83088810164865</v>
      </c>
      <c r="AG16" s="24">
        <v>23.602581024169922</v>
      </c>
      <c r="AH16" s="24">
        <v>0.48141896359518854</v>
      </c>
    </row>
    <row r="17" spans="2:34">
      <c r="B17" s="24"/>
      <c r="C17" s="24">
        <v>1.0607625252018069</v>
      </c>
      <c r="D17" s="24">
        <v>5.6046378930040071</v>
      </c>
      <c r="E17" s="24">
        <v>196.73073152321203</v>
      </c>
      <c r="F17" s="24">
        <v>2.8859233856201172</v>
      </c>
      <c r="G17" s="24">
        <v>31.546753627715162</v>
      </c>
      <c r="H17" s="24">
        <v>21.404517405477563</v>
      </c>
      <c r="J17" s="24">
        <v>0.99719890039476555</v>
      </c>
      <c r="K17" s="24">
        <v>5.2769821392591272</v>
      </c>
      <c r="L17" s="24">
        <v>184.02379050240779</v>
      </c>
      <c r="M17" s="24">
        <v>2.9048326015472412</v>
      </c>
      <c r="O17" s="24"/>
      <c r="P17" s="24"/>
      <c r="Q17" s="24"/>
      <c r="S17" s="24"/>
      <c r="W17" s="24"/>
      <c r="X17" s="24"/>
      <c r="Y17" s="24"/>
      <c r="AA17" s="24">
        <v>1.1451685250175612</v>
      </c>
      <c r="AB17" s="24">
        <v>5.9495386864196291</v>
      </c>
      <c r="AC17" s="24">
        <v>210.28204170132051</v>
      </c>
      <c r="AD17" s="24">
        <v>2.8660948276519775</v>
      </c>
      <c r="AE17" s="24">
        <v>31.470192086842957</v>
      </c>
      <c r="AF17" s="24">
        <v>22.14116316316213</v>
      </c>
      <c r="AG17" s="24">
        <v>22.934572219848633</v>
      </c>
      <c r="AH17" s="24">
        <v>0.48761707752182393</v>
      </c>
    </row>
    <row r="18" spans="2:34">
      <c r="B18" s="24"/>
      <c r="C18" s="24">
        <v>1.0699845467701115</v>
      </c>
      <c r="D18" s="24">
        <v>5.6477504921809603</v>
      </c>
      <c r="E18" s="24">
        <v>182.58432299336405</v>
      </c>
      <c r="F18" s="24">
        <v>3.1334404945373535</v>
      </c>
      <c r="G18" s="24">
        <v>31.537183435106137</v>
      </c>
      <c r="H18" s="24">
        <v>20.645084284290885</v>
      </c>
      <c r="J18" s="24">
        <v>0.99719890039476555</v>
      </c>
      <c r="K18" s="24">
        <v>5.2769821392591272</v>
      </c>
      <c r="L18" s="24">
        <v>169.4410995463916</v>
      </c>
      <c r="M18" s="24">
        <v>3.1548326015472412</v>
      </c>
      <c r="O18" s="24"/>
      <c r="P18" s="24"/>
      <c r="Q18" s="24"/>
      <c r="S18" s="24"/>
      <c r="W18" s="24"/>
      <c r="X18" s="24"/>
      <c r="Y18" s="24"/>
      <c r="AA18" s="24">
        <v>1.1213916678054758</v>
      </c>
      <c r="AB18" s="24">
        <v>5.8417571884772475</v>
      </c>
      <c r="AC18" s="24">
        <v>189.53119246807233</v>
      </c>
      <c r="AD18" s="24">
        <v>3.1222829818725586</v>
      </c>
      <c r="AE18" s="24">
        <v>31.494117568365521</v>
      </c>
      <c r="AF18" s="24">
        <v>21.061077666176615</v>
      </c>
      <c r="AG18" s="24">
        <v>21.989572525024414</v>
      </c>
      <c r="AH18" s="24">
        <v>0.4802485502194126</v>
      </c>
    </row>
    <row r="19" spans="2:34">
      <c r="B19" s="24"/>
      <c r="C19" s="24">
        <v>1.0699845467701115</v>
      </c>
      <c r="D19" s="24">
        <v>5.6477504921809603</v>
      </c>
      <c r="E19" s="24">
        <v>169.09329815552667</v>
      </c>
      <c r="F19" s="24">
        <v>3.3834404945373535</v>
      </c>
      <c r="G19" s="24">
        <v>31.537183435106137</v>
      </c>
      <c r="H19" s="24">
        <v>19.851421874423611</v>
      </c>
      <c r="J19" s="24">
        <v>0.99719890039476555</v>
      </c>
      <c r="K19" s="24">
        <v>5.2769821392591272</v>
      </c>
      <c r="L19" s="24">
        <v>156.9998782338341</v>
      </c>
      <c r="M19" s="24">
        <v>3.4048326015472412</v>
      </c>
      <c r="O19" s="24"/>
      <c r="P19" s="24"/>
      <c r="Q19" s="24"/>
      <c r="S19" s="24"/>
      <c r="W19" s="24"/>
      <c r="X19" s="24"/>
      <c r="Y19" s="24"/>
      <c r="AA19" s="24">
        <v>1.1403912706803854</v>
      </c>
      <c r="AB19" s="24">
        <v>5.927982386831153</v>
      </c>
      <c r="AC19" s="24">
        <v>178.33247408477573</v>
      </c>
      <c r="AD19" s="24">
        <v>3.3673317432403564</v>
      </c>
      <c r="AE19" s="24">
        <v>31.47497718314747</v>
      </c>
      <c r="AF19" s="24">
        <v>20.445382299111667</v>
      </c>
      <c r="AG19" s="24">
        <v>21.418573379516602</v>
      </c>
      <c r="AH19" s="24">
        <v>0.48805711492145126</v>
      </c>
    </row>
    <row r="20" spans="2:34">
      <c r="B20" s="24"/>
      <c r="C20" s="24">
        <v>1.0699845467701115</v>
      </c>
      <c r="D20" s="24">
        <v>5.6477504921809603</v>
      </c>
      <c r="E20" s="24">
        <v>157.45878157523762</v>
      </c>
      <c r="F20" s="24">
        <v>3.6334404945373535</v>
      </c>
      <c r="G20" s="24">
        <v>31.537183435106137</v>
      </c>
      <c r="H20" s="24">
        <v>19.11021843473808</v>
      </c>
      <c r="J20" s="24">
        <v>0.99719890039476555</v>
      </c>
      <c r="K20" s="24">
        <v>5.2769821392591272</v>
      </c>
      <c r="L20" s="24">
        <v>146.26068037267154</v>
      </c>
      <c r="M20" s="24">
        <v>3.6548326015472412</v>
      </c>
      <c r="O20" s="24"/>
      <c r="P20" s="24"/>
      <c r="Q20" s="24"/>
      <c r="S20" s="24"/>
      <c r="W20" s="24"/>
      <c r="X20" s="24"/>
      <c r="Y20" s="24"/>
      <c r="AA20" s="24">
        <v>1.1119555117071636</v>
      </c>
      <c r="AB20" s="24">
        <v>5.7986445893002951</v>
      </c>
      <c r="AC20" s="24">
        <v>162.05284030308678</v>
      </c>
      <c r="AD20" s="24">
        <v>3.6247601509094238</v>
      </c>
      <c r="AE20" s="24">
        <v>31.503687760974547</v>
      </c>
      <c r="AF20" s="24">
        <v>19.430561361770184</v>
      </c>
      <c r="AG20" s="24">
        <v>20.566577911376953</v>
      </c>
      <c r="AH20" s="24">
        <v>0.48206979447685039</v>
      </c>
    </row>
    <row r="21" spans="2:34">
      <c r="B21" s="24"/>
      <c r="C21" s="24">
        <v>1.0932050013426666</v>
      </c>
      <c r="D21" s="24">
        <v>5.755531990123341</v>
      </c>
      <c r="E21" s="24">
        <v>150.37386524970739</v>
      </c>
      <c r="F21" s="24">
        <v>3.8772387504577637</v>
      </c>
      <c r="G21" s="24">
        <v>31.513257953583572</v>
      </c>
      <c r="H21" s="24">
        <v>18.646586472387149</v>
      </c>
      <c r="J21" s="24">
        <v>0.99719890039476555</v>
      </c>
      <c r="K21" s="24">
        <v>5.2769821392591272</v>
      </c>
      <c r="L21" s="24">
        <v>136.89659883366974</v>
      </c>
      <c r="M21" s="24">
        <v>3.9048326015472412</v>
      </c>
      <c r="O21" s="24"/>
      <c r="P21" s="24"/>
      <c r="Q21" s="24"/>
      <c r="S21" s="24"/>
      <c r="W21" s="24"/>
      <c r="X21" s="24"/>
      <c r="Y21" s="24"/>
      <c r="AA21" s="24">
        <v>1.0885419815607418</v>
      </c>
      <c r="AB21" s="24">
        <v>5.6908630913579126</v>
      </c>
      <c r="AC21" s="24">
        <v>148.54174860476198</v>
      </c>
      <c r="AD21" s="24">
        <v>3.8809590339660645</v>
      </c>
      <c r="AE21" s="24">
        <v>31.527613242497111</v>
      </c>
      <c r="AF21" s="24">
        <v>18.509952720194228</v>
      </c>
      <c r="AG21" s="24">
        <v>19.803567886352539</v>
      </c>
      <c r="AH21" s="24">
        <v>0.47703473155597809</v>
      </c>
    </row>
    <row r="22" spans="2:34">
      <c r="B22" s="24"/>
      <c r="C22" s="24">
        <v>1.1025603110975066</v>
      </c>
      <c r="D22" s="24">
        <v>5.7986445893002951</v>
      </c>
      <c r="E22" s="24">
        <v>142.40893014078819</v>
      </c>
      <c r="F22" s="24">
        <v>4.1247601509094238</v>
      </c>
      <c r="G22" s="24">
        <v>31.503687760974547</v>
      </c>
      <c r="H22" s="24">
        <v>18.086117183579034</v>
      </c>
      <c r="J22" s="24">
        <v>0.99719890039476555</v>
      </c>
      <c r="K22" s="24">
        <v>5.2769821392591272</v>
      </c>
      <c r="L22" s="24">
        <v>128.65940766856411</v>
      </c>
      <c r="M22" s="24">
        <v>4.1548323631286621</v>
      </c>
      <c r="O22" s="24"/>
      <c r="P22" s="24"/>
      <c r="Q22" s="24"/>
      <c r="S22" s="24"/>
      <c r="W22" s="24"/>
      <c r="X22" s="24"/>
      <c r="Y22" s="24"/>
      <c r="AA22" s="24">
        <v>1.0699845467701115</v>
      </c>
      <c r="AB22" s="24">
        <v>5.6046378930040071</v>
      </c>
      <c r="AC22" s="24">
        <v>137.27280845747288</v>
      </c>
      <c r="AD22" s="24">
        <v>4.1359233856201172</v>
      </c>
      <c r="AE22" s="24">
        <v>31.546753627715162</v>
      </c>
      <c r="AF22" s="24">
        <v>17.681221690769579</v>
      </c>
      <c r="AG22" s="24">
        <v>19.123577117919922</v>
      </c>
      <c r="AH22" s="24">
        <v>0.48545380335449229</v>
      </c>
    </row>
    <row r="23" spans="2:34">
      <c r="B23" s="24"/>
      <c r="C23" s="24">
        <v>1.1072528592638571</v>
      </c>
      <c r="D23" s="24">
        <v>5.8417571884772475</v>
      </c>
      <c r="E23" s="24">
        <v>135.34577138462865</v>
      </c>
      <c r="F23" s="24">
        <v>4.3722829818725586</v>
      </c>
      <c r="G23" s="24">
        <v>31.494117568365521</v>
      </c>
      <c r="H23" s="24">
        <v>17.564648419228295</v>
      </c>
      <c r="J23" s="24">
        <v>0.99719890039476555</v>
      </c>
      <c r="K23" s="24">
        <v>5.2769821392591272</v>
      </c>
      <c r="L23" s="24">
        <v>121.35723402475477</v>
      </c>
      <c r="M23" s="24">
        <v>4.4048323631286621</v>
      </c>
      <c r="O23" s="24"/>
      <c r="P23" s="24"/>
      <c r="Q23" s="24"/>
      <c r="S23" s="24"/>
      <c r="W23" s="24"/>
      <c r="X23" s="24"/>
      <c r="Y23" s="24"/>
      <c r="AA23" s="24">
        <v>1.0333058967837199</v>
      </c>
      <c r="AB23" s="24">
        <v>5.4321874962961951</v>
      </c>
      <c r="AC23" s="24">
        <v>125.18136206624808</v>
      </c>
      <c r="AD23" s="24">
        <v>4.395866870880127</v>
      </c>
      <c r="AE23" s="24">
        <v>31.585034398151265</v>
      </c>
      <c r="AF23" s="24">
        <v>16.7146834074289</v>
      </c>
      <c r="AG23" s="24">
        <v>18.358573913574219</v>
      </c>
      <c r="AH23" s="24">
        <v>0.48108101717806823</v>
      </c>
    </row>
    <row r="24" spans="2:34">
      <c r="B24" s="24"/>
      <c r="C24" s="24">
        <v>1.1119555117071636</v>
      </c>
      <c r="D24" s="24">
        <v>5.8633134880657236</v>
      </c>
      <c r="E24" s="24">
        <v>128.53233343933164</v>
      </c>
      <c r="F24" s="24">
        <v>4.6210446357727051</v>
      </c>
      <c r="G24" s="24">
        <v>31.489332472061008</v>
      </c>
      <c r="H24" s="24">
        <v>17.033912936706344</v>
      </c>
      <c r="J24" s="24">
        <v>0.99719890039476555</v>
      </c>
      <c r="K24" s="24">
        <v>5.2769821392591272</v>
      </c>
      <c r="L24" s="24">
        <v>114.83942519061671</v>
      </c>
      <c r="M24" s="24">
        <v>4.6548323631286621</v>
      </c>
      <c r="O24" s="24"/>
      <c r="P24" s="24"/>
      <c r="Q24" s="24"/>
      <c r="S24" s="24"/>
      <c r="W24" s="24"/>
      <c r="X24" s="24"/>
      <c r="Y24" s="24"/>
      <c r="AA24" s="24">
        <v>0.99715731420329989</v>
      </c>
      <c r="AB24" s="24">
        <v>5.2597370995883841</v>
      </c>
      <c r="AC24" s="24">
        <v>114.43961751353467</v>
      </c>
      <c r="AD24" s="24">
        <v>4.655829906463623</v>
      </c>
      <c r="AE24" s="24">
        <v>31.623315168587368</v>
      </c>
      <c r="AF24" s="24">
        <v>15.790032427173454</v>
      </c>
      <c r="AG24" s="24">
        <v>17.637563705444336</v>
      </c>
      <c r="AH24" s="24">
        <v>0.47726960466118729</v>
      </c>
    </row>
    <row r="25" spans="2:34">
      <c r="O25" s="24"/>
      <c r="P25" s="24"/>
      <c r="S25" s="24"/>
      <c r="W25" s="24"/>
      <c r="X25" s="19"/>
      <c r="Y25" s="19"/>
    </row>
    <row r="26" spans="2:34">
      <c r="O26" s="24"/>
      <c r="P26" s="19"/>
      <c r="S26" s="24"/>
      <c r="T26" s="19"/>
      <c r="U26" s="24"/>
      <c r="W26" s="24"/>
      <c r="X26" s="24"/>
      <c r="Y26" s="24"/>
    </row>
    <row r="27" spans="2:34">
      <c r="C27" s="19" t="s">
        <v>316</v>
      </c>
      <c r="J27" s="19" t="s">
        <v>406</v>
      </c>
      <c r="O27" s="24"/>
      <c r="P27" s="19"/>
      <c r="Q27" s="19"/>
      <c r="R27" s="24"/>
      <c r="S27" s="24"/>
      <c r="T27" s="19"/>
      <c r="U27" s="24"/>
      <c r="AA27" s="19" t="s">
        <v>330</v>
      </c>
    </row>
    <row r="28" spans="2:34">
      <c r="O28" s="24"/>
      <c r="P28" s="24"/>
      <c r="Q28" s="19"/>
      <c r="R28" s="19"/>
      <c r="S28" s="19"/>
      <c r="T28" s="19"/>
      <c r="U28" s="24"/>
      <c r="X28" s="19"/>
      <c r="AA28" s="24">
        <v>0.67635254263877864</v>
      </c>
    </row>
    <row r="29" spans="2:34">
      <c r="C29" s="24" t="s">
        <v>154</v>
      </c>
      <c r="D29" s="24" t="s">
        <v>155</v>
      </c>
      <c r="E29" s="24" t="s">
        <v>156</v>
      </c>
      <c r="F29" s="24" t="s">
        <v>159</v>
      </c>
      <c r="G29" s="24" t="s">
        <v>265</v>
      </c>
      <c r="H29" s="24" t="s">
        <v>157</v>
      </c>
      <c r="J29" s="24" t="s">
        <v>154</v>
      </c>
      <c r="K29" s="24" t="s">
        <v>155</v>
      </c>
      <c r="L29" s="24" t="s">
        <v>156</v>
      </c>
      <c r="M29" s="24" t="s">
        <v>159</v>
      </c>
      <c r="O29" s="19"/>
      <c r="P29" s="19"/>
      <c r="Q29" s="19"/>
      <c r="R29" s="19"/>
      <c r="S29" s="19"/>
      <c r="T29" s="19"/>
      <c r="W29" s="19"/>
      <c r="X29" s="24"/>
      <c r="Y29" s="24"/>
      <c r="AA29" s="24" t="s">
        <v>154</v>
      </c>
      <c r="AB29" s="24" t="s">
        <v>155</v>
      </c>
      <c r="AC29" s="24" t="s">
        <v>156</v>
      </c>
      <c r="AD29" s="24" t="s">
        <v>159</v>
      </c>
      <c r="AE29" s="24" t="s">
        <v>238</v>
      </c>
      <c r="AF29" s="24" t="s">
        <v>157</v>
      </c>
      <c r="AG29" s="24" t="s">
        <v>160</v>
      </c>
      <c r="AH29" s="24" t="s">
        <v>265</v>
      </c>
    </row>
    <row r="30" spans="2:34">
      <c r="B30" s="24"/>
      <c r="C30" s="24">
        <v>0.68058122704286073</v>
      </c>
      <c r="D30" s="24">
        <v>0.73291418600822378</v>
      </c>
      <c r="E30" s="24">
        <v>95.867147641001409</v>
      </c>
      <c r="F30" s="24">
        <v>0.77444887161254883</v>
      </c>
      <c r="G30" s="24">
        <v>0.67760300636291504</v>
      </c>
      <c r="H30" s="24">
        <v>4.8591019884460804</v>
      </c>
      <c r="J30" s="24">
        <v>0.65823870336898227</v>
      </c>
      <c r="K30" s="24">
        <v>0.71394464237036415</v>
      </c>
      <c r="L30" s="24">
        <v>93.246823879540258</v>
      </c>
      <c r="M30" s="24">
        <v>0.77560383081436157</v>
      </c>
      <c r="O30" s="24"/>
      <c r="P30" s="24"/>
      <c r="R30" s="3"/>
      <c r="S30" s="24"/>
      <c r="W30" s="24"/>
      <c r="X30" s="24"/>
      <c r="Y30" s="24"/>
      <c r="AA30" s="24">
        <v>0.67645916199831246</v>
      </c>
      <c r="AB30" s="24">
        <v>0.72860292609052846</v>
      </c>
      <c r="AC30" s="24">
        <v>95.270936174450185</v>
      </c>
      <c r="AD30" s="24">
        <v>0.77471137046813965</v>
      </c>
      <c r="AE30" s="24">
        <v>32.629142411795975</v>
      </c>
      <c r="AF30" s="24">
        <v>4.852739472757384</v>
      </c>
      <c r="AG30" s="24">
        <v>31.744958877563477</v>
      </c>
      <c r="AH30" s="24">
        <v>0.67699821732429932</v>
      </c>
    </row>
    <row r="31" spans="2:34">
      <c r="B31" s="24"/>
      <c r="C31" s="24">
        <v>0.72613058471669645</v>
      </c>
      <c r="D31" s="24">
        <v>0.78464930502056907</v>
      </c>
      <c r="E31" s="24">
        <v>96.779418239863816</v>
      </c>
      <c r="F31" s="24">
        <v>0.82130038738250732</v>
      </c>
      <c r="G31" s="24">
        <v>0.72907519340515137</v>
      </c>
      <c r="H31" s="24">
        <v>4.8712524301303484</v>
      </c>
      <c r="J31" s="24">
        <v>0.69545831306765371</v>
      </c>
      <c r="K31" s="24">
        <v>0.75274598162962281</v>
      </c>
      <c r="L31" s="24">
        <v>92.625486302658516</v>
      </c>
      <c r="M31" s="24">
        <v>0.82324177026748657</v>
      </c>
      <c r="O31" s="24"/>
      <c r="P31" s="24"/>
      <c r="R31" s="3"/>
      <c r="S31" s="24"/>
      <c r="W31" s="24"/>
      <c r="X31" s="24"/>
      <c r="Y31" s="24"/>
      <c r="AA31" s="24">
        <v>0.69710064241207781</v>
      </c>
      <c r="AB31" s="24">
        <v>0.7501592256790055</v>
      </c>
      <c r="AC31" s="24">
        <v>92.289536043656383</v>
      </c>
      <c r="AD31" s="24">
        <v>0.82339918613433838</v>
      </c>
      <c r="AE31" s="24">
        <v>32.624357315491466</v>
      </c>
      <c r="AF31" s="24">
        <v>4.8226198196962153</v>
      </c>
      <c r="AG31" s="24">
        <v>31.530961990356445</v>
      </c>
      <c r="AH31" s="24">
        <v>0.68968637133707911</v>
      </c>
    </row>
    <row r="32" spans="2:34">
      <c r="B32" s="24"/>
      <c r="C32" s="24">
        <v>0.76789709063520484</v>
      </c>
      <c r="D32" s="24">
        <v>0.82776190419752316</v>
      </c>
      <c r="E32" s="24">
        <v>96.528605052793111</v>
      </c>
      <c r="F32" s="24">
        <v>0.86867803335189819</v>
      </c>
      <c r="G32" s="24">
        <v>0.78748703002929688</v>
      </c>
      <c r="H32" s="24">
        <v>4.8711295723275203</v>
      </c>
      <c r="J32" s="24">
        <v>0.72554064829862119</v>
      </c>
      <c r="K32" s="24">
        <v>0.78378705303702956</v>
      </c>
      <c r="L32" s="24">
        <v>91.119949701633587</v>
      </c>
      <c r="M32" s="24">
        <v>0.87135285139083862</v>
      </c>
      <c r="O32" s="24"/>
      <c r="P32" s="24">
        <v>0.54184303097413078</v>
      </c>
      <c r="Q32" s="24">
        <v>2.5002053741563719</v>
      </c>
      <c r="S32" s="24"/>
      <c r="W32" s="24"/>
      <c r="X32" s="24"/>
      <c r="Y32" s="24"/>
      <c r="AA32" s="24">
        <v>0.71366952012961726</v>
      </c>
      <c r="AB32" s="24">
        <v>0.76740426534978712</v>
      </c>
      <c r="AC32" s="24">
        <v>89.113405715747504</v>
      </c>
      <c r="AD32" s="24">
        <v>0.87234967947006226</v>
      </c>
      <c r="AE32" s="24">
        <v>32.620529238447851</v>
      </c>
      <c r="AF32" s="24">
        <v>4.7882844382766736</v>
      </c>
      <c r="AG32" s="24">
        <v>31.291959762573242</v>
      </c>
      <c r="AH32" s="24">
        <v>0.68596982500626469</v>
      </c>
    </row>
    <row r="33" spans="2:34">
      <c r="B33" s="24"/>
      <c r="C33" s="24">
        <v>0.81005234385294289</v>
      </c>
      <c r="D33" s="24">
        <v>0.87087450337447758</v>
      </c>
      <c r="E33" s="24">
        <v>96.30360078866326</v>
      </c>
      <c r="F33" s="24">
        <v>0.91605699062347412</v>
      </c>
      <c r="G33" s="24">
        <v>0.80882036685943604</v>
      </c>
      <c r="H33" s="24">
        <v>4.8714417714205069</v>
      </c>
      <c r="J33" s="24">
        <v>0.76051978705286694</v>
      </c>
      <c r="K33" s="24">
        <v>0.82258839229628833</v>
      </c>
      <c r="L33" s="24">
        <v>90.673415587102056</v>
      </c>
      <c r="M33" s="24">
        <v>0.91899263858795166</v>
      </c>
      <c r="O33" s="24"/>
      <c r="P33" s="24">
        <v>0.58237866877070998</v>
      </c>
      <c r="Q33" s="24">
        <v>2.7024278676543143</v>
      </c>
      <c r="S33" s="24"/>
      <c r="W33" s="24"/>
      <c r="X33" s="24"/>
      <c r="Y33" s="24"/>
      <c r="AA33" s="24">
        <v>0.72613058471669645</v>
      </c>
      <c r="AB33" s="24">
        <v>0.78033804510287363</v>
      </c>
      <c r="AC33" s="24">
        <v>85.77630566305055</v>
      </c>
      <c r="AD33" s="24">
        <v>0.92156273126602173</v>
      </c>
      <c r="AE33" s="24">
        <v>32.617658180665146</v>
      </c>
      <c r="AF33" s="24">
        <v>4.749370660743474</v>
      </c>
      <c r="AG33" s="24">
        <v>31.02595329284668</v>
      </c>
      <c r="AH33" s="24">
        <v>0.68190823755401986</v>
      </c>
    </row>
    <row r="34" spans="2:34">
      <c r="B34" s="24"/>
      <c r="C34" s="24">
        <v>0.839821301040382</v>
      </c>
      <c r="D34" s="24">
        <v>0.90105332279834571</v>
      </c>
      <c r="E34" s="24">
        <v>78.401389014827572</v>
      </c>
      <c r="F34" s="24">
        <v>1.1642230749130249</v>
      </c>
      <c r="G34" s="24">
        <v>0.74256408214569092</v>
      </c>
      <c r="H34" s="24">
        <v>4.6585967998313711</v>
      </c>
      <c r="J34" s="24">
        <v>0.90584606910050336</v>
      </c>
      <c r="K34" s="24">
        <v>0.97003348148147106</v>
      </c>
      <c r="L34" s="24">
        <v>84.708241959292835</v>
      </c>
      <c r="M34" s="24">
        <v>1.1600334644317627</v>
      </c>
      <c r="O34" s="24"/>
      <c r="P34" s="24">
        <v>0.61903942544573154</v>
      </c>
      <c r="Q34" s="24">
        <v>2.8678826350617221</v>
      </c>
      <c r="S34" s="24"/>
      <c r="W34" s="24"/>
      <c r="X34" s="24"/>
      <c r="Y34" s="24"/>
      <c r="AA34" s="24">
        <v>0.79736235739376371</v>
      </c>
      <c r="AB34" s="24">
        <v>0.85362946370369597</v>
      </c>
      <c r="AC34" s="24">
        <v>74.091572739463444</v>
      </c>
      <c r="AD34" s="24">
        <v>1.1671053171157837</v>
      </c>
      <c r="AE34" s="24">
        <v>32.6013888532298</v>
      </c>
      <c r="AF34" s="24">
        <v>4.5917200856484017</v>
      </c>
      <c r="AG34" s="24">
        <v>29.955965042114258</v>
      </c>
      <c r="AH34" s="24">
        <v>0.68231063194728336</v>
      </c>
    </row>
    <row r="35" spans="2:34">
      <c r="B35" s="24"/>
      <c r="C35" s="24">
        <v>0.86982651175339343</v>
      </c>
      <c r="D35" s="24">
        <v>0.93123214222221373</v>
      </c>
      <c r="E35" s="24">
        <v>66.79021969518142</v>
      </c>
      <c r="F35" s="24">
        <v>1.4123896360397339</v>
      </c>
      <c r="G35" s="24">
        <v>0.70506769418716431</v>
      </c>
      <c r="H35" s="24">
        <v>4.4715615819821508</v>
      </c>
      <c r="J35" s="24">
        <v>0.98987860718776832</v>
      </c>
      <c r="K35" s="24">
        <v>1.0553964278518397</v>
      </c>
      <c r="L35" s="24">
        <v>76.101651093992317</v>
      </c>
      <c r="M35" s="24">
        <v>1.404853343963623</v>
      </c>
      <c r="O35" s="24"/>
      <c r="P35" s="24">
        <v>0.66000246705982624</v>
      </c>
      <c r="Q35" s="24">
        <v>3.0517212655143973</v>
      </c>
      <c r="S35" s="24"/>
      <c r="W35" s="24"/>
      <c r="X35" s="24"/>
      <c r="Y35" s="24"/>
      <c r="AA35" s="24">
        <v>0.85693756546689315</v>
      </c>
      <c r="AB35" s="24">
        <v>0.91398710255143212</v>
      </c>
      <c r="AC35" s="24">
        <v>65.50477966111626</v>
      </c>
      <c r="AD35" s="24">
        <v>1.4134372472763062</v>
      </c>
      <c r="AE35" s="24">
        <v>32.587990583577167</v>
      </c>
      <c r="AF35" s="24">
        <v>4.4466030182717464</v>
      </c>
      <c r="AG35" s="24">
        <v>28.997955322265625</v>
      </c>
      <c r="AH35" s="24">
        <v>0.68533651423501207</v>
      </c>
    </row>
    <row r="36" spans="2:34">
      <c r="B36" s="24"/>
      <c r="C36" s="24">
        <v>0.90008939204743499</v>
      </c>
      <c r="D36" s="24">
        <v>0.96141096164608186</v>
      </c>
      <c r="E36" s="24">
        <v>58.649557880924569</v>
      </c>
      <c r="F36" s="24">
        <v>1.6605569124221802</v>
      </c>
      <c r="G36" s="24">
        <v>0.67275387048721313</v>
      </c>
      <c r="H36" s="24">
        <v>4.3067220251060387</v>
      </c>
      <c r="J36" s="24">
        <v>0.99719892175525804</v>
      </c>
      <c r="K36" s="24">
        <v>1.0553964278518397</v>
      </c>
      <c r="L36" s="24">
        <v>64.604914554943946</v>
      </c>
      <c r="M36" s="24">
        <v>1.654853343963623</v>
      </c>
      <c r="O36" s="24"/>
      <c r="P36" s="24">
        <v>0.81005754905946747</v>
      </c>
      <c r="Q36" s="24">
        <v>3.7135403351440273</v>
      </c>
      <c r="S36" s="24"/>
      <c r="W36" s="24"/>
      <c r="X36" s="24"/>
      <c r="Y36" s="24"/>
      <c r="AA36" s="24">
        <v>0.91314464056455369</v>
      </c>
      <c r="AB36" s="24">
        <v>0.9700334814814725</v>
      </c>
      <c r="AC36" s="24">
        <v>59.194224919786478</v>
      </c>
      <c r="AD36" s="24">
        <v>1.6600334644317627</v>
      </c>
      <c r="AE36" s="24">
        <v>32.575549333185435</v>
      </c>
      <c r="AF36" s="24">
        <v>4.3193641170281136</v>
      </c>
      <c r="AG36" s="24">
        <v>28.173959732055664</v>
      </c>
      <c r="AH36" s="24">
        <v>0.69108346347558691</v>
      </c>
    </row>
    <row r="37" spans="2:34">
      <c r="B37" s="24"/>
      <c r="C37" s="24">
        <v>0.93502098369965458</v>
      </c>
      <c r="D37" s="24">
        <v>0.99590104098764531</v>
      </c>
      <c r="E37" s="24">
        <v>52.861788053273926</v>
      </c>
      <c r="F37" s="24">
        <v>1.9084631204605103</v>
      </c>
      <c r="G37" s="24">
        <v>0.67814910411834717</v>
      </c>
      <c r="H37" s="24">
        <v>4.1669617441164837</v>
      </c>
      <c r="J37" s="24">
        <v>0.99719892175525804</v>
      </c>
      <c r="K37" s="24">
        <v>1.0553964278518397</v>
      </c>
      <c r="L37" s="24">
        <v>56.125926506929112</v>
      </c>
      <c r="M37" s="24">
        <v>1.904853343963623</v>
      </c>
      <c r="O37" s="24"/>
      <c r="P37" s="24">
        <v>0.86123438120389528</v>
      </c>
      <c r="Q37" s="24">
        <v>3.9341466916872374</v>
      </c>
      <c r="S37" s="24"/>
      <c r="W37" s="24"/>
      <c r="X37" s="24"/>
      <c r="Y37" s="24"/>
      <c r="AA37" s="24">
        <v>0.93941549781827705</v>
      </c>
      <c r="AB37" s="24">
        <v>0.99590104098764531</v>
      </c>
      <c r="AC37" s="24">
        <v>52.861788053273926</v>
      </c>
      <c r="AD37" s="24">
        <v>1.9084631204605103</v>
      </c>
      <c r="AE37" s="24">
        <v>32.569807217620017</v>
      </c>
      <c r="AF37" s="24">
        <v>4.1669617441164837</v>
      </c>
      <c r="AG37" s="24">
        <v>27.223958969116211</v>
      </c>
      <c r="AH37" s="24">
        <v>0.6781491003059249</v>
      </c>
    </row>
    <row r="38" spans="2:34">
      <c r="B38" s="24"/>
      <c r="C38" s="24">
        <v>0.93502098369965458</v>
      </c>
      <c r="D38" s="24">
        <v>0.99590104098764531</v>
      </c>
      <c r="E38" s="24">
        <v>46.739169324293286</v>
      </c>
      <c r="F38" s="24">
        <v>2.1584632396697998</v>
      </c>
      <c r="G38" s="24">
        <v>0.63184577226638794</v>
      </c>
      <c r="H38" s="24">
        <v>3.9908873274752845</v>
      </c>
      <c r="J38" s="24">
        <v>0.99719892175525804</v>
      </c>
      <c r="K38" s="24">
        <v>1.0553964278518397</v>
      </c>
      <c r="L38" s="24">
        <v>49.614354969467939</v>
      </c>
      <c r="M38" s="24">
        <v>2.154853343963623</v>
      </c>
      <c r="O38" s="24"/>
      <c r="P38" s="24">
        <v>0.90009528567253816</v>
      </c>
      <c r="Q38" s="24">
        <v>4.0996014590946448</v>
      </c>
      <c r="S38" s="24"/>
      <c r="W38" s="24"/>
      <c r="X38" s="24"/>
      <c r="Y38" s="24"/>
      <c r="AA38" s="24">
        <v>0.98372231202174731</v>
      </c>
      <c r="AB38" s="24">
        <v>1.0390136401645995</v>
      </c>
      <c r="AC38" s="24">
        <v>48.821682047154034</v>
      </c>
      <c r="AD38" s="24">
        <v>2.1558470726013184</v>
      </c>
      <c r="AE38" s="24">
        <v>32.560237025010991</v>
      </c>
      <c r="AF38" s="24">
        <v>4.0560269099381294</v>
      </c>
      <c r="AG38" s="24">
        <v>26.534967422485352</v>
      </c>
      <c r="AH38" s="24">
        <v>0.68675624244291789</v>
      </c>
    </row>
    <row r="39" spans="2:34">
      <c r="B39" s="24"/>
      <c r="C39" s="24">
        <v>0.97035777390643585</v>
      </c>
      <c r="D39" s="24">
        <v>1.034702380246904</v>
      </c>
      <c r="E39" s="24">
        <v>43.562185391536261</v>
      </c>
      <c r="F39" s="24">
        <v>2.4061086177825928</v>
      </c>
      <c r="G39" s="24">
        <v>0.65661764144897461</v>
      </c>
      <c r="H39" s="24">
        <v>3.8877747772968254</v>
      </c>
      <c r="J39" s="24">
        <v>0.99719892175525804</v>
      </c>
      <c r="K39" s="24">
        <v>1.0553964278518397</v>
      </c>
      <c r="L39" s="24">
        <v>44.456623071560252</v>
      </c>
      <c r="M39" s="24">
        <v>2.404853343963623</v>
      </c>
      <c r="O39" s="24"/>
      <c r="P39" s="24">
        <v>0.92625849907946878</v>
      </c>
      <c r="Q39" s="24">
        <v>4.2099046373662494</v>
      </c>
      <c r="S39" s="24"/>
      <c r="W39" s="24"/>
      <c r="X39" s="24"/>
      <c r="Y39" s="24"/>
      <c r="AA39" s="24">
        <v>1.006141514857702</v>
      </c>
      <c r="AB39" s="24">
        <v>1.0605699397530766</v>
      </c>
      <c r="AC39" s="24">
        <v>44.680377558515687</v>
      </c>
      <c r="AD39" s="24">
        <v>2.4045395851135254</v>
      </c>
      <c r="AE39" s="24">
        <v>32.555451928706475</v>
      </c>
      <c r="AF39" s="24">
        <v>3.9267421402232285</v>
      </c>
      <c r="AG39" s="24">
        <v>25.75596809387207</v>
      </c>
      <c r="AH39" s="24">
        <v>0.67667442511489506</v>
      </c>
    </row>
    <row r="40" spans="2:34">
      <c r="B40" s="24"/>
      <c r="C40" s="24">
        <v>0.97035777390643585</v>
      </c>
      <c r="D40" s="24">
        <v>1.0303911203292087</v>
      </c>
      <c r="E40" s="24">
        <v>39.293702359420188</v>
      </c>
      <c r="F40" s="24">
        <v>2.6563701629638672</v>
      </c>
      <c r="G40" s="24">
        <v>0.62938600778579712</v>
      </c>
      <c r="H40" s="24">
        <v>3.7297650288160322</v>
      </c>
      <c r="J40" s="24">
        <v>0.99719892175525804</v>
      </c>
      <c r="K40" s="24">
        <v>1.0553964278518397</v>
      </c>
      <c r="L40" s="24">
        <v>40.270269109100177</v>
      </c>
      <c r="M40" s="24">
        <v>2.654853343963623</v>
      </c>
      <c r="O40" s="24"/>
      <c r="P40" s="24">
        <v>0.9350271579258348</v>
      </c>
      <c r="Q40" s="24">
        <v>4.2466723634567849</v>
      </c>
      <c r="S40" s="24"/>
      <c r="W40" s="24"/>
      <c r="X40" s="24"/>
      <c r="Y40" s="24"/>
      <c r="AA40" s="24">
        <v>1.0333000137161961</v>
      </c>
      <c r="AB40" s="24">
        <v>1.0864374992592492</v>
      </c>
      <c r="AC40" s="24">
        <v>41.484103114446</v>
      </c>
      <c r="AD40" s="24">
        <v>2.6529707908630371</v>
      </c>
      <c r="AE40" s="24">
        <v>32.549709813141064</v>
      </c>
      <c r="AF40" s="24">
        <v>3.8154928241089494</v>
      </c>
      <c r="AG40" s="24">
        <v>25.092962265014648</v>
      </c>
      <c r="AH40" s="24">
        <v>0.68662395210835037</v>
      </c>
    </row>
    <row r="41" spans="2:34">
      <c r="B41" s="24"/>
      <c r="C41" s="24">
        <v>0.99715169441272056</v>
      </c>
      <c r="D41" s="24">
        <v>1.0605699397530766</v>
      </c>
      <c r="E41" s="24">
        <v>36.988904124075617</v>
      </c>
      <c r="F41" s="24">
        <v>2.9045395851135254</v>
      </c>
      <c r="G41" s="24">
        <v>0.63923901319503784</v>
      </c>
      <c r="H41" s="24">
        <v>3.6363102926552151</v>
      </c>
      <c r="J41" s="24">
        <v>0.99719892175525804</v>
      </c>
      <c r="K41" s="24">
        <v>1.0553964278518397</v>
      </c>
      <c r="L41" s="24">
        <v>36.804494377913223</v>
      </c>
      <c r="M41" s="24">
        <v>2.904853343963623</v>
      </c>
      <c r="O41" s="24"/>
      <c r="P41" s="24">
        <v>0.97036423983484033</v>
      </c>
      <c r="Q41" s="24">
        <v>4.3937432678189241</v>
      </c>
      <c r="S41" s="24"/>
      <c r="W41" s="24"/>
      <c r="X41" s="24"/>
      <c r="Y41" s="24"/>
      <c r="AA41" s="24">
        <v>1.0378549270741062</v>
      </c>
      <c r="AB41" s="24">
        <v>1.0907487591769447</v>
      </c>
      <c r="AC41" s="24">
        <v>38.065417451948484</v>
      </c>
      <c r="AD41" s="24">
        <v>2.9027094841003418</v>
      </c>
      <c r="AE41" s="24">
        <v>32.548752793880162</v>
      </c>
      <c r="AF41" s="24">
        <v>3.6823576718054314</v>
      </c>
      <c r="AG41" s="24">
        <v>24.320964813232422</v>
      </c>
      <c r="AH41" s="24">
        <v>0.67713065579505416</v>
      </c>
    </row>
    <row r="42" spans="2:34">
      <c r="B42" s="24"/>
      <c r="C42" s="24">
        <v>1.006141514857702</v>
      </c>
      <c r="D42" s="24">
        <v>1.0691924595884676</v>
      </c>
      <c r="E42" s="24">
        <v>34.340084185617663</v>
      </c>
      <c r="F42" s="24">
        <v>3.1540167331695557</v>
      </c>
      <c r="G42" s="24">
        <v>0.63168293237686157</v>
      </c>
      <c r="H42" s="24">
        <v>3.518313704629549</v>
      </c>
      <c r="J42" s="24">
        <v>0.99719892175525804</v>
      </c>
      <c r="K42" s="24">
        <v>1.0553964278518397</v>
      </c>
      <c r="L42" s="24">
        <v>33.887996327131894</v>
      </c>
      <c r="M42" s="24">
        <v>3.154853343963623</v>
      </c>
      <c r="O42" s="24"/>
      <c r="P42" s="24">
        <v>0.9881981274902838</v>
      </c>
      <c r="Q42" s="24">
        <v>4.4856625830452614</v>
      </c>
      <c r="S42" s="24"/>
      <c r="W42" s="24"/>
      <c r="X42" s="24"/>
      <c r="Y42" s="24"/>
      <c r="AA42" s="24">
        <v>1.0792383486439197</v>
      </c>
      <c r="AB42" s="24">
        <v>1.1295500984362037</v>
      </c>
      <c r="AC42" s="24">
        <v>36.320774383892136</v>
      </c>
      <c r="AD42" s="24">
        <v>3.1503574848175049</v>
      </c>
      <c r="AE42" s="24">
        <v>32.540139620532038</v>
      </c>
      <c r="AF42" s="24">
        <v>3.6097395867066164</v>
      </c>
      <c r="AG42" s="24">
        <v>23.891969680786133</v>
      </c>
      <c r="AH42" s="24">
        <v>0.69069758301617878</v>
      </c>
    </row>
    <row r="43" spans="2:34">
      <c r="B43" s="24"/>
      <c r="C43" s="24">
        <v>1.0151617431855047</v>
      </c>
      <c r="D43" s="24">
        <v>1.0778149794238585</v>
      </c>
      <c r="E43" s="24">
        <v>32.079582295300888</v>
      </c>
      <c r="F43" s="24">
        <v>3.4034936428070068</v>
      </c>
      <c r="G43" s="24">
        <v>0.64161407947540283</v>
      </c>
      <c r="H43" s="24">
        <v>3.4087975952399066</v>
      </c>
      <c r="J43" s="24">
        <v>0.99719892175525804</v>
      </c>
      <c r="K43" s="24">
        <v>1.0553964278518397</v>
      </c>
      <c r="L43" s="24">
        <v>31.399783692203695</v>
      </c>
      <c r="M43" s="24">
        <v>3.404853343963623</v>
      </c>
      <c r="O43" s="24"/>
      <c r="P43" s="24">
        <v>1.0061482846650671</v>
      </c>
      <c r="Q43" s="24">
        <v>4.5591980352263315</v>
      </c>
      <c r="S43" s="24"/>
      <c r="W43" s="24"/>
      <c r="X43" s="24"/>
      <c r="Y43" s="24"/>
      <c r="AA43" s="24">
        <v>1.0746037584718295</v>
      </c>
      <c r="AB43" s="24">
        <v>1.1252388385185084</v>
      </c>
      <c r="AC43" s="24">
        <v>33.519397730211878</v>
      </c>
      <c r="AD43" s="24">
        <v>3.4006187915802002</v>
      </c>
      <c r="AE43" s="24">
        <v>32.54109663979294</v>
      </c>
      <c r="AF43" s="24">
        <v>3.4812073495861902</v>
      </c>
      <c r="AG43" s="24">
        <v>23.166967391967773</v>
      </c>
      <c r="AH43" s="24">
        <v>0.68206749924470955</v>
      </c>
    </row>
    <row r="44" spans="2:34">
      <c r="B44" s="24"/>
      <c r="C44" s="24">
        <v>1.0151617431855047</v>
      </c>
      <c r="D44" s="24">
        <v>1.0778149794238585</v>
      </c>
      <c r="E44" s="24">
        <v>29.884451784079197</v>
      </c>
      <c r="F44" s="24">
        <v>3.6534936428070068</v>
      </c>
      <c r="G44" s="24">
        <v>0.63467639684677124</v>
      </c>
      <c r="H44" s="24">
        <v>3.2934594782011732</v>
      </c>
      <c r="J44" s="24">
        <v>0.99719892175525804</v>
      </c>
      <c r="K44" s="24">
        <v>1.0553964278518397</v>
      </c>
      <c r="L44" s="24">
        <v>29.251969482140158</v>
      </c>
      <c r="M44" s="24">
        <v>3.654853343963623</v>
      </c>
      <c r="O44" s="24"/>
      <c r="P44" s="24">
        <v>1.0151685943196853</v>
      </c>
      <c r="Q44" s="24">
        <v>4.595965761316867</v>
      </c>
      <c r="S44" s="24"/>
      <c r="W44" s="24"/>
      <c r="X44" s="24"/>
      <c r="Y44" s="24"/>
      <c r="AA44" s="24">
        <v>1.097871351109879</v>
      </c>
      <c r="AB44" s="24">
        <v>1.1467951381069854</v>
      </c>
      <c r="AC44" s="24">
        <v>31.833488209929502</v>
      </c>
      <c r="AD44" s="24">
        <v>3.6493124961853027</v>
      </c>
      <c r="AE44" s="24">
        <v>32.536311543488424</v>
      </c>
      <c r="AF44" s="24">
        <v>3.3985642744615747</v>
      </c>
      <c r="AG44" s="24">
        <v>22.697965621948242</v>
      </c>
      <c r="AH44" s="24">
        <v>0.67646837373709601</v>
      </c>
    </row>
    <row r="45" spans="2:34">
      <c r="B45" s="24"/>
      <c r="C45" s="24">
        <v>1.0424181574394855</v>
      </c>
      <c r="D45" s="24">
        <v>1.1036825389300309</v>
      </c>
      <c r="E45" s="24">
        <v>28.653300532457752</v>
      </c>
      <c r="F45" s="24">
        <v>3.9019253253936768</v>
      </c>
      <c r="G45" s="24">
        <v>0.64779019355773926</v>
      </c>
      <c r="H45" s="24">
        <v>3.2253495601906703</v>
      </c>
      <c r="J45" s="24">
        <v>0.99719892175525804</v>
      </c>
      <c r="K45" s="24">
        <v>1.0553964278518397</v>
      </c>
      <c r="L45" s="24">
        <v>27.379173822995821</v>
      </c>
      <c r="M45" s="24">
        <v>3.904853343963623</v>
      </c>
      <c r="O45" s="24"/>
      <c r="P45" s="24">
        <v>1.0151685943196853</v>
      </c>
      <c r="Q45" s="24">
        <v>4.595965761316867</v>
      </c>
      <c r="S45" s="24"/>
      <c r="W45" s="24"/>
      <c r="X45" s="24"/>
      <c r="Y45" s="24"/>
      <c r="AA45" s="24">
        <v>1.1072463978399703</v>
      </c>
      <c r="AB45" s="24">
        <v>1.1554176579423761</v>
      </c>
      <c r="AC45" s="24">
        <v>30.020546214202323</v>
      </c>
      <c r="AD45" s="24">
        <v>3.8987901210784912</v>
      </c>
      <c r="AE45" s="24">
        <v>32.53439750496662</v>
      </c>
      <c r="AF45" s="24">
        <v>3.3031153728851295</v>
      </c>
      <c r="AG45" s="24">
        <v>22.166971206665039</v>
      </c>
      <c r="AH45" s="24">
        <v>0.68985614818229779</v>
      </c>
    </row>
    <row r="46" spans="2:34">
      <c r="B46" s="24"/>
      <c r="C46" s="24">
        <v>1.0424181574394855</v>
      </c>
      <c r="D46" s="24">
        <v>1.1036825389300309</v>
      </c>
      <c r="E46" s="24">
        <v>26.927998548474026</v>
      </c>
      <c r="F46" s="24">
        <v>4.1519255638122559</v>
      </c>
      <c r="G46" s="24">
        <v>0.64184397459030151</v>
      </c>
      <c r="H46" s="24">
        <v>3.1232941433876786</v>
      </c>
      <c r="J46" s="24">
        <v>0.99719892175525804</v>
      </c>
      <c r="K46" s="24">
        <v>1.0553964278518397</v>
      </c>
      <c r="L46" s="24">
        <v>25.731752624669991</v>
      </c>
      <c r="M46" s="24">
        <v>4.154853343963623</v>
      </c>
      <c r="O46" s="24"/>
      <c r="P46" s="24">
        <v>1.0424252444681483</v>
      </c>
      <c r="Q46" s="24">
        <v>4.7062689395884725</v>
      </c>
      <c r="S46" s="24"/>
      <c r="W46" s="24"/>
      <c r="X46" s="24"/>
      <c r="Y46" s="24"/>
      <c r="AA46" s="24">
        <v>1.0885356738186331</v>
      </c>
      <c r="AB46" s="24">
        <v>1.1381726182715945</v>
      </c>
      <c r="AC46" s="24">
        <v>27.783486839104768</v>
      </c>
      <c r="AD46" s="24">
        <v>4.1498351097106934</v>
      </c>
      <c r="AE46" s="24">
        <v>32.538225582010227</v>
      </c>
      <c r="AF46" s="24">
        <v>3.1756125002602955</v>
      </c>
      <c r="AG46" s="24">
        <v>21.474966049194336</v>
      </c>
      <c r="AH46" s="24">
        <v>0.68207444523845928</v>
      </c>
    </row>
    <row r="47" spans="2:34">
      <c r="B47" s="24"/>
      <c r="C47" s="24">
        <v>1.0515700016006888</v>
      </c>
      <c r="D47" s="24">
        <v>1.1123050587654217</v>
      </c>
      <c r="E47" s="24">
        <v>25.600134655313017</v>
      </c>
      <c r="F47" s="24">
        <v>4.4014029502868652</v>
      </c>
      <c r="G47" s="24">
        <v>0.65512216091156006</v>
      </c>
      <c r="H47" s="24">
        <v>3.0402619870135514</v>
      </c>
      <c r="J47" s="24">
        <v>0.99719892175525804</v>
      </c>
      <c r="K47" s="24">
        <v>1.0553964278518397</v>
      </c>
      <c r="L47" s="24">
        <v>24.271332113314148</v>
      </c>
      <c r="M47" s="24">
        <v>4.404853343963623</v>
      </c>
      <c r="O47" s="24"/>
      <c r="P47" s="24">
        <v>1.0561660509861999</v>
      </c>
      <c r="Q47" s="24">
        <v>4.7614205287242743</v>
      </c>
      <c r="S47" s="24"/>
      <c r="W47" s="24"/>
      <c r="X47" s="24"/>
      <c r="Y47" s="24"/>
      <c r="AA47" s="24">
        <v>1.0931986555869437</v>
      </c>
      <c r="AB47" s="24">
        <v>1.1424838781892901</v>
      </c>
      <c r="AC47" s="24">
        <v>26.305643026730422</v>
      </c>
      <c r="AD47" s="24">
        <v>4.399573802947998</v>
      </c>
      <c r="AE47" s="24">
        <v>32.537268562749325</v>
      </c>
      <c r="AF47" s="24">
        <v>3.0858625447055066</v>
      </c>
      <c r="AG47" s="24">
        <v>20.987968444824219</v>
      </c>
      <c r="AH47" s="24">
        <v>0.67662043376731629</v>
      </c>
    </row>
    <row r="48" spans="2:34">
      <c r="B48" s="24"/>
      <c r="C48" s="24">
        <v>1.060756427244836</v>
      </c>
      <c r="D48" s="24">
        <v>1.120927578600813</v>
      </c>
      <c r="E48" s="24">
        <v>24.414726083772187</v>
      </c>
      <c r="F48" s="24">
        <v>4.6508803367614746</v>
      </c>
      <c r="G48" s="24">
        <v>0.65063446760177612</v>
      </c>
      <c r="H48" s="24">
        <v>2.962538774724369</v>
      </c>
      <c r="J48" s="24">
        <v>0.99719892175525804</v>
      </c>
      <c r="K48" s="24">
        <v>1.0553964278518397</v>
      </c>
      <c r="L48" s="24">
        <v>22.967782335262303</v>
      </c>
      <c r="M48" s="24">
        <v>4.654853343963623</v>
      </c>
      <c r="O48" s="24"/>
      <c r="P48" s="24"/>
      <c r="R48" s="3"/>
      <c r="S48" s="24"/>
      <c r="W48" s="24"/>
      <c r="X48" s="24"/>
      <c r="Y48" s="24"/>
      <c r="AA48" s="24">
        <v>1.1072463978399703</v>
      </c>
      <c r="AB48" s="24">
        <v>1.1554176579423761</v>
      </c>
      <c r="AC48" s="24">
        <v>25.177262453021399</v>
      </c>
      <c r="AD48" s="24">
        <v>4.6487898826599121</v>
      </c>
      <c r="AE48" s="24">
        <v>32.53439750496662</v>
      </c>
      <c r="AF48" s="24">
        <v>3.0139320181452938</v>
      </c>
      <c r="AG48" s="24">
        <v>20.597980499267578</v>
      </c>
      <c r="AH48" s="24">
        <v>0.69245167799818386</v>
      </c>
    </row>
    <row r="49" spans="1:52">
      <c r="B49" s="24"/>
      <c r="C49" s="24">
        <v>1.0653628906976562</v>
      </c>
      <c r="D49" s="24">
        <v>1.1252388385185084</v>
      </c>
      <c r="E49" s="24">
        <v>23.259653283858626</v>
      </c>
      <c r="F49" s="24">
        <v>4.9006190299987793</v>
      </c>
      <c r="G49" s="24">
        <v>0.66507786512374878</v>
      </c>
      <c r="H49" s="24">
        <v>2.8830214861228374</v>
      </c>
      <c r="J49" s="24">
        <v>0.99719892175525804</v>
      </c>
      <c r="K49" s="24">
        <v>1.0553964278518397</v>
      </c>
      <c r="L49" s="24">
        <v>21.797116222603467</v>
      </c>
      <c r="M49" s="24">
        <v>4.904853343963623</v>
      </c>
      <c r="O49" s="24"/>
      <c r="P49" s="24"/>
      <c r="R49" s="3"/>
      <c r="S49" s="24"/>
      <c r="W49" s="24"/>
      <c r="X49" s="24"/>
      <c r="Y49" s="24"/>
      <c r="AA49" s="24">
        <v>1.0931986555869437</v>
      </c>
      <c r="AB49" s="24">
        <v>1.1424838781892901</v>
      </c>
      <c r="AC49" s="24">
        <v>23.621160222410474</v>
      </c>
      <c r="AD49" s="24">
        <v>4.899573802947998</v>
      </c>
      <c r="AE49" s="24">
        <v>32.537268562749325</v>
      </c>
      <c r="AF49" s="24">
        <v>2.9087307264893325</v>
      </c>
      <c r="AG49" s="24">
        <v>20.041969299316406</v>
      </c>
      <c r="AH49" s="24">
        <v>0.68639944701147693</v>
      </c>
    </row>
    <row r="50" spans="1:52">
      <c r="X50" s="19"/>
      <c r="Y50" s="19"/>
    </row>
    <row r="51" spans="1:52">
      <c r="X51" s="24"/>
      <c r="Y51" s="24"/>
    </row>
    <row r="52" spans="1:52">
      <c r="C52" s="19" t="s">
        <v>318</v>
      </c>
      <c r="Z52" s="24"/>
      <c r="AA52" s="19"/>
      <c r="AB52" s="24"/>
      <c r="AC52" s="24"/>
      <c r="AD52" s="24"/>
      <c r="AE52" s="19"/>
      <c r="AF52" s="24"/>
    </row>
    <row r="53" spans="1:52">
      <c r="Z53" s="24"/>
      <c r="AA53" s="19"/>
      <c r="AB53" s="19"/>
      <c r="AC53" s="24"/>
      <c r="AD53" s="24"/>
      <c r="AE53" s="19"/>
      <c r="AF53" s="24"/>
      <c r="AH53" s="19"/>
      <c r="AI53" s="24"/>
      <c r="AJ53" s="24"/>
      <c r="AK53" s="19" t="s">
        <v>331</v>
      </c>
      <c r="AT53" s="19"/>
    </row>
    <row r="54" spans="1:52">
      <c r="C54" s="19" t="s">
        <v>319</v>
      </c>
      <c r="H54" s="19" t="s">
        <v>321</v>
      </c>
      <c r="M54" s="19" t="s">
        <v>323</v>
      </c>
      <c r="R54" s="19" t="s">
        <v>325</v>
      </c>
      <c r="Y54" s="19"/>
      <c r="Z54" s="24"/>
      <c r="AA54" s="24"/>
      <c r="AB54" s="19"/>
      <c r="AC54" s="19"/>
      <c r="AD54" s="19"/>
      <c r="AE54" s="19"/>
      <c r="AF54" s="24"/>
      <c r="AH54" s="19"/>
      <c r="AI54" s="24"/>
      <c r="AJ54" s="24"/>
      <c r="AK54" s="24">
        <v>0.5674747362732887</v>
      </c>
      <c r="AT54" s="19"/>
      <c r="AU54" s="24"/>
      <c r="AV54" s="24"/>
      <c r="AX54" s="24"/>
      <c r="AY54" s="24"/>
      <c r="AZ54" s="24"/>
    </row>
    <row r="55" spans="1:52">
      <c r="C55" s="24" t="s">
        <v>154</v>
      </c>
      <c r="D55" s="24" t="s">
        <v>155</v>
      </c>
      <c r="E55" s="24" t="s">
        <v>156</v>
      </c>
      <c r="F55" s="24" t="s">
        <v>159</v>
      </c>
      <c r="H55" s="24" t="s">
        <v>154</v>
      </c>
      <c r="I55" s="24" t="s">
        <v>155</v>
      </c>
      <c r="J55" s="24" t="s">
        <v>156</v>
      </c>
      <c r="K55" s="24" t="s">
        <v>159</v>
      </c>
      <c r="M55" s="24" t="s">
        <v>154</v>
      </c>
      <c r="N55" s="24" t="s">
        <v>155</v>
      </c>
      <c r="O55" s="24" t="s">
        <v>156</v>
      </c>
      <c r="P55" s="24" t="s">
        <v>159</v>
      </c>
      <c r="R55" s="24" t="s">
        <v>154</v>
      </c>
      <c r="S55" s="24" t="s">
        <v>155</v>
      </c>
      <c r="T55" s="24" t="s">
        <v>156</v>
      </c>
      <c r="U55" s="24" t="s">
        <v>159</v>
      </c>
      <c r="V55" s="24" t="s">
        <v>157</v>
      </c>
      <c r="Z55" s="19"/>
      <c r="AA55" s="19"/>
      <c r="AB55" s="19"/>
      <c r="AC55" s="19"/>
      <c r="AD55" s="19"/>
      <c r="AE55" s="19"/>
      <c r="AH55" s="24"/>
      <c r="AI55" s="24"/>
      <c r="AJ55" s="24"/>
      <c r="AK55" s="24" t="s">
        <v>154</v>
      </c>
      <c r="AL55" s="24" t="s">
        <v>155</v>
      </c>
      <c r="AM55" s="24" t="s">
        <v>156</v>
      </c>
      <c r="AN55" s="24" t="s">
        <v>159</v>
      </c>
      <c r="AO55" s="24" t="s">
        <v>238</v>
      </c>
      <c r="AP55" s="24" t="s">
        <v>157</v>
      </c>
      <c r="AQ55" s="24" t="s">
        <v>160</v>
      </c>
      <c r="AR55" s="24" t="s">
        <v>265</v>
      </c>
      <c r="AT55" s="19"/>
      <c r="AU55" s="19"/>
      <c r="AV55" s="24"/>
      <c r="AX55" s="19"/>
      <c r="AY55" s="19"/>
      <c r="AZ55" s="24"/>
    </row>
    <row r="56" spans="1:52">
      <c r="A56" s="24"/>
      <c r="B56" s="24"/>
      <c r="C56" s="24">
        <v>0.70124165290477558</v>
      </c>
      <c r="D56" s="24">
        <v>2.711823160493787</v>
      </c>
      <c r="E56" s="24">
        <v>419.1944195151342</v>
      </c>
      <c r="F56" s="24">
        <v>0.6553228497505188</v>
      </c>
      <c r="H56" s="24">
        <v>0.35387102361683259</v>
      </c>
      <c r="I56" s="24">
        <v>2.7253722222222216</v>
      </c>
      <c r="J56" s="24">
        <v>421.80791549975146</v>
      </c>
      <c r="K56" s="24">
        <v>0.65451639890670776</v>
      </c>
      <c r="M56" s="24">
        <v>1.0775672128157614</v>
      </c>
      <c r="N56" s="24">
        <v>2.7649521252673934</v>
      </c>
      <c r="O56" s="24">
        <v>429.47908592206159</v>
      </c>
      <c r="P56" s="24">
        <v>0.65216130018234253</v>
      </c>
      <c r="R56" s="24">
        <v>0.40188393468456329</v>
      </c>
      <c r="S56" s="24">
        <v>2.4465501777777194</v>
      </c>
      <c r="T56" s="24">
        <v>369.27714311275082</v>
      </c>
      <c r="U56" s="24">
        <v>0.67113691568374634</v>
      </c>
      <c r="V56" s="24">
        <v>19.566778422396968</v>
      </c>
      <c r="Z56" s="24"/>
      <c r="AA56" s="24"/>
      <c r="AB56" s="24"/>
      <c r="AC56" s="24"/>
      <c r="AD56" s="24"/>
      <c r="AG56" s="24"/>
      <c r="AH56" s="24"/>
      <c r="AI56" s="24"/>
      <c r="AJ56" s="24"/>
      <c r="AK56" s="24">
        <v>0.48500805859202067</v>
      </c>
      <c r="AL56" s="24">
        <v>2.8940898444443746</v>
      </c>
      <c r="AM56" s="24">
        <v>454.89257387344747</v>
      </c>
      <c r="AN56" s="24">
        <v>0.64448469877243042</v>
      </c>
      <c r="AO56" s="24">
        <v>32.148444720248534</v>
      </c>
      <c r="AP56" s="24">
        <v>20.440489849095005</v>
      </c>
      <c r="AQ56" s="24">
        <v>32.717418670654297</v>
      </c>
      <c r="AR56" s="24">
        <v>0.57684746907075513</v>
      </c>
      <c r="AT56" s="24"/>
      <c r="AU56" s="24"/>
      <c r="AV56" s="24"/>
      <c r="AX56" s="24"/>
      <c r="AY56" s="24"/>
      <c r="AZ56" s="24"/>
    </row>
    <row r="57" spans="1:52">
      <c r="A57" s="24"/>
      <c r="B57" s="24"/>
      <c r="C57" s="24">
        <v>0.74697221665088265</v>
      </c>
      <c r="D57" s="24">
        <v>2.8977767486419328</v>
      </c>
      <c r="E57" s="24">
        <v>422.81332484927714</v>
      </c>
      <c r="F57" s="24">
        <v>0.69426566362380981</v>
      </c>
      <c r="H57" s="24">
        <v>0.37486235045470151</v>
      </c>
      <c r="I57" s="24">
        <v>2.896681333333329</v>
      </c>
      <c r="J57" s="24">
        <v>422.61388546870631</v>
      </c>
      <c r="K57" s="24">
        <v>0.69433075189590454</v>
      </c>
      <c r="M57" s="24">
        <v>1.1464526117245695</v>
      </c>
      <c r="N57" s="24">
        <v>2.9503120442797361</v>
      </c>
      <c r="O57" s="24">
        <v>432.42178113618593</v>
      </c>
      <c r="P57" s="24">
        <v>0.69114607572555542</v>
      </c>
      <c r="R57" s="24">
        <v>0.42920973632856596</v>
      </c>
      <c r="S57" s="24">
        <v>2.6255660444443825</v>
      </c>
      <c r="T57" s="24">
        <v>374.36296691417681</v>
      </c>
      <c r="U57" s="24">
        <v>0.71045982837677002</v>
      </c>
      <c r="V57" s="24">
        <v>19.659750949759161</v>
      </c>
      <c r="Z57" s="24"/>
      <c r="AA57" s="24"/>
      <c r="AB57" s="24"/>
      <c r="AC57" s="24"/>
      <c r="AD57" s="24"/>
      <c r="AG57" s="24"/>
      <c r="AH57" s="24"/>
      <c r="AI57" s="24"/>
      <c r="AJ57" s="24"/>
      <c r="AK57" s="24">
        <v>0.49635838850514502</v>
      </c>
      <c r="AL57" s="24">
        <v>2.9537617999999277</v>
      </c>
      <c r="AM57" s="24">
        <v>433.05572012817066</v>
      </c>
      <c r="AN57" s="24">
        <v>0.69094127416610718</v>
      </c>
      <c r="AO57" s="24">
        <v>32.135198659493071</v>
      </c>
      <c r="AP57" s="24">
        <v>20.281325109061726</v>
      </c>
      <c r="AQ57" s="24">
        <v>32.409420013427734</v>
      </c>
      <c r="AR57" s="24">
        <v>0.5727586147431839</v>
      </c>
      <c r="AT57" s="24"/>
      <c r="AU57" s="24"/>
      <c r="AV57" s="24"/>
      <c r="AX57" s="24"/>
      <c r="AY57" s="24"/>
      <c r="AZ57" s="24"/>
    </row>
    <row r="58" spans="1:52">
      <c r="A58" s="24"/>
      <c r="B58" s="24"/>
      <c r="C58" s="24">
        <v>0.79314486461968692</v>
      </c>
      <c r="D58" s="24">
        <v>3.0682342044444</v>
      </c>
      <c r="E58" s="24">
        <v>423.36300193475279</v>
      </c>
      <c r="F58" s="24">
        <v>0.73415040969848633</v>
      </c>
      <c r="H58" s="24">
        <v>0.39817240993760794</v>
      </c>
      <c r="I58" s="24">
        <v>3.0679904444444372</v>
      </c>
      <c r="J58" s="24">
        <v>423.32103451950547</v>
      </c>
      <c r="K58" s="24">
        <v>0.73416489362716675</v>
      </c>
      <c r="M58" s="24">
        <v>1.2160386786087634</v>
      </c>
      <c r="N58" s="24">
        <v>3.1202253033743834</v>
      </c>
      <c r="O58" s="24">
        <v>432.35152693004017</v>
      </c>
      <c r="P58" s="24">
        <v>0.73106902837753296</v>
      </c>
      <c r="R58" s="24">
        <v>0.45691536288922074</v>
      </c>
      <c r="S58" s="24">
        <v>2.7747459333332669</v>
      </c>
      <c r="T58" s="24">
        <v>373.9884452992207</v>
      </c>
      <c r="U58" s="24">
        <v>0.75157874822616577</v>
      </c>
      <c r="V58" s="24">
        <v>19.688186020985743</v>
      </c>
      <c r="Z58" s="24"/>
      <c r="AA58" s="24"/>
      <c r="AB58" s="24"/>
      <c r="AC58" s="24"/>
      <c r="AD58" s="24"/>
      <c r="AG58" s="24"/>
      <c r="AH58" s="24"/>
      <c r="AI58" s="24"/>
      <c r="AJ58" s="24"/>
      <c r="AK58" s="24">
        <v>0.51350379228344545</v>
      </c>
      <c r="AL58" s="24">
        <v>3.0432697333332581</v>
      </c>
      <c r="AM58" s="24">
        <v>419.07338970751027</v>
      </c>
      <c r="AN58" s="24">
        <v>0.73563063144683838</v>
      </c>
      <c r="AO58" s="24">
        <v>32.115329568359876</v>
      </c>
      <c r="AP58" s="24">
        <v>20.182648426054872</v>
      </c>
      <c r="AQ58" s="24">
        <v>32.195411682128906</v>
      </c>
      <c r="AR58" s="24">
        <v>0.57635184323452482</v>
      </c>
      <c r="AT58" s="24"/>
      <c r="AU58" s="24"/>
      <c r="AV58" s="24"/>
      <c r="AX58" s="24"/>
      <c r="AY58" s="24"/>
      <c r="AZ58" s="24"/>
    </row>
    <row r="59" spans="1:52">
      <c r="A59" s="24"/>
      <c r="B59" s="24"/>
      <c r="C59" s="24">
        <v>0.83555930284102564</v>
      </c>
      <c r="D59" s="24">
        <v>3.2231955279011886</v>
      </c>
      <c r="E59" s="24">
        <v>421.31824710790039</v>
      </c>
      <c r="F59" s="24">
        <v>0.77497166395187378</v>
      </c>
      <c r="H59" s="24">
        <v>0.41958734167121786</v>
      </c>
      <c r="I59" s="24">
        <v>3.2237259999999899</v>
      </c>
      <c r="J59" s="24">
        <v>421.40465824380755</v>
      </c>
      <c r="K59" s="24">
        <v>0.77494025230407715</v>
      </c>
      <c r="M59" s="24">
        <v>1.2799944493996998</v>
      </c>
      <c r="N59" s="24">
        <v>3.2746919025513357</v>
      </c>
      <c r="O59" s="24">
        <v>429.7390241548847</v>
      </c>
      <c r="P59" s="24">
        <v>0.77192497253417969</v>
      </c>
      <c r="R59" s="24">
        <v>0.48500805859202067</v>
      </c>
      <c r="S59" s="24">
        <v>2.9239258222221514</v>
      </c>
      <c r="T59" s="24">
        <v>373.64570037306686</v>
      </c>
      <c r="U59" s="24">
        <v>0.79271268844604492</v>
      </c>
      <c r="V59" s="24">
        <v>19.716445585569929</v>
      </c>
      <c r="Z59" s="24"/>
      <c r="AA59" s="24"/>
      <c r="AB59" s="24"/>
      <c r="AC59" s="24"/>
      <c r="AD59" s="24"/>
      <c r="AG59" s="24"/>
      <c r="AH59" s="24"/>
      <c r="AI59" s="24"/>
      <c r="AJ59" s="24"/>
      <c r="AK59" s="24">
        <v>0.52501492363990943</v>
      </c>
      <c r="AL59" s="24">
        <v>3.1029416888888122</v>
      </c>
      <c r="AM59" s="24">
        <v>401.90605290904563</v>
      </c>
      <c r="AN59" s="24">
        <v>0.78209322690963745</v>
      </c>
      <c r="AO59" s="24">
        <v>32.102083507604412</v>
      </c>
      <c r="AP59" s="24">
        <v>20.039199900076458</v>
      </c>
      <c r="AQ59" s="24">
        <v>31.919416427612305</v>
      </c>
      <c r="AR59" s="24">
        <v>0.57274944101912906</v>
      </c>
      <c r="AT59" s="24"/>
      <c r="AU59" s="24"/>
      <c r="AV59" s="24"/>
      <c r="AX59" s="24"/>
      <c r="AY59" s="24"/>
      <c r="AZ59" s="24"/>
    </row>
    <row r="60" spans="1:52">
      <c r="A60" s="24"/>
      <c r="B60" s="24"/>
      <c r="C60" s="24">
        <v>0.89142074963175311</v>
      </c>
      <c r="D60" s="24">
        <v>3.4246452483950134</v>
      </c>
      <c r="E60" s="24">
        <v>342.44309253077807</v>
      </c>
      <c r="F60" s="24">
        <v>1.0130634307861328</v>
      </c>
      <c r="H60" s="24">
        <v>0.44998808539670121</v>
      </c>
      <c r="I60" s="24">
        <v>3.4417557777777636</v>
      </c>
      <c r="J60" s="24">
        <v>344.49756204721325</v>
      </c>
      <c r="K60" s="24">
        <v>1.0120532512664795</v>
      </c>
      <c r="M60" s="24">
        <v>1.3252067492050794</v>
      </c>
      <c r="N60" s="24">
        <v>3.3828185219752025</v>
      </c>
      <c r="O60" s="24">
        <v>337.43787095582491</v>
      </c>
      <c r="P60" s="24">
        <v>1.0155336856842041</v>
      </c>
      <c r="R60" s="24">
        <v>0.52501492363990943</v>
      </c>
      <c r="S60" s="24">
        <v>3.132777666666589</v>
      </c>
      <c r="T60" s="24">
        <v>308.00985924861573</v>
      </c>
      <c r="U60" s="24">
        <v>1.0303254127502441</v>
      </c>
      <c r="V60" s="24">
        <v>18.928350885161233</v>
      </c>
      <c r="Z60" s="24"/>
      <c r="AA60" s="24"/>
      <c r="AB60" s="24"/>
      <c r="AC60" s="24"/>
      <c r="AD60" s="24"/>
      <c r="AG60" s="24"/>
      <c r="AH60" s="24"/>
      <c r="AI60" s="24"/>
      <c r="AJ60" s="24"/>
      <c r="AK60" s="24">
        <v>0.57765851578960203</v>
      </c>
      <c r="AL60" s="24">
        <v>3.3714654888888038</v>
      </c>
      <c r="AM60" s="24">
        <v>336.08343510585939</v>
      </c>
      <c r="AN60" s="24">
        <v>1.0162043571472168</v>
      </c>
      <c r="AO60" s="24">
        <v>32.042476234204827</v>
      </c>
      <c r="AP60" s="24">
        <v>19.366773172540025</v>
      </c>
      <c r="AQ60" s="24">
        <v>30.660417556762695</v>
      </c>
      <c r="AR60" s="24">
        <v>0.56973460615783322</v>
      </c>
      <c r="AT60" s="24"/>
      <c r="AU60" s="24"/>
      <c r="AV60" s="24"/>
      <c r="AX60" s="24"/>
      <c r="AY60" s="24"/>
      <c r="AZ60" s="24"/>
    </row>
    <row r="61" spans="1:52">
      <c r="A61" s="24"/>
      <c r="B61" s="24"/>
      <c r="C61" s="24">
        <v>0.92188223988296725</v>
      </c>
      <c r="D61" s="24">
        <v>3.5331181748147658</v>
      </c>
      <c r="E61" s="24">
        <v>284.80587811465989</v>
      </c>
      <c r="F61" s="24">
        <v>1.2566624879837036</v>
      </c>
      <c r="H61" s="24">
        <v>0.44998808539670121</v>
      </c>
      <c r="I61" s="24">
        <v>3.4417557777777636</v>
      </c>
      <c r="J61" s="24">
        <v>276.25607233277395</v>
      </c>
      <c r="K61" s="24">
        <v>1.2620532512664795</v>
      </c>
      <c r="M61" s="24">
        <v>1.3839335959677495</v>
      </c>
      <c r="N61" s="24">
        <v>3.5218384612344589</v>
      </c>
      <c r="O61" s="24">
        <v>283.74640989818778</v>
      </c>
      <c r="P61" s="24">
        <v>1.2573277950286865</v>
      </c>
      <c r="R61" s="24">
        <v>0.58954629035670536</v>
      </c>
      <c r="S61" s="24">
        <v>3.4908093999999106</v>
      </c>
      <c r="T61" s="24">
        <v>280.83762475331355</v>
      </c>
      <c r="U61" s="24">
        <v>1.2591581344604492</v>
      </c>
      <c r="V61" s="24">
        <v>18.558522281534696</v>
      </c>
      <c r="Z61" s="24"/>
      <c r="AA61" s="24"/>
      <c r="AB61" s="24"/>
      <c r="AC61" s="24"/>
      <c r="AD61" s="24"/>
      <c r="AG61" s="24"/>
      <c r="AH61" s="24"/>
      <c r="AI61" s="24"/>
      <c r="AJ61" s="24"/>
      <c r="AK61" s="24">
        <v>0.62564292461824489</v>
      </c>
      <c r="AL61" s="24">
        <v>3.6101533111110182</v>
      </c>
      <c r="AM61" s="24">
        <v>292.07111543962856</v>
      </c>
      <c r="AN61" s="24">
        <v>1.2521215677261353</v>
      </c>
      <c r="AO61" s="24">
        <v>31.98949199118297</v>
      </c>
      <c r="AP61" s="24">
        <v>18.771509423629418</v>
      </c>
      <c r="AQ61" s="24">
        <v>29.583417892456055</v>
      </c>
      <c r="AR61" s="24">
        <v>0.56994776729456542</v>
      </c>
      <c r="AT61" s="24"/>
      <c r="AU61" s="24"/>
      <c r="AV61" s="24"/>
      <c r="AX61" s="24"/>
      <c r="AY61" s="24"/>
      <c r="AZ61" s="24"/>
    </row>
    <row r="62" spans="1:52">
      <c r="A62" s="24"/>
      <c r="B62" s="24"/>
      <c r="C62" s="24">
        <v>0.93502611011604653</v>
      </c>
      <c r="D62" s="24">
        <v>3.5796065718518015</v>
      </c>
      <c r="E62" s="24">
        <v>241.11238533435682</v>
      </c>
      <c r="F62" s="24">
        <v>1.5039217472076416</v>
      </c>
      <c r="H62" s="24">
        <v>0.46982806070359689</v>
      </c>
      <c r="I62" s="24">
        <v>3.5819177777777607</v>
      </c>
      <c r="J62" s="24">
        <v>241.28991769739253</v>
      </c>
      <c r="K62" s="24">
        <v>1.5037854909896851</v>
      </c>
      <c r="M62" s="24">
        <v>1.4102677167728919</v>
      </c>
      <c r="N62" s="24">
        <v>3.5836251009052393</v>
      </c>
      <c r="O62" s="24">
        <v>241.42108385571186</v>
      </c>
      <c r="P62" s="24">
        <v>1.5036848783493042</v>
      </c>
      <c r="R62" s="24">
        <v>0.61958120654208049</v>
      </c>
      <c r="S62" s="24">
        <v>3.639989288888795</v>
      </c>
      <c r="T62" s="24">
        <v>245.76099669311802</v>
      </c>
      <c r="U62" s="24">
        <v>1.500363826751709</v>
      </c>
      <c r="V62" s="24">
        <v>17.902737392518492</v>
      </c>
      <c r="Z62" s="24"/>
      <c r="AA62" s="24"/>
      <c r="AB62" s="24"/>
      <c r="AC62" s="24"/>
      <c r="AD62" s="24"/>
      <c r="AG62" s="24"/>
      <c r="AH62" s="24"/>
      <c r="AI62" s="24"/>
      <c r="AJ62" s="24"/>
      <c r="AK62" s="24">
        <v>0.6685962890591457</v>
      </c>
      <c r="AL62" s="24">
        <v>3.8190051555554558</v>
      </c>
      <c r="AM62" s="24">
        <v>259.67066716373779</v>
      </c>
      <c r="AN62" s="24">
        <v>1.4898302555084229</v>
      </c>
      <c r="AO62" s="24">
        <v>31.943130778538848</v>
      </c>
      <c r="AP62" s="24">
        <v>18.223625331943389</v>
      </c>
      <c r="AQ62" s="24">
        <v>28.625415802001953</v>
      </c>
      <c r="AR62" s="24">
        <v>0.5724181444211186</v>
      </c>
      <c r="AT62" s="24"/>
      <c r="AU62" s="24"/>
      <c r="AV62" s="24"/>
      <c r="AX62" s="24"/>
      <c r="AY62" s="24"/>
      <c r="AZ62" s="24"/>
    </row>
    <row r="63" spans="1:52">
      <c r="A63" s="24"/>
      <c r="B63" s="24"/>
      <c r="C63" s="24">
        <v>0.97036314252112443</v>
      </c>
      <c r="D63" s="24">
        <v>3.7035756306172321</v>
      </c>
      <c r="E63" s="24">
        <v>214.79900439089815</v>
      </c>
      <c r="F63" s="24">
        <v>1.7466199398040771</v>
      </c>
      <c r="H63" s="24">
        <v>0.48993191512860129</v>
      </c>
      <c r="I63" s="24">
        <v>3.7376533333333133</v>
      </c>
      <c r="J63" s="24">
        <v>217.02461144492062</v>
      </c>
      <c r="K63" s="24">
        <v>1.7446144819259644</v>
      </c>
      <c r="M63" s="24">
        <v>1.4500607275479014</v>
      </c>
      <c r="N63" s="24">
        <v>3.6763050604114111</v>
      </c>
      <c r="O63" s="24">
        <v>213.02157951597408</v>
      </c>
      <c r="P63" s="24">
        <v>1.748225212097168</v>
      </c>
      <c r="R63" s="24">
        <v>0.67480737547998215</v>
      </c>
      <c r="S63" s="24">
        <v>3.9085130888887867</v>
      </c>
      <c r="T63" s="24">
        <v>228.25947159531572</v>
      </c>
      <c r="U63" s="24">
        <v>1.7345714569091797</v>
      </c>
      <c r="V63" s="24">
        <v>17.547115018177735</v>
      </c>
      <c r="Z63" s="24"/>
      <c r="AA63" s="24"/>
      <c r="AB63" s="24"/>
      <c r="AC63" s="24"/>
      <c r="AD63" s="24"/>
      <c r="AG63" s="24"/>
      <c r="AH63" s="24"/>
      <c r="AI63" s="24"/>
      <c r="AJ63" s="24"/>
      <c r="AK63" s="24">
        <v>0.69356139392490257</v>
      </c>
      <c r="AL63" s="24">
        <v>3.9383490666665635</v>
      </c>
      <c r="AM63" s="24">
        <v>230.23442316987988</v>
      </c>
      <c r="AN63" s="24">
        <v>1.7328197956085205</v>
      </c>
      <c r="AO63" s="24">
        <v>31.916638657027921</v>
      </c>
      <c r="AP63" s="24">
        <v>17.599647067698232</v>
      </c>
      <c r="AQ63" s="24">
        <v>27.610408782958984</v>
      </c>
      <c r="AR63" s="24">
        <v>0.56795761920796972</v>
      </c>
      <c r="AT63" s="24"/>
      <c r="AU63" s="24"/>
      <c r="AV63" s="24"/>
      <c r="AX63" s="24"/>
      <c r="AY63" s="24"/>
      <c r="AZ63" s="24"/>
    </row>
    <row r="64" spans="1:52">
      <c r="A64" s="24"/>
      <c r="B64" s="24"/>
      <c r="C64" s="24">
        <v>0.97481060509723882</v>
      </c>
      <c r="D64" s="24">
        <v>3.7345678953085906</v>
      </c>
      <c r="E64" s="24">
        <v>189.64932839294207</v>
      </c>
      <c r="F64" s="24">
        <v>1.9947960376739502</v>
      </c>
      <c r="H64" s="24">
        <v>0.48993191512860129</v>
      </c>
      <c r="I64" s="24">
        <v>3.7376533333333133</v>
      </c>
      <c r="J64" s="24">
        <v>189.82328856959765</v>
      </c>
      <c r="K64" s="24">
        <v>1.9946144819259644</v>
      </c>
      <c r="M64" s="24">
        <v>1.4902274656008669</v>
      </c>
      <c r="N64" s="24">
        <v>3.7844316798352775</v>
      </c>
      <c r="O64" s="24">
        <v>192.46450945302976</v>
      </c>
      <c r="P64" s="24">
        <v>1.9918630123138428</v>
      </c>
      <c r="R64" s="24">
        <v>0.69985056304482207</v>
      </c>
      <c r="S64" s="24">
        <v>4.0278569999998934</v>
      </c>
      <c r="T64" s="24">
        <v>206.32508731667647</v>
      </c>
      <c r="U64" s="24">
        <v>1.9775681495666504</v>
      </c>
      <c r="V64" s="24">
        <v>16.990128466371562</v>
      </c>
      <c r="Z64" s="24"/>
      <c r="AA64" s="24"/>
      <c r="AB64" s="24"/>
      <c r="AC64" s="24"/>
      <c r="AD64" s="24"/>
      <c r="AG64" s="24"/>
      <c r="AH64" s="24"/>
      <c r="AI64" s="24"/>
      <c r="AJ64" s="24"/>
      <c r="AK64" s="24">
        <v>0.73160331143497448</v>
      </c>
      <c r="AL64" s="24">
        <v>4.1173649333332243</v>
      </c>
      <c r="AM64" s="24">
        <v>211.47110477942348</v>
      </c>
      <c r="AN64" s="24">
        <v>1.9723217487335205</v>
      </c>
      <c r="AO64" s="24">
        <v>31.876900474761531</v>
      </c>
      <c r="AP64" s="24">
        <v>17.147573205082729</v>
      </c>
      <c r="AQ64" s="24">
        <v>26.857414245605469</v>
      </c>
      <c r="AR64" s="24">
        <v>0.57406224307638754</v>
      </c>
      <c r="AT64" s="24"/>
      <c r="AU64" s="24"/>
      <c r="AV64" s="24"/>
      <c r="AX64" s="24"/>
      <c r="AY64" s="24"/>
      <c r="AZ64" s="24"/>
    </row>
    <row r="65" spans="1:52">
      <c r="A65" s="24"/>
      <c r="B65" s="24"/>
      <c r="C65" s="24">
        <v>1.001648439439649</v>
      </c>
      <c r="D65" s="24">
        <v>3.8275446893826635</v>
      </c>
      <c r="E65" s="24">
        <v>173.14579167850161</v>
      </c>
      <c r="F65" s="24">
        <v>2.2393283843994141</v>
      </c>
      <c r="H65" s="24">
        <v>0.48993191512860129</v>
      </c>
      <c r="I65" s="24">
        <v>3.7376533333333133</v>
      </c>
      <c r="J65" s="24">
        <v>168.68120725866444</v>
      </c>
      <c r="K65" s="24">
        <v>2.2446146011352539</v>
      </c>
      <c r="M65" s="24">
        <v>1.5104598579808164</v>
      </c>
      <c r="N65" s="24">
        <v>3.8307716595883634</v>
      </c>
      <c r="O65" s="24">
        <v>173.30644802659683</v>
      </c>
      <c r="P65" s="24">
        <v>2.2391386032104492</v>
      </c>
      <c r="R65" s="24">
        <v>0.72521143498640805</v>
      </c>
      <c r="S65" s="24">
        <v>4.1472009111110015</v>
      </c>
      <c r="T65" s="24">
        <v>189.19045931074436</v>
      </c>
      <c r="U65" s="24">
        <v>2.2205741405487061</v>
      </c>
      <c r="V65" s="24">
        <v>16.491179900690106</v>
      </c>
      <c r="Z65" s="24"/>
      <c r="AA65" s="24"/>
      <c r="AB65" s="24"/>
      <c r="AC65" s="24"/>
      <c r="AD65" s="24"/>
      <c r="AG65" s="24"/>
      <c r="AH65" s="24"/>
      <c r="AI65" s="24"/>
      <c r="AJ65" s="24"/>
      <c r="AK65" s="24">
        <v>0.75737277036238249</v>
      </c>
      <c r="AL65" s="24">
        <v>4.2367088444443315</v>
      </c>
      <c r="AM65" s="24">
        <v>193.73079560529166</v>
      </c>
      <c r="AN65" s="24">
        <v>2.2153348922729492</v>
      </c>
      <c r="AO65" s="24">
        <v>31.850408353250604</v>
      </c>
      <c r="AP65" s="24">
        <v>16.648905581640395</v>
      </c>
      <c r="AQ65" s="24">
        <v>26.072416305541992</v>
      </c>
      <c r="AR65" s="24">
        <v>0.57308633680094778</v>
      </c>
      <c r="AT65" s="24"/>
      <c r="AU65" s="24"/>
      <c r="AV65" s="24"/>
      <c r="AX65" s="24"/>
      <c r="AY65" s="24"/>
      <c r="AZ65" s="24"/>
    </row>
    <row r="66" spans="1:52">
      <c r="A66" s="24"/>
      <c r="B66" s="24"/>
      <c r="C66" s="24">
        <v>1.0151674316338291</v>
      </c>
      <c r="D66" s="24">
        <v>3.8740330864196992</v>
      </c>
      <c r="E66" s="24">
        <v>157.82195815543645</v>
      </c>
      <c r="F66" s="24">
        <v>2.4865965843200684</v>
      </c>
      <c r="H66" s="24">
        <v>0.51490828144757328</v>
      </c>
      <c r="I66" s="24">
        <v>3.9089624444444215</v>
      </c>
      <c r="J66" s="24">
        <v>159.37641552795242</v>
      </c>
      <c r="K66" s="24">
        <v>2.4845452308654785</v>
      </c>
      <c r="M66" s="24">
        <v>1.5240059899573322</v>
      </c>
      <c r="N66" s="24">
        <v>3.8616649794237539</v>
      </c>
      <c r="O66" s="24">
        <v>157.27214405771483</v>
      </c>
      <c r="P66" s="24">
        <v>2.4873232841491699</v>
      </c>
      <c r="R66" s="24">
        <v>0.74444569449245956</v>
      </c>
      <c r="S66" s="24">
        <v>4.2665448222221087</v>
      </c>
      <c r="T66" s="24">
        <v>175.43545639699937</v>
      </c>
      <c r="U66" s="24">
        <v>2.4635896682739258</v>
      </c>
      <c r="V66" s="24">
        <v>16.043276147174005</v>
      </c>
      <c r="Z66" s="24"/>
      <c r="AA66" s="24"/>
      <c r="AB66" s="24"/>
      <c r="AC66" s="24"/>
      <c r="AD66" s="24"/>
      <c r="AG66" s="24"/>
      <c r="AH66" s="24"/>
      <c r="AI66" s="24"/>
      <c r="AJ66" s="24"/>
      <c r="AK66" s="24">
        <v>0.77038187271889902</v>
      </c>
      <c r="AL66" s="24">
        <v>4.2963807999998869</v>
      </c>
      <c r="AM66" s="24">
        <v>176.78747313701348</v>
      </c>
      <c r="AN66" s="24">
        <v>2.4618451595306396</v>
      </c>
      <c r="AO66" s="24">
        <v>31.83716229249514</v>
      </c>
      <c r="AP66" s="24">
        <v>16.095425527873342</v>
      </c>
      <c r="AQ66" s="24">
        <v>25.244407653808594</v>
      </c>
      <c r="AR66" s="24">
        <v>0.57212525590275098</v>
      </c>
      <c r="AT66" s="24"/>
      <c r="AU66" s="24"/>
      <c r="AV66" s="24"/>
      <c r="AX66" s="24"/>
      <c r="AY66" s="24"/>
      <c r="AZ66" s="24"/>
    </row>
    <row r="67" spans="1:52">
      <c r="A67" s="24"/>
      <c r="B67" s="24"/>
      <c r="C67" s="24">
        <v>1.0151674316338291</v>
      </c>
      <c r="D67" s="24">
        <v>3.8740330864196992</v>
      </c>
      <c r="E67" s="24">
        <v>143.40423619733934</v>
      </c>
      <c r="F67" s="24">
        <v>2.7365965843200684</v>
      </c>
      <c r="H67" s="24">
        <v>0.51490828144757328</v>
      </c>
      <c r="I67" s="24">
        <v>3.9089624444444215</v>
      </c>
      <c r="J67" s="24">
        <v>144.80576406047567</v>
      </c>
      <c r="K67" s="24">
        <v>2.7345452308654785</v>
      </c>
      <c r="M67" s="24">
        <v>1.5444141172908228</v>
      </c>
      <c r="N67" s="24">
        <v>3.9080049591768393</v>
      </c>
      <c r="O67" s="24">
        <v>144.7673178518055</v>
      </c>
      <c r="P67" s="24">
        <v>2.7346012592315674</v>
      </c>
      <c r="R67" s="24">
        <v>0.79005690903677805</v>
      </c>
      <c r="S67" s="24">
        <v>4.4753966666665459</v>
      </c>
      <c r="T67" s="24">
        <v>167.82387503130511</v>
      </c>
      <c r="U67" s="24">
        <v>2.7013895511627197</v>
      </c>
      <c r="V67" s="24">
        <v>15.792785069916391</v>
      </c>
      <c r="Z67" s="24"/>
      <c r="AA67" s="24"/>
      <c r="AB67" s="24"/>
      <c r="AC67" s="24"/>
      <c r="AD67" s="24"/>
      <c r="AG67" s="24"/>
      <c r="AH67" s="24"/>
      <c r="AI67" s="24"/>
      <c r="AJ67" s="24"/>
      <c r="AK67" s="24">
        <v>0.78347816341635446</v>
      </c>
      <c r="AL67" s="24">
        <v>4.3560527555554396</v>
      </c>
      <c r="AM67" s="24">
        <v>162.92831649628994</v>
      </c>
      <c r="AN67" s="24">
        <v>2.708357572555542</v>
      </c>
      <c r="AO67" s="24">
        <v>31.823916231739677</v>
      </c>
      <c r="AP67" s="24">
        <v>15.586196236966138</v>
      </c>
      <c r="AQ67" s="24">
        <v>24.495410919189453</v>
      </c>
      <c r="AR67" s="24">
        <v>0.57235510037881798</v>
      </c>
      <c r="AT67" s="24"/>
      <c r="AU67" s="24"/>
      <c r="AV67" s="24"/>
      <c r="AX67" s="24"/>
      <c r="AY67" s="24"/>
      <c r="AZ67" s="24"/>
    </row>
    <row r="68" spans="1:52">
      <c r="A68" s="24"/>
      <c r="B68" s="24"/>
      <c r="C68" s="24">
        <v>1.0469957320974721</v>
      </c>
      <c r="D68" s="24">
        <v>3.982506012839452</v>
      </c>
      <c r="E68" s="24">
        <v>135.36810530413015</v>
      </c>
      <c r="F68" s="24">
        <v>2.9802284240722656</v>
      </c>
      <c r="H68" s="24">
        <v>0.51490828144757328</v>
      </c>
      <c r="I68" s="24">
        <v>3.9089624444444215</v>
      </c>
      <c r="J68" s="24">
        <v>132.67612971221556</v>
      </c>
      <c r="K68" s="24">
        <v>2.9845452308654785</v>
      </c>
      <c r="M68" s="24">
        <v>1.5649331080850515</v>
      </c>
      <c r="N68" s="24">
        <v>3.9543449389299243</v>
      </c>
      <c r="O68" s="24">
        <v>134.33640071316924</v>
      </c>
      <c r="P68" s="24">
        <v>2.9818809032440186</v>
      </c>
      <c r="R68" s="24">
        <v>0.80992781991732965</v>
      </c>
      <c r="S68" s="24">
        <v>4.5649045999998767</v>
      </c>
      <c r="T68" s="24">
        <v>156.95796584563288</v>
      </c>
      <c r="U68" s="24">
        <v>2.9461698532104492</v>
      </c>
      <c r="V68" s="24">
        <v>15.373474750939522</v>
      </c>
      <c r="Z68" s="24"/>
      <c r="AA68" s="24"/>
      <c r="AB68" s="24"/>
      <c r="AC68" s="24"/>
      <c r="AD68" s="24"/>
      <c r="AG68" s="24"/>
      <c r="AH68" s="24"/>
      <c r="AI68" s="24"/>
      <c r="AJ68" s="24"/>
      <c r="AK68" s="24">
        <v>0.79665994320786804</v>
      </c>
      <c r="AL68" s="24">
        <v>4.4157247111109932</v>
      </c>
      <c r="AM68" s="24">
        <v>151.38146230789826</v>
      </c>
      <c r="AN68" s="24">
        <v>2.9548723697662354</v>
      </c>
      <c r="AO68" s="24">
        <v>31.810670170984213</v>
      </c>
      <c r="AP68" s="24">
        <v>15.116978427138427</v>
      </c>
      <c r="AQ68" s="24">
        <v>23.81541633605957</v>
      </c>
      <c r="AR68" s="24">
        <v>0.57361467533874344</v>
      </c>
      <c r="AT68" s="24"/>
      <c r="AU68" s="24"/>
      <c r="AV68" s="24"/>
      <c r="AX68" s="24"/>
      <c r="AY68" s="24"/>
      <c r="AZ68" s="24"/>
    </row>
    <row r="69" spans="1:52">
      <c r="A69" s="24"/>
      <c r="B69" s="24"/>
      <c r="C69" s="24">
        <v>1.0561648264916308</v>
      </c>
      <c r="D69" s="24">
        <v>4.0134982775308092</v>
      </c>
      <c r="E69" s="24">
        <v>125.93423634485703</v>
      </c>
      <c r="F69" s="24">
        <v>3.2284102439880371</v>
      </c>
      <c r="H69" s="24">
        <v>0.51490828144757328</v>
      </c>
      <c r="I69" s="24">
        <v>3.9089624444444215</v>
      </c>
      <c r="J69" s="24">
        <v>122.42150929853378</v>
      </c>
      <c r="K69" s="24">
        <v>3.2345452308654785</v>
      </c>
      <c r="M69" s="24">
        <v>1.5649331080850515</v>
      </c>
      <c r="N69" s="24">
        <v>3.9543449389299243</v>
      </c>
      <c r="O69" s="24">
        <v>123.94489755583055</v>
      </c>
      <c r="P69" s="24">
        <v>3.2318809032440186</v>
      </c>
      <c r="R69" s="24">
        <v>0.82999803458811083</v>
      </c>
      <c r="S69" s="24">
        <v>4.6544125333332067</v>
      </c>
      <c r="T69" s="24">
        <v>147.75887587712074</v>
      </c>
      <c r="U69" s="24">
        <v>3.1909554004669189</v>
      </c>
      <c r="V69" s="24">
        <v>14.988473430251007</v>
      </c>
      <c r="Z69" s="24"/>
      <c r="AA69" s="24"/>
      <c r="AB69" s="24"/>
      <c r="AC69" s="24"/>
      <c r="AD69" s="24"/>
      <c r="AG69" s="24"/>
      <c r="AH69" s="24"/>
      <c r="AI69" s="24"/>
      <c r="AJ69" s="24"/>
      <c r="AK69" s="24">
        <v>0.80992781991732965</v>
      </c>
      <c r="AL69" s="24">
        <v>4.4753966666665459</v>
      </c>
      <c r="AM69" s="24">
        <v>141.61277729750785</v>
      </c>
      <c r="AN69" s="24">
        <v>3.2013895511627197</v>
      </c>
      <c r="AO69" s="24">
        <v>31.79742411022875</v>
      </c>
      <c r="AP69" s="24">
        <v>14.683543818587811</v>
      </c>
      <c r="AQ69" s="24">
        <v>23.195409774780273</v>
      </c>
      <c r="AR69" s="24">
        <v>0.57573521521792859</v>
      </c>
      <c r="AT69" s="24"/>
      <c r="AU69" s="24"/>
      <c r="AV69" s="24"/>
      <c r="AX69" s="24"/>
      <c r="AY69" s="24"/>
      <c r="AZ69" s="24"/>
    </row>
    <row r="70" spans="1:52">
      <c r="A70" s="24"/>
      <c r="B70" s="24"/>
      <c r="C70" s="24">
        <v>1.0607624540871043</v>
      </c>
      <c r="D70" s="24">
        <v>4.0289944098764892</v>
      </c>
      <c r="E70" s="24">
        <v>117.36505180149385</v>
      </c>
      <c r="F70" s="24">
        <v>3.477501392364502</v>
      </c>
      <c r="H70" s="24">
        <v>0.54508475187530658</v>
      </c>
      <c r="I70" s="24">
        <v>4.1114186666666406</v>
      </c>
      <c r="J70" s="24">
        <v>119.93270096216351</v>
      </c>
      <c r="K70" s="24">
        <v>3.4726700782775879</v>
      </c>
      <c r="M70" s="24">
        <v>1.5993904767705585</v>
      </c>
      <c r="N70" s="24">
        <v>4.0315782385184002</v>
      </c>
      <c r="O70" s="24">
        <v>117.44543624323562</v>
      </c>
      <c r="P70" s="24">
        <v>3.4773499965667725</v>
      </c>
      <c r="R70" s="24">
        <v>0.85027210661216257</v>
      </c>
      <c r="S70" s="24">
        <v>4.7439204666665375</v>
      </c>
      <c r="T70" s="24">
        <v>139.87038185570458</v>
      </c>
      <c r="U70" s="24">
        <v>3.4357461929321289</v>
      </c>
      <c r="V70" s="24">
        <v>14.633573059249066</v>
      </c>
      <c r="Z70" s="24"/>
      <c r="AA70" s="24"/>
      <c r="AB70" s="24"/>
      <c r="AC70" s="24"/>
      <c r="AD70" s="24"/>
      <c r="AG70" s="24"/>
      <c r="AH70" s="24"/>
      <c r="AI70" s="24"/>
      <c r="AJ70" s="24"/>
      <c r="AK70" s="24">
        <v>0.79005690903677805</v>
      </c>
      <c r="AL70" s="24">
        <v>4.3858887333332159</v>
      </c>
      <c r="AM70" s="24">
        <v>128.53342448190568</v>
      </c>
      <c r="AN70" s="24">
        <v>3.4566147327423096</v>
      </c>
      <c r="AO70" s="24">
        <v>31.817293201361945</v>
      </c>
      <c r="AP70" s="24">
        <v>14.021401206995165</v>
      </c>
      <c r="AQ70" s="24">
        <v>22.319412231445313</v>
      </c>
      <c r="AR70" s="24">
        <v>0.56814864075539739</v>
      </c>
      <c r="AT70" s="24"/>
      <c r="AU70" s="24"/>
      <c r="AV70" s="24"/>
      <c r="AX70" s="24"/>
      <c r="AY70" s="24"/>
      <c r="AZ70" s="24"/>
    </row>
    <row r="71" spans="1:52">
      <c r="A71" s="24"/>
      <c r="B71" s="24"/>
      <c r="C71" s="24">
        <v>1.0699844749515597</v>
      </c>
      <c r="D71" s="24">
        <v>4.0599866745678455</v>
      </c>
      <c r="E71" s="24">
        <v>110.3895602729133</v>
      </c>
      <c r="F71" s="24">
        <v>3.7256844043731689</v>
      </c>
      <c r="H71" s="24">
        <v>0.54508475187530658</v>
      </c>
      <c r="I71" s="24">
        <v>4.1114186666666406</v>
      </c>
      <c r="J71" s="24">
        <v>111.87848879382136</v>
      </c>
      <c r="K71" s="24">
        <v>3.7226700782775879</v>
      </c>
      <c r="M71" s="24">
        <v>1.5993904767705585</v>
      </c>
      <c r="N71" s="24">
        <v>4.0315782385184002</v>
      </c>
      <c r="O71" s="24">
        <v>109.56816153699627</v>
      </c>
      <c r="P71" s="24">
        <v>3.7273499965667725</v>
      </c>
      <c r="R71" s="24">
        <v>0.88452540262797963</v>
      </c>
      <c r="S71" s="24">
        <v>4.9229363333332001</v>
      </c>
      <c r="T71" s="24">
        <v>135.68620514453815</v>
      </c>
      <c r="U71" s="24">
        <v>3.6753437519073486</v>
      </c>
      <c r="V71" s="24">
        <v>14.450800831480521</v>
      </c>
      <c r="Z71" s="24"/>
      <c r="AA71" s="24"/>
      <c r="AB71" s="24"/>
      <c r="AC71" s="24"/>
      <c r="AD71" s="24"/>
      <c r="AG71" s="24"/>
      <c r="AH71" s="24"/>
      <c r="AI71" s="24"/>
      <c r="AJ71" s="24"/>
      <c r="AK71" s="24">
        <v>0.80328354918682765</v>
      </c>
      <c r="AL71" s="24">
        <v>4.4455606888887695</v>
      </c>
      <c r="AM71" s="24">
        <v>121.6093424762699</v>
      </c>
      <c r="AN71" s="24">
        <v>3.7031307220458984</v>
      </c>
      <c r="AO71" s="24">
        <v>31.804047140606482</v>
      </c>
      <c r="AP71" s="24">
        <v>13.652271938616112</v>
      </c>
      <c r="AQ71" s="24">
        <v>21.805410385131836</v>
      </c>
      <c r="AR71" s="24">
        <v>0.57167206997469966</v>
      </c>
      <c r="AT71" s="24"/>
      <c r="AU71" s="24"/>
      <c r="AV71" s="24"/>
      <c r="AX71" s="24"/>
      <c r="AY71" s="24"/>
      <c r="AZ71" s="24"/>
    </row>
    <row r="72" spans="1:52">
      <c r="C72" s="24">
        <v>1.0699844749515597</v>
      </c>
      <c r="D72" s="24">
        <v>4.0599866745678455</v>
      </c>
      <c r="E72" s="24">
        <v>103.44801560349075</v>
      </c>
      <c r="F72" s="24">
        <v>3.9756844043731689</v>
      </c>
      <c r="H72" s="24">
        <v>0.54508475187530658</v>
      </c>
      <c r="I72" s="24">
        <v>4.1114186666666406</v>
      </c>
      <c r="J72" s="24">
        <v>104.8379792309405</v>
      </c>
      <c r="K72" s="24">
        <v>3.9726700782775879</v>
      </c>
      <c r="M72" s="24">
        <v>1.6202267010240954</v>
      </c>
      <c r="N72" s="24">
        <v>4.0779182182714866</v>
      </c>
      <c r="O72" s="24">
        <v>103.93238631815638</v>
      </c>
      <c r="P72" s="24">
        <v>3.9746332168579102</v>
      </c>
      <c r="R72" s="24">
        <v>0.88452540262797963</v>
      </c>
      <c r="S72" s="24">
        <v>4.9229363333332001</v>
      </c>
      <c r="T72" s="24">
        <v>127.04452860403472</v>
      </c>
      <c r="U72" s="24">
        <v>3.9253437519073486</v>
      </c>
      <c r="V72" s="24">
        <v>14.003379738242076</v>
      </c>
      <c r="Z72" s="24"/>
      <c r="AA72" s="24"/>
      <c r="AB72" s="24"/>
      <c r="AC72" s="24"/>
      <c r="AD72" s="24"/>
      <c r="AG72" s="24"/>
      <c r="AH72" s="24"/>
      <c r="AI72" s="24"/>
      <c r="AJ72" s="24"/>
      <c r="AK72" s="24">
        <v>0.79665994320786804</v>
      </c>
      <c r="AL72" s="24">
        <v>4.4157247111109932</v>
      </c>
      <c r="AM72" s="24">
        <v>113.10425766625421</v>
      </c>
      <c r="AN72" s="24">
        <v>3.9548723697662354</v>
      </c>
      <c r="AO72" s="24">
        <v>31.810670170984213</v>
      </c>
      <c r="AP72" s="24">
        <v>13.153283814023837</v>
      </c>
      <c r="AQ72" s="24">
        <v>21.151411056518555</v>
      </c>
      <c r="AR72" s="24">
        <v>0.57455980032917497</v>
      </c>
      <c r="AT72" s="24"/>
      <c r="AU72" s="24"/>
      <c r="AV72" s="24"/>
      <c r="AX72" s="24"/>
      <c r="AY72" s="24"/>
      <c r="AZ72" s="24"/>
    </row>
    <row r="73" spans="1:52">
      <c r="C73" s="24">
        <v>1.0699844749515597</v>
      </c>
      <c r="D73" s="24">
        <v>4.0599866745678455</v>
      </c>
      <c r="E73" s="24">
        <v>97.327822483110026</v>
      </c>
      <c r="F73" s="24">
        <v>4.2256841659545898</v>
      </c>
      <c r="H73" s="24">
        <v>0.54508475187530658</v>
      </c>
      <c r="I73" s="24">
        <v>4.1114186666666406</v>
      </c>
      <c r="J73" s="24">
        <v>98.631125780034836</v>
      </c>
      <c r="K73" s="24">
        <v>4.2226700782775879</v>
      </c>
      <c r="M73" s="24">
        <v>1.6202267010240954</v>
      </c>
      <c r="N73" s="24">
        <v>4.0779182182714866</v>
      </c>
      <c r="O73" s="24">
        <v>97.782007051218585</v>
      </c>
      <c r="P73" s="24">
        <v>4.2246332168579102</v>
      </c>
      <c r="R73" s="24">
        <v>0.90536230254372096</v>
      </c>
      <c r="S73" s="24">
        <v>5.0124442666665292</v>
      </c>
      <c r="T73" s="24">
        <v>121.76073976224788</v>
      </c>
      <c r="U73" s="24">
        <v>4.1701502799987793</v>
      </c>
      <c r="V73" s="24">
        <v>13.722502743012093</v>
      </c>
      <c r="Z73" s="24"/>
      <c r="AA73" s="24"/>
      <c r="AB73" s="24"/>
      <c r="AC73" s="24"/>
      <c r="AD73" s="24"/>
      <c r="AG73" s="24"/>
      <c r="AH73" s="24"/>
      <c r="AI73" s="24"/>
      <c r="AJ73" s="24"/>
      <c r="AK73" s="24">
        <v>0.78347816341635446</v>
      </c>
      <c r="AL73" s="24">
        <v>4.3560527555554396</v>
      </c>
      <c r="AM73" s="24">
        <v>104.85519201177905</v>
      </c>
      <c r="AN73" s="24">
        <v>4.2083578109741211</v>
      </c>
      <c r="AO73" s="24">
        <v>31.823916231739677</v>
      </c>
      <c r="AP73" s="24">
        <v>12.628477019323737</v>
      </c>
      <c r="AQ73" s="24">
        <v>20.480411529541016</v>
      </c>
      <c r="AR73" s="24">
        <v>0.56928548652013478</v>
      </c>
      <c r="AT73" s="24"/>
      <c r="AU73" s="24"/>
      <c r="AV73" s="24"/>
      <c r="AX73" s="24"/>
      <c r="AY73" s="24"/>
      <c r="AZ73" s="24"/>
    </row>
    <row r="74" spans="1:52">
      <c r="C74" s="24">
        <v>1.0885419079995147</v>
      </c>
      <c r="D74" s="24">
        <v>4.1219712039505616</v>
      </c>
      <c r="E74" s="24">
        <v>93.370043102039816</v>
      </c>
      <c r="F74" s="24">
        <v>4.4720520973205566</v>
      </c>
      <c r="H74" s="24">
        <v>0.54508475187530658</v>
      </c>
      <c r="I74" s="24">
        <v>4.1114186666666406</v>
      </c>
      <c r="J74" s="24">
        <v>93.11813675902836</v>
      </c>
      <c r="K74" s="24">
        <v>4.4726700782775879</v>
      </c>
      <c r="M74" s="24">
        <v>1.6341884981681509</v>
      </c>
      <c r="N74" s="24">
        <v>4.1088115381068775</v>
      </c>
      <c r="O74" s="24">
        <v>93.05591082153984</v>
      </c>
      <c r="P74" s="24">
        <v>4.4728226661682129</v>
      </c>
      <c r="R74" s="24">
        <v>0.9193755029576145</v>
      </c>
      <c r="S74" s="24">
        <v>5.0721162222220828</v>
      </c>
      <c r="T74" s="24">
        <v>116.33264685482462</v>
      </c>
      <c r="U74" s="24">
        <v>4.4166913032531738</v>
      </c>
      <c r="V74" s="24">
        <v>13.414749432237659</v>
      </c>
      <c r="Z74" s="24"/>
      <c r="AA74" s="24"/>
      <c r="AB74" s="24"/>
      <c r="AC74" s="24"/>
      <c r="AD74" s="24"/>
      <c r="AG74" s="24"/>
      <c r="AH74" s="24"/>
      <c r="AI74" s="24"/>
      <c r="AJ74" s="24"/>
      <c r="AK74" s="24">
        <v>0.77691989591251831</v>
      </c>
      <c r="AL74" s="24">
        <v>4.3262167777776623</v>
      </c>
      <c r="AM74" s="24">
        <v>98.25915468452601</v>
      </c>
      <c r="AN74" s="24">
        <v>4.4601011276245117</v>
      </c>
      <c r="AO74" s="24">
        <v>31.830539262117409</v>
      </c>
      <c r="AP74" s="24">
        <v>12.180325566630513</v>
      </c>
      <c r="AQ74" s="24">
        <v>19.908411026000977</v>
      </c>
      <c r="AR74" s="24">
        <v>0.57333157599395401</v>
      </c>
      <c r="AT74" s="24"/>
      <c r="AU74" s="24"/>
      <c r="AV74" s="24"/>
      <c r="AX74" s="24"/>
      <c r="AY74" s="24"/>
      <c r="AZ74" s="24"/>
    </row>
    <row r="75" spans="1:52">
      <c r="C75" s="24">
        <v>1.0978776606971723</v>
      </c>
      <c r="D75" s="24">
        <v>4.1684596009875978</v>
      </c>
      <c r="E75" s="24">
        <v>89.475627748211181</v>
      </c>
      <c r="F75" s="24">
        <v>4.7193293571472168</v>
      </c>
      <c r="H75" s="24">
        <v>0.54508475187530658</v>
      </c>
      <c r="I75" s="24">
        <v>4.1114186666666406</v>
      </c>
      <c r="J75" s="24">
        <v>88.188820622539666</v>
      </c>
      <c r="K75" s="24">
        <v>4.7226700782775879</v>
      </c>
      <c r="M75" s="24">
        <v>1.6552397152686094</v>
      </c>
      <c r="N75" s="24">
        <v>4.155151517859963</v>
      </c>
      <c r="O75" s="24">
        <v>89.175246611769339</v>
      </c>
      <c r="P75" s="24">
        <v>4.7201085090637207</v>
      </c>
      <c r="R75" s="24">
        <v>0.95484300869780347</v>
      </c>
      <c r="S75" s="24">
        <v>5.2212961111109673</v>
      </c>
      <c r="T75" s="24">
        <v>113.5490035336768</v>
      </c>
      <c r="U75" s="24">
        <v>4.6580533981323242</v>
      </c>
      <c r="V75" s="24">
        <v>13.262817696790568</v>
      </c>
      <c r="Z75" s="24"/>
      <c r="AA75" s="24"/>
      <c r="AB75" s="24"/>
      <c r="AC75" s="24"/>
      <c r="AD75" s="24"/>
      <c r="AG75" s="24"/>
      <c r="AH75" s="24"/>
      <c r="AI75" s="24"/>
      <c r="AJ75" s="24"/>
      <c r="AK75" s="24">
        <v>0.76386683890205243</v>
      </c>
      <c r="AL75" s="24">
        <v>4.2665448222221087</v>
      </c>
      <c r="AM75" s="24">
        <v>91.6925346264198</v>
      </c>
      <c r="AN75" s="24">
        <v>4.7135896682739258</v>
      </c>
      <c r="AO75" s="24">
        <v>31.843785322872872</v>
      </c>
      <c r="AP75" s="24">
        <v>11.70318609848027</v>
      </c>
      <c r="AQ75" s="24">
        <v>19.313411712646484</v>
      </c>
      <c r="AR75" s="24">
        <v>0.56898924062542999</v>
      </c>
      <c r="AT75" s="24"/>
      <c r="AU75" s="24"/>
      <c r="AV75" s="24"/>
      <c r="AX75" s="24"/>
      <c r="AY75" s="24"/>
      <c r="AZ75" s="24"/>
    </row>
    <row r="76" spans="1:52">
      <c r="AH76" s="24"/>
      <c r="AI76" s="19"/>
      <c r="AJ76" s="19"/>
      <c r="AL76" s="24"/>
      <c r="AM76" s="19"/>
      <c r="AN76" s="19"/>
      <c r="AP76" s="24"/>
      <c r="AQ76" s="19"/>
      <c r="AR76" s="19"/>
      <c r="AT76" s="24"/>
      <c r="AU76" s="19"/>
      <c r="AV76" s="19"/>
      <c r="AX76" s="24"/>
      <c r="AY76" s="19"/>
      <c r="AZ76" s="19"/>
    </row>
    <row r="77" spans="1:52">
      <c r="C77" s="19" t="s">
        <v>320</v>
      </c>
      <c r="H77" s="19" t="s">
        <v>322</v>
      </c>
      <c r="M77" s="19" t="s">
        <v>324</v>
      </c>
      <c r="R77" s="19" t="s">
        <v>326</v>
      </c>
      <c r="AH77" s="24"/>
      <c r="AI77" s="24"/>
      <c r="AJ77" s="24"/>
      <c r="AL77" s="24"/>
      <c r="AM77" s="24"/>
      <c r="AN77" s="24"/>
      <c r="AP77" s="24"/>
      <c r="AQ77" s="24"/>
      <c r="AR77" s="24"/>
      <c r="AT77" s="24"/>
      <c r="AU77" s="24"/>
      <c r="AV77" s="24"/>
      <c r="AX77" s="24"/>
      <c r="AY77" s="24"/>
      <c r="AZ77" s="24"/>
    </row>
    <row r="78" spans="1:52">
      <c r="C78" s="24" t="s">
        <v>154</v>
      </c>
      <c r="D78" s="24" t="s">
        <v>155</v>
      </c>
      <c r="E78" s="24" t="s">
        <v>156</v>
      </c>
      <c r="F78" s="24" t="s">
        <v>159</v>
      </c>
      <c r="H78" s="24" t="s">
        <v>154</v>
      </c>
      <c r="I78" s="24" t="s">
        <v>155</v>
      </c>
      <c r="J78" s="24" t="s">
        <v>156</v>
      </c>
      <c r="K78" s="24" t="s">
        <v>159</v>
      </c>
      <c r="M78" s="24" t="s">
        <v>154</v>
      </c>
      <c r="N78" s="24" t="s">
        <v>155</v>
      </c>
      <c r="O78" s="24" t="s">
        <v>156</v>
      </c>
      <c r="P78" s="24" t="s">
        <v>159</v>
      </c>
      <c r="R78" s="24" t="s">
        <v>154</v>
      </c>
      <c r="S78" s="24" t="s">
        <v>155</v>
      </c>
      <c r="T78" s="24" t="s">
        <v>156</v>
      </c>
      <c r="U78" s="24" t="s">
        <v>159</v>
      </c>
    </row>
    <row r="79" spans="1:52">
      <c r="C79" s="24">
        <v>0.6707647437186669</v>
      </c>
      <c r="D79" s="24">
        <v>2.6219455928888391</v>
      </c>
      <c r="E79" s="24">
        <v>402.01744725959691</v>
      </c>
      <c r="F79" s="24">
        <v>0.6606755256652832</v>
      </c>
      <c r="H79" s="24">
        <v>0.33679603461928387</v>
      </c>
      <c r="I79" s="24">
        <v>2.600783777777778</v>
      </c>
      <c r="J79" s="24">
        <v>398.01302903387023</v>
      </c>
      <c r="K79" s="24">
        <v>0.66193664073944092</v>
      </c>
      <c r="M79" s="24">
        <v>1.0253881184552713</v>
      </c>
      <c r="N79" s="24">
        <v>2.6413788459258409</v>
      </c>
      <c r="O79" s="24">
        <v>405.70809703450556</v>
      </c>
      <c r="P79" s="24">
        <v>0.65951770544052124</v>
      </c>
      <c r="R79" s="24">
        <v>0.33310301318785507</v>
      </c>
      <c r="S79" s="24">
        <v>2.0944856399999487</v>
      </c>
      <c r="T79" s="24">
        <v>306.51806249750194</v>
      </c>
      <c r="U79" s="24">
        <v>0.69219869375228882</v>
      </c>
    </row>
    <row r="80" spans="1:52">
      <c r="C80" s="24">
        <v>0.70762559647799905</v>
      </c>
      <c r="D80" s="24">
        <v>2.7614107839999482</v>
      </c>
      <c r="E80" s="24">
        <v>398.26603575208543</v>
      </c>
      <c r="F80" s="24">
        <v>0.70237201452255249</v>
      </c>
      <c r="H80" s="24">
        <v>0.35597802721458521</v>
      </c>
      <c r="I80" s="24">
        <v>2.7565193333333315</v>
      </c>
      <c r="J80" s="24">
        <v>397.39591452180736</v>
      </c>
      <c r="K80" s="24">
        <v>0.70266300439834595</v>
      </c>
      <c r="M80" s="24">
        <v>1.0801599471216163</v>
      </c>
      <c r="N80" s="24">
        <v>2.780398785185096</v>
      </c>
      <c r="O80" s="24">
        <v>401.65049311996864</v>
      </c>
      <c r="P80" s="24">
        <v>0.70124250650405884</v>
      </c>
      <c r="R80" s="24">
        <v>0.35213049704924171</v>
      </c>
      <c r="S80" s="24">
        <v>2.2018951599999466</v>
      </c>
      <c r="T80" s="24">
        <v>303.15690516604172</v>
      </c>
      <c r="U80" s="24">
        <v>0.73576414585113525</v>
      </c>
    </row>
    <row r="81" spans="3:21">
      <c r="C81" s="24">
        <v>0.74331727917462209</v>
      </c>
      <c r="D81" s="24">
        <v>2.8729829368888349</v>
      </c>
      <c r="E81" s="24">
        <v>390.26162652836007</v>
      </c>
      <c r="F81" s="24">
        <v>0.74573862552642822</v>
      </c>
      <c r="H81" s="24">
        <v>0.37393211920964881</v>
      </c>
      <c r="I81" s="24">
        <v>2.8811077777777738</v>
      </c>
      <c r="J81" s="24">
        <v>391.61879093771603</v>
      </c>
      <c r="K81" s="24">
        <v>0.74525588750839233</v>
      </c>
      <c r="M81" s="24">
        <v>1.1330068779850522</v>
      </c>
      <c r="N81" s="24">
        <v>2.9194187244443515</v>
      </c>
      <c r="O81" s="24">
        <v>398.04165078508828</v>
      </c>
      <c r="P81" s="24">
        <v>0.74298030138015747</v>
      </c>
      <c r="R81" s="24">
        <v>0.36461591566757573</v>
      </c>
      <c r="S81" s="24">
        <v>2.2555999199999457</v>
      </c>
      <c r="T81" s="24">
        <v>291.98431567457095</v>
      </c>
      <c r="U81" s="24">
        <v>0.78254979848861694</v>
      </c>
    </row>
    <row r="82" spans="3:21">
      <c r="C82" s="24">
        <v>0.77762109790111078</v>
      </c>
      <c r="D82" s="24">
        <v>3.0124481279999427</v>
      </c>
      <c r="E82" s="24">
        <v>387.52634064662209</v>
      </c>
      <c r="F82" s="24">
        <v>0.78745871782302856</v>
      </c>
      <c r="H82" s="24">
        <v>0.39013600197673781</v>
      </c>
      <c r="I82" s="24">
        <v>3.0056962222222157</v>
      </c>
      <c r="J82" s="24">
        <v>386.46118506714816</v>
      </c>
      <c r="K82" s="24">
        <v>0.78785926103591919</v>
      </c>
      <c r="M82" s="24">
        <v>1.1919953522243185</v>
      </c>
      <c r="N82" s="24">
        <v>3.058438663703607</v>
      </c>
      <c r="O82" s="24">
        <v>394.81015485159219</v>
      </c>
      <c r="P82" s="24">
        <v>0.78473114967346191</v>
      </c>
      <c r="R82" s="24">
        <v>0.38304329251272712</v>
      </c>
      <c r="S82" s="24">
        <v>2.3630094399999431</v>
      </c>
      <c r="T82" s="24">
        <v>289.75308500183451</v>
      </c>
      <c r="U82" s="24">
        <v>0.82612705230712891</v>
      </c>
    </row>
    <row r="83" spans="3:21">
      <c r="C83" s="24">
        <v>0.92192449578451974</v>
      </c>
      <c r="D83" s="24">
        <v>3.5424158542221544</v>
      </c>
      <c r="E83" s="24">
        <v>356.66598665833902</v>
      </c>
      <c r="F83" s="24">
        <v>1.0061142444610596</v>
      </c>
      <c r="H83" s="24">
        <v>0.46232667792419269</v>
      </c>
      <c r="I83" s="24">
        <v>3.5351971111110956</v>
      </c>
      <c r="J83" s="24">
        <v>355.78863956017233</v>
      </c>
      <c r="K83" s="24">
        <v>1.0065399408340454</v>
      </c>
      <c r="M83" s="24">
        <v>1.4002191030991407</v>
      </c>
      <c r="N83" s="24">
        <v>3.5589104450369256</v>
      </c>
      <c r="O83" s="24">
        <v>358.67343821934105</v>
      </c>
      <c r="P83" s="24">
        <v>1.0051417350769043</v>
      </c>
      <c r="R83" s="24">
        <v>0.46414578960508529</v>
      </c>
      <c r="S83" s="24">
        <v>2.8463522799999312</v>
      </c>
      <c r="T83" s="24">
        <v>275.30761089028675</v>
      </c>
      <c r="U83" s="24">
        <v>1.0473212003707886</v>
      </c>
    </row>
    <row r="84" spans="3:21">
      <c r="C84" s="24">
        <v>0.99530134729693276</v>
      </c>
      <c r="D84" s="24">
        <v>3.7934531982221493</v>
      </c>
      <c r="E84" s="24">
        <v>309.56799500862627</v>
      </c>
      <c r="F84" s="24">
        <v>1.2413325309753418</v>
      </c>
      <c r="H84" s="24">
        <v>0.49740914559781135</v>
      </c>
      <c r="I84" s="24">
        <v>3.7843739999999797</v>
      </c>
      <c r="J84" s="24">
        <v>308.69431557023302</v>
      </c>
      <c r="K84" s="24">
        <v>1.2418663501739502</v>
      </c>
      <c r="M84" s="24">
        <v>1.4953561611540764</v>
      </c>
      <c r="N84" s="24">
        <v>3.7813423478517336</v>
      </c>
      <c r="O84" s="24">
        <v>308.40274785379484</v>
      </c>
      <c r="P84" s="24">
        <v>1.2420446872711182</v>
      </c>
      <c r="R84" s="24">
        <v>0.53662264481174182</v>
      </c>
      <c r="S84" s="24">
        <v>3.2222855999999225</v>
      </c>
      <c r="T84" s="24">
        <v>256.00862511800244</v>
      </c>
      <c r="U84" s="24">
        <v>1.275025486946106</v>
      </c>
    </row>
    <row r="85" spans="3:21">
      <c r="C85" s="24">
        <v>0.99719890064340166</v>
      </c>
      <c r="D85" s="24">
        <v>3.8213462364443718</v>
      </c>
      <c r="E85" s="24">
        <v>259.8538492984174</v>
      </c>
      <c r="F85" s="24">
        <v>1.4896926879882812</v>
      </c>
      <c r="H85" s="24">
        <v>0.49849022704070767</v>
      </c>
      <c r="I85" s="24">
        <v>3.7843739999999797</v>
      </c>
      <c r="J85" s="24">
        <v>256.96476329046084</v>
      </c>
      <c r="K85" s="24">
        <v>1.4918663501739502</v>
      </c>
      <c r="M85" s="24">
        <v>1.4957940283039421</v>
      </c>
      <c r="N85" s="24">
        <v>3.7813423478517336</v>
      </c>
      <c r="O85" s="24">
        <v>256.72823027402382</v>
      </c>
      <c r="P85" s="24">
        <v>1.4920446872711182</v>
      </c>
      <c r="R85" s="24">
        <v>0.59969769731562783</v>
      </c>
      <c r="S85" s="24">
        <v>3.5445141599999155</v>
      </c>
      <c r="T85" s="24">
        <v>238.42068261075838</v>
      </c>
      <c r="U85" s="24">
        <v>1.5059905052185059</v>
      </c>
    </row>
    <row r="86" spans="3:21">
      <c r="C86" s="24">
        <v>0.99719890064340166</v>
      </c>
      <c r="D86" s="24">
        <v>3.7934531982221493</v>
      </c>
      <c r="E86" s="24">
        <v>220.67974494395872</v>
      </c>
      <c r="F86" s="24">
        <v>1.7413325309753418</v>
      </c>
      <c r="H86" s="24">
        <v>0.49849022704070767</v>
      </c>
      <c r="I86" s="24">
        <v>3.7843739999999797</v>
      </c>
      <c r="J86" s="24">
        <v>220.0840976564493</v>
      </c>
      <c r="K86" s="24">
        <v>1.7418663501739502</v>
      </c>
      <c r="M86" s="24">
        <v>1.4957940283039421</v>
      </c>
      <c r="N86" s="24">
        <v>3.7813423478517336</v>
      </c>
      <c r="O86" s="24">
        <v>219.88528371213874</v>
      </c>
      <c r="P86" s="24">
        <v>1.7420446872711182</v>
      </c>
      <c r="R86" s="24">
        <v>0.65274702968490939</v>
      </c>
      <c r="S86" s="24">
        <v>3.8130379599999089</v>
      </c>
      <c r="T86" s="24">
        <v>221.96583785239011</v>
      </c>
      <c r="U86" s="24">
        <v>1.7401810884475708</v>
      </c>
    </row>
    <row r="87" spans="3:21">
      <c r="C87" s="24">
        <v>0.99719890064340166</v>
      </c>
      <c r="D87" s="24">
        <v>3.7934531982221493</v>
      </c>
      <c r="E87" s="24">
        <v>192.97470994329819</v>
      </c>
      <c r="F87" s="24">
        <v>1.9913325309753418</v>
      </c>
      <c r="H87" s="24">
        <v>0.49849022704070767</v>
      </c>
      <c r="I87" s="24">
        <v>3.7843739999999797</v>
      </c>
      <c r="J87" s="24">
        <v>192.46124830078713</v>
      </c>
      <c r="K87" s="24">
        <v>1.9918663501739502</v>
      </c>
      <c r="M87" s="24">
        <v>1.4957940283039421</v>
      </c>
      <c r="N87" s="24">
        <v>3.7813423478517336</v>
      </c>
      <c r="O87" s="24">
        <v>192.2898574687803</v>
      </c>
      <c r="P87" s="24">
        <v>1.9920446872711182</v>
      </c>
      <c r="R87" s="24">
        <v>0.69460479144018483</v>
      </c>
      <c r="S87" s="24">
        <v>4.027856999999905</v>
      </c>
      <c r="T87" s="24">
        <v>206.32508731667707</v>
      </c>
      <c r="U87" s="24">
        <v>1.9775681495666504</v>
      </c>
    </row>
    <row r="88" spans="3:21">
      <c r="C88" s="24">
        <v>0.99719890064340166</v>
      </c>
      <c r="D88" s="24">
        <v>3.7934531982221493</v>
      </c>
      <c r="E88" s="24">
        <v>171.45015801860529</v>
      </c>
      <c r="F88" s="24">
        <v>2.2413325309753418</v>
      </c>
      <c r="H88" s="24">
        <v>0.49849022704070767</v>
      </c>
      <c r="I88" s="24">
        <v>3.7843739999999797</v>
      </c>
      <c r="J88" s="24">
        <v>170.99908047407942</v>
      </c>
      <c r="K88" s="24">
        <v>2.2418663501739502</v>
      </c>
      <c r="M88" s="24">
        <v>1.4957940283039421</v>
      </c>
      <c r="N88" s="24">
        <v>3.7813423478517336</v>
      </c>
      <c r="O88" s="24">
        <v>170.84850723150393</v>
      </c>
      <c r="P88" s="24">
        <v>2.2420446872711182</v>
      </c>
      <c r="R88" s="24">
        <v>0.72399427088684809</v>
      </c>
      <c r="S88" s="24">
        <v>4.1352665199999024</v>
      </c>
      <c r="T88" s="24">
        <v>188.58666527421269</v>
      </c>
      <c r="U88" s="24">
        <v>2.2212731838226318</v>
      </c>
    </row>
    <row r="89" spans="3:21">
      <c r="C89" s="24">
        <v>0.99719890064340166</v>
      </c>
      <c r="D89" s="24">
        <v>3.7934531982221493</v>
      </c>
      <c r="E89" s="24">
        <v>154.24549355202336</v>
      </c>
      <c r="F89" s="24">
        <v>2.4913325309753418</v>
      </c>
      <c r="H89" s="24">
        <v>0.49849022704070767</v>
      </c>
      <c r="I89" s="24">
        <v>3.7843739999999797</v>
      </c>
      <c r="J89" s="24">
        <v>153.84335703910898</v>
      </c>
      <c r="K89" s="24">
        <v>2.4918663501739502</v>
      </c>
      <c r="M89" s="24">
        <v>1.4957940283039421</v>
      </c>
      <c r="N89" s="24">
        <v>3.7813423478517336</v>
      </c>
      <c r="O89" s="24">
        <v>153.70911649683623</v>
      </c>
      <c r="P89" s="24">
        <v>2.4920446872711182</v>
      </c>
      <c r="R89" s="24">
        <v>0.73948911301244491</v>
      </c>
      <c r="S89" s="24">
        <v>4.2426760399998988</v>
      </c>
      <c r="T89" s="24">
        <v>174.35519088642943</v>
      </c>
      <c r="U89" s="24">
        <v>2.4649858474731445</v>
      </c>
    </row>
    <row r="90" spans="3:21">
      <c r="C90" s="24">
        <v>0.99719890064340166</v>
      </c>
      <c r="D90" s="24">
        <v>3.7934531982221493</v>
      </c>
      <c r="E90" s="24">
        <v>140.17884035394115</v>
      </c>
      <c r="F90" s="24">
        <v>2.7413325309753418</v>
      </c>
      <c r="H90" s="24">
        <v>0.49849022704070767</v>
      </c>
      <c r="I90" s="24">
        <v>3.7843739999999797</v>
      </c>
      <c r="J90" s="24">
        <v>139.81610909838597</v>
      </c>
      <c r="K90" s="24">
        <v>2.7418663501739502</v>
      </c>
      <c r="M90" s="24">
        <v>1.4957940283039421</v>
      </c>
      <c r="N90" s="24">
        <v>3.7813423478517336</v>
      </c>
      <c r="O90" s="24">
        <v>139.69501965537941</v>
      </c>
      <c r="P90" s="24">
        <v>2.7420446872711182</v>
      </c>
      <c r="R90" s="24">
        <v>0.74135414085111007</v>
      </c>
      <c r="S90" s="24">
        <v>4.2426760399998988</v>
      </c>
      <c r="T90" s="24">
        <v>158.30030157181324</v>
      </c>
      <c r="U90" s="24">
        <v>2.7149858474731445</v>
      </c>
    </row>
    <row r="91" spans="3:21">
      <c r="C91" s="24">
        <v>0.99719890064340166</v>
      </c>
      <c r="D91" s="24">
        <v>3.7934531982221493</v>
      </c>
      <c r="E91" s="24">
        <v>128.46342247684737</v>
      </c>
      <c r="F91" s="24">
        <v>2.9913325309753418</v>
      </c>
      <c r="H91" s="24">
        <v>0.49849022704070767</v>
      </c>
      <c r="I91" s="24">
        <v>3.7843739999999797</v>
      </c>
      <c r="J91" s="24">
        <v>128.13309152264145</v>
      </c>
      <c r="K91" s="24">
        <v>2.9918663501739502</v>
      </c>
      <c r="M91" s="24">
        <v>1.4957940283039421</v>
      </c>
      <c r="N91" s="24">
        <v>3.7813423478517336</v>
      </c>
      <c r="O91" s="24">
        <v>128.02281582172714</v>
      </c>
      <c r="P91" s="24">
        <v>2.9920446872711182</v>
      </c>
      <c r="R91" s="24">
        <v>0.74135414085111007</v>
      </c>
      <c r="S91" s="24">
        <v>4.2426760399998988</v>
      </c>
      <c r="T91" s="24">
        <v>144.95282638813404</v>
      </c>
      <c r="U91" s="24">
        <v>2.9649858474731445</v>
      </c>
    </row>
    <row r="92" spans="3:21">
      <c r="C92" s="24">
        <v>0.99719890064340166</v>
      </c>
      <c r="D92" s="24">
        <v>3.7934531982221493</v>
      </c>
      <c r="E92" s="24">
        <v>118.55519622942225</v>
      </c>
      <c r="F92" s="24">
        <v>3.2413325309753418</v>
      </c>
      <c r="H92" s="24">
        <v>0.49849022704070767</v>
      </c>
      <c r="I92" s="24">
        <v>3.7843739999999797</v>
      </c>
      <c r="J92" s="24">
        <v>118.25197079833883</v>
      </c>
      <c r="K92" s="24">
        <v>3.2418663501739502</v>
      </c>
      <c r="M92" s="24">
        <v>1.4957940283039421</v>
      </c>
      <c r="N92" s="24">
        <v>3.7813423478517336</v>
      </c>
      <c r="O92" s="24">
        <v>118.15074201879051</v>
      </c>
      <c r="P92" s="24">
        <v>3.2420446872711182</v>
      </c>
      <c r="R92" s="24">
        <v>0.74135414085111007</v>
      </c>
      <c r="S92" s="24">
        <v>4.2426760399998988</v>
      </c>
      <c r="T92" s="24">
        <v>133.68117294996696</v>
      </c>
      <c r="U92" s="24">
        <v>3.2149858474731445</v>
      </c>
    </row>
    <row r="93" spans="3:21">
      <c r="C93" s="24">
        <v>0.99719890064340166</v>
      </c>
      <c r="D93" s="24">
        <v>3.7934531982221493</v>
      </c>
      <c r="E93" s="24">
        <v>110.0659448699207</v>
      </c>
      <c r="F93" s="24">
        <v>3.4913325309753418</v>
      </c>
      <c r="H93" s="24">
        <v>0.49849022704070767</v>
      </c>
      <c r="I93" s="24">
        <v>3.7843739999999797</v>
      </c>
      <c r="J93" s="24">
        <v>109.78572677664049</v>
      </c>
      <c r="K93" s="24">
        <v>3.4918663501739502</v>
      </c>
      <c r="M93" s="24">
        <v>1.4957940283039421</v>
      </c>
      <c r="N93" s="24">
        <v>3.7813423478517336</v>
      </c>
      <c r="O93" s="24">
        <v>109.69217732320224</v>
      </c>
      <c r="P93" s="24">
        <v>3.4920446872711182</v>
      </c>
      <c r="R93" s="24">
        <v>0.74135414085111007</v>
      </c>
      <c r="S93" s="24">
        <v>4.2426760399998988</v>
      </c>
      <c r="T93" s="24">
        <v>124.03602735962767</v>
      </c>
      <c r="U93" s="24">
        <v>3.4649858474731445</v>
      </c>
    </row>
    <row r="94" spans="3:21">
      <c r="C94" s="24">
        <v>0.99719890064340166</v>
      </c>
      <c r="D94" s="24">
        <v>3.7934531982221493</v>
      </c>
      <c r="E94" s="24">
        <v>102.71121595531952</v>
      </c>
      <c r="F94" s="24">
        <v>3.7413325309753418</v>
      </c>
      <c r="H94" s="24">
        <v>0.49849022704070767</v>
      </c>
      <c r="I94" s="24">
        <v>3.7843739999999797</v>
      </c>
      <c r="J94" s="24">
        <v>102.45076901772195</v>
      </c>
      <c r="K94" s="24">
        <v>3.7418663501739502</v>
      </c>
      <c r="M94" s="24">
        <v>1.4957940283039421</v>
      </c>
      <c r="N94" s="24">
        <v>3.7813423478517336</v>
      </c>
      <c r="O94" s="24">
        <v>102.36381890653874</v>
      </c>
      <c r="P94" s="24">
        <v>3.7420446872711182</v>
      </c>
      <c r="R94" s="24">
        <v>0.74135414085111007</v>
      </c>
      <c r="S94" s="24">
        <v>4.2426760399998988</v>
      </c>
      <c r="T94" s="24">
        <v>115.68902204675149</v>
      </c>
      <c r="U94" s="24">
        <v>3.7149858474731445</v>
      </c>
    </row>
    <row r="95" spans="3:21">
      <c r="C95" s="24">
        <v>0.99719890064340166</v>
      </c>
      <c r="D95" s="24">
        <v>3.7934531982221493</v>
      </c>
      <c r="E95" s="24">
        <v>96.277824581440242</v>
      </c>
      <c r="F95" s="24">
        <v>3.9913325309753418</v>
      </c>
      <c r="H95" s="24">
        <v>0.49849022704070767</v>
      </c>
      <c r="I95" s="24">
        <v>3.7843739999999797</v>
      </c>
      <c r="J95" s="24">
        <v>96.034549149355684</v>
      </c>
      <c r="K95" s="24">
        <v>3.9918663501739502</v>
      </c>
      <c r="M95" s="24">
        <v>1.4957940283039421</v>
      </c>
      <c r="N95" s="24">
        <v>3.7813423478517336</v>
      </c>
      <c r="O95" s="24">
        <v>95.953330789195476</v>
      </c>
      <c r="P95" s="24">
        <v>3.9920446872711182</v>
      </c>
      <c r="R95" s="24">
        <v>0.74135414085111007</v>
      </c>
      <c r="S95" s="24">
        <v>4.2426760399998988</v>
      </c>
      <c r="T95" s="24">
        <v>108.39460627328469</v>
      </c>
      <c r="U95" s="24">
        <v>3.9649858474731445</v>
      </c>
    </row>
    <row r="96" spans="3:21">
      <c r="C96" s="24">
        <v>0.99719890064340166</v>
      </c>
      <c r="D96" s="24">
        <v>3.7934531982221493</v>
      </c>
      <c r="E96" s="24">
        <v>90.602849506493058</v>
      </c>
      <c r="F96" s="24">
        <v>4.2413325309753418</v>
      </c>
      <c r="H96" s="24">
        <v>0.49849022704070767</v>
      </c>
      <c r="I96" s="24">
        <v>3.7843739999999797</v>
      </c>
      <c r="J96" s="24">
        <v>90.37462607619689</v>
      </c>
      <c r="K96" s="24">
        <v>4.2418665885925293</v>
      </c>
      <c r="M96" s="24">
        <v>1.4957940283039421</v>
      </c>
      <c r="N96" s="24">
        <v>3.7813423478517336</v>
      </c>
      <c r="O96" s="24">
        <v>90.298432094151664</v>
      </c>
      <c r="P96" s="24">
        <v>4.2420444488525391</v>
      </c>
      <c r="R96" s="24">
        <v>0.74135414085111007</v>
      </c>
      <c r="S96" s="24">
        <v>4.2426760399998988</v>
      </c>
      <c r="T96" s="24">
        <v>101.9654858992518</v>
      </c>
      <c r="U96" s="24">
        <v>4.2149858474731445</v>
      </c>
    </row>
    <row r="97" spans="3:21">
      <c r="C97" s="24">
        <v>0.99719890064340166</v>
      </c>
      <c r="D97" s="24">
        <v>3.7934531982221493</v>
      </c>
      <c r="E97" s="24">
        <v>85.559644078084546</v>
      </c>
      <c r="F97" s="24">
        <v>4.4913325309753418</v>
      </c>
      <c r="H97" s="24">
        <v>0.49849022704070767</v>
      </c>
      <c r="I97" s="24">
        <v>3.7843739999999797</v>
      </c>
      <c r="J97" s="24">
        <v>85.344722088519575</v>
      </c>
      <c r="K97" s="24">
        <v>4.4918665885925293</v>
      </c>
      <c r="M97" s="24">
        <v>1.4957940283039421</v>
      </c>
      <c r="N97" s="24">
        <v>3.7813423478517336</v>
      </c>
      <c r="O97" s="24">
        <v>85.272968227635573</v>
      </c>
      <c r="P97" s="24">
        <v>4.4920444488525391</v>
      </c>
      <c r="R97" s="24">
        <v>0.74135414085111007</v>
      </c>
      <c r="S97" s="24">
        <v>4.2426760399998988</v>
      </c>
      <c r="T97" s="24">
        <v>96.256314093179284</v>
      </c>
      <c r="U97" s="24">
        <v>4.4649858474731445</v>
      </c>
    </row>
    <row r="98" spans="3:21">
      <c r="C98" s="24">
        <v>0.99719890064340166</v>
      </c>
      <c r="D98" s="24">
        <v>3.7934531982221493</v>
      </c>
      <c r="E98" s="24">
        <v>81.048272837932728</v>
      </c>
      <c r="F98" s="24">
        <v>4.7413325309753418</v>
      </c>
      <c r="H98" s="24">
        <v>0.49849022704070767</v>
      </c>
      <c r="I98" s="24">
        <v>3.7843739999999797</v>
      </c>
      <c r="J98" s="24">
        <v>80.845189857997056</v>
      </c>
      <c r="K98" s="24">
        <v>4.7418665885925293</v>
      </c>
      <c r="M98" s="24">
        <v>1.4957940283039421</v>
      </c>
      <c r="N98" s="24">
        <v>3.7813423478517336</v>
      </c>
      <c r="O98" s="24">
        <v>80.777388013463678</v>
      </c>
      <c r="P98" s="24">
        <v>4.7420444488525391</v>
      </c>
      <c r="R98" s="24">
        <v>0.74135414085111007</v>
      </c>
      <c r="S98" s="24">
        <v>4.2426760399998988</v>
      </c>
      <c r="T98" s="24">
        <v>91.152570591331454</v>
      </c>
      <c r="U98" s="24">
        <v>4.7149858474731445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2:BX421"/>
  <sheetViews>
    <sheetView workbookViewId="0">
      <selection activeCell="B8" sqref="B8:B27"/>
    </sheetView>
  </sheetViews>
  <sheetFormatPr defaultRowHeight="12.75"/>
  <cols>
    <col min="14" max="14" width="12.28515625" customWidth="1"/>
    <col min="21" max="21" width="13.140625" bestFit="1" customWidth="1"/>
    <col min="22" max="22" width="11.42578125" bestFit="1" customWidth="1"/>
  </cols>
  <sheetData>
    <row r="2" spans="2:76">
      <c r="C2" s="19" t="s">
        <v>281</v>
      </c>
    </row>
    <row r="3" spans="2:76">
      <c r="B3" s="24" t="s">
        <v>276</v>
      </c>
      <c r="C3">
        <v>30</v>
      </c>
    </row>
    <row r="4" spans="2:76">
      <c r="B4" s="19" t="s">
        <v>243</v>
      </c>
      <c r="C4">
        <v>100</v>
      </c>
    </row>
    <row r="5" spans="2:76">
      <c r="B5" s="19" t="s">
        <v>232</v>
      </c>
      <c r="C5">
        <v>607</v>
      </c>
      <c r="K5" s="3"/>
      <c r="BA5" s="24" t="s">
        <v>277</v>
      </c>
      <c r="BM5" s="24"/>
      <c r="BN5" s="24" t="s">
        <v>278</v>
      </c>
      <c r="BO5" s="24"/>
      <c r="BP5" s="24"/>
      <c r="BQ5" s="24"/>
      <c r="BR5" s="24"/>
      <c r="BS5" s="24"/>
      <c r="BT5" s="24"/>
      <c r="BU5" s="24"/>
      <c r="BV5" s="24"/>
      <c r="BW5" s="24"/>
      <c r="BX5" s="24"/>
    </row>
    <row r="6" spans="2:76">
      <c r="B6" s="19" t="s">
        <v>148</v>
      </c>
      <c r="C6">
        <v>40</v>
      </c>
      <c r="K6">
        <v>45</v>
      </c>
      <c r="S6">
        <v>50</v>
      </c>
      <c r="AA6">
        <v>55</v>
      </c>
      <c r="AI6">
        <v>60</v>
      </c>
      <c r="AQ6">
        <v>65</v>
      </c>
      <c r="BA6">
        <v>15</v>
      </c>
      <c r="BB6">
        <v>20</v>
      </c>
      <c r="BC6">
        <v>25</v>
      </c>
      <c r="BD6">
        <v>30</v>
      </c>
      <c r="BE6">
        <v>35</v>
      </c>
      <c r="BF6">
        <v>40</v>
      </c>
      <c r="BG6">
        <v>45</v>
      </c>
      <c r="BH6">
        <v>50</v>
      </c>
      <c r="BI6">
        <v>55</v>
      </c>
      <c r="BJ6">
        <v>60</v>
      </c>
      <c r="BK6">
        <v>65</v>
      </c>
      <c r="BM6" s="24"/>
      <c r="BN6" s="24">
        <v>15</v>
      </c>
      <c r="BO6" s="24">
        <v>20</v>
      </c>
      <c r="BP6" s="24">
        <v>25</v>
      </c>
      <c r="BQ6" s="24">
        <v>30</v>
      </c>
      <c r="BR6" s="24">
        <v>35</v>
      </c>
      <c r="BS6" s="24">
        <v>40</v>
      </c>
      <c r="BT6" s="24">
        <v>45</v>
      </c>
      <c r="BU6" s="24">
        <v>50</v>
      </c>
      <c r="BV6" s="24">
        <v>55</v>
      </c>
      <c r="BW6" s="24">
        <v>60</v>
      </c>
      <c r="BX6" s="24">
        <v>65</v>
      </c>
    </row>
    <row r="7" spans="2:76">
      <c r="B7" s="26" t="s">
        <v>93</v>
      </c>
      <c r="C7" s="24" t="s">
        <v>154</v>
      </c>
      <c r="D7" s="24" t="s">
        <v>155</v>
      </c>
      <c r="E7" s="24" t="s">
        <v>156</v>
      </c>
      <c r="F7" s="24" t="s">
        <v>159</v>
      </c>
      <c r="G7" s="24" t="s">
        <v>238</v>
      </c>
      <c r="H7" s="24" t="s">
        <v>157</v>
      </c>
      <c r="I7" s="24" t="s">
        <v>160</v>
      </c>
      <c r="J7" s="24" t="s">
        <v>265</v>
      </c>
      <c r="K7" s="24" t="s">
        <v>154</v>
      </c>
      <c r="L7" s="24" t="s">
        <v>155</v>
      </c>
      <c r="M7" s="24" t="s">
        <v>156</v>
      </c>
      <c r="N7" s="24" t="s">
        <v>159</v>
      </c>
      <c r="O7" s="24" t="s">
        <v>238</v>
      </c>
      <c r="P7" s="24" t="s">
        <v>157</v>
      </c>
      <c r="Q7" s="24" t="s">
        <v>160</v>
      </c>
      <c r="R7" s="24" t="s">
        <v>265</v>
      </c>
      <c r="S7" s="24" t="s">
        <v>154</v>
      </c>
      <c r="T7" s="24" t="s">
        <v>155</v>
      </c>
      <c r="U7" s="24" t="s">
        <v>156</v>
      </c>
      <c r="V7" s="24" t="s">
        <v>159</v>
      </c>
      <c r="W7" s="24" t="s">
        <v>238</v>
      </c>
      <c r="X7" s="24" t="s">
        <v>157</v>
      </c>
      <c r="Y7" s="24" t="s">
        <v>160</v>
      </c>
      <c r="Z7" s="24" t="s">
        <v>265</v>
      </c>
      <c r="AA7" s="24" t="s">
        <v>154</v>
      </c>
      <c r="AB7" s="24" t="s">
        <v>155</v>
      </c>
      <c r="AC7" s="24" t="s">
        <v>156</v>
      </c>
      <c r="AD7" s="24" t="s">
        <v>159</v>
      </c>
      <c r="AE7" s="24" t="s">
        <v>238</v>
      </c>
      <c r="AF7" s="24" t="s">
        <v>157</v>
      </c>
      <c r="AG7" s="24" t="s">
        <v>160</v>
      </c>
      <c r="AH7" s="24" t="s">
        <v>265</v>
      </c>
      <c r="AI7" s="24" t="s">
        <v>154</v>
      </c>
      <c r="AJ7" s="24" t="s">
        <v>155</v>
      </c>
      <c r="AK7" s="24" t="s">
        <v>156</v>
      </c>
      <c r="AL7" s="24" t="s">
        <v>159</v>
      </c>
      <c r="AM7" s="24" t="s">
        <v>238</v>
      </c>
      <c r="AN7" s="24" t="s">
        <v>157</v>
      </c>
      <c r="AO7" s="24" t="s">
        <v>160</v>
      </c>
      <c r="AP7" s="24" t="s">
        <v>265</v>
      </c>
      <c r="AQ7" s="24" t="s">
        <v>154</v>
      </c>
      <c r="AR7" s="24" t="s">
        <v>155</v>
      </c>
      <c r="AS7" s="24" t="s">
        <v>156</v>
      </c>
      <c r="AT7" s="24" t="s">
        <v>159</v>
      </c>
      <c r="AU7" s="24" t="s">
        <v>238</v>
      </c>
      <c r="AV7" s="24" t="s">
        <v>157</v>
      </c>
      <c r="AW7" s="24" t="s">
        <v>160</v>
      </c>
      <c r="AX7" s="24" t="s">
        <v>265</v>
      </c>
      <c r="AZ7" s="26" t="s">
        <v>93</v>
      </c>
      <c r="BA7" s="26" t="s">
        <v>244</v>
      </c>
      <c r="BM7" s="26" t="s">
        <v>93</v>
      </c>
      <c r="BN7" s="26" t="s">
        <v>244</v>
      </c>
      <c r="BO7" s="24"/>
      <c r="BP7" s="24"/>
      <c r="BQ7" s="24"/>
      <c r="BR7" s="24"/>
      <c r="BS7" s="24"/>
      <c r="BT7" s="24"/>
      <c r="BU7" s="24"/>
      <c r="BV7" s="24"/>
      <c r="BW7" s="24"/>
      <c r="BX7" s="24"/>
    </row>
    <row r="8" spans="2:76">
      <c r="B8" s="26">
        <v>0.1</v>
      </c>
      <c r="C8" s="24">
        <v>0.6805848782567393</v>
      </c>
      <c r="D8" s="24">
        <v>4.1969708576132598</v>
      </c>
      <c r="E8" s="24">
        <v>748.95695734900221</v>
      </c>
      <c r="F8" s="24">
        <v>0.56766033172607422</v>
      </c>
      <c r="G8" s="24">
        <v>31.859229444883407</v>
      </c>
      <c r="H8" s="24">
        <v>29.189748192817337</v>
      </c>
      <c r="I8" s="24">
        <v>33.683506011962891</v>
      </c>
      <c r="J8" s="24">
        <v>1.089914083480835</v>
      </c>
      <c r="K8" s="24">
        <v>0.66000185514051046</v>
      </c>
      <c r="L8" s="24">
        <v>4.073530538271692</v>
      </c>
      <c r="M8" s="24">
        <v>717.78664622133851</v>
      </c>
      <c r="N8" s="24">
        <v>0.5748903751373291</v>
      </c>
      <c r="O8" s="24">
        <v>31.886630892589441</v>
      </c>
      <c r="P8" s="24">
        <v>30.573539833878897</v>
      </c>
      <c r="Q8" s="24">
        <v>38.096504211425781</v>
      </c>
      <c r="R8" s="24">
        <v>1.1851958036422729</v>
      </c>
      <c r="S8" s="24">
        <v>0.63539328373998238</v>
      </c>
      <c r="T8" s="24">
        <v>3.925402155061811</v>
      </c>
      <c r="U8" s="24">
        <v>681.38618015323971</v>
      </c>
      <c r="V8" s="24">
        <v>0.58357983827590942</v>
      </c>
      <c r="W8" s="24">
        <v>31.919512629836682</v>
      </c>
      <c r="X8" s="24">
        <v>31.694132205292316</v>
      </c>
      <c r="Y8" s="24">
        <v>42.461513519287109</v>
      </c>
      <c r="Z8" s="24">
        <v>1.2279024124145508</v>
      </c>
      <c r="AA8" s="24">
        <v>0.61495602794131909</v>
      </c>
      <c r="AB8" s="24">
        <v>3.801961835720244</v>
      </c>
      <c r="AC8" s="24">
        <v>651.85805020770158</v>
      </c>
      <c r="AD8" s="24">
        <v>0.59083223342895508</v>
      </c>
      <c r="AE8" s="24">
        <v>31.946914077542715</v>
      </c>
      <c r="AF8" s="24">
        <v>32.64851903905943</v>
      </c>
      <c r="AG8" s="24">
        <v>46.882514953613281</v>
      </c>
      <c r="AH8" s="24">
        <v>1.3025960922241211</v>
      </c>
      <c r="AI8" s="24">
        <v>0.59050921213130136</v>
      </c>
      <c r="AJ8" s="24">
        <v>3.6538334525103626</v>
      </c>
      <c r="AK8" s="24">
        <v>617.35346673375068</v>
      </c>
      <c r="AL8" s="24">
        <v>0.59954845905303955</v>
      </c>
      <c r="AM8" s="24">
        <v>31.979795814789952</v>
      </c>
      <c r="AN8" s="24">
        <v>33.438241988509006</v>
      </c>
      <c r="AO8" s="24">
        <v>51.221511840820313</v>
      </c>
      <c r="AP8" s="24">
        <v>1.3446260690689087</v>
      </c>
      <c r="AQ8" s="24">
        <v>0.57019648110753096</v>
      </c>
      <c r="AR8" s="24">
        <v>3.5303931331687957</v>
      </c>
      <c r="AS8" s="24">
        <v>589.34597774297038</v>
      </c>
      <c r="AT8" s="24">
        <v>0.60682320594787598</v>
      </c>
      <c r="AU8" s="24">
        <v>32.007197262495986</v>
      </c>
      <c r="AV8" s="24">
        <v>34.130136304937636</v>
      </c>
      <c r="AW8" s="24">
        <v>55.614505767822266</v>
      </c>
      <c r="AX8" s="24">
        <v>1.3897510766983032</v>
      </c>
      <c r="AZ8" s="26">
        <v>0.1</v>
      </c>
      <c r="BA8">
        <f>100*(AK30-E8)/E8</f>
        <v>49.236557599435102</v>
      </c>
      <c r="BB8" s="24">
        <f>100*(AC30-E8)/E8</f>
        <v>34.35344035120761</v>
      </c>
      <c r="BC8" s="24">
        <f>100*(U30-E8)/E8</f>
        <v>26.348148871741436</v>
      </c>
      <c r="BD8" s="24">
        <f>100*(M30-E8)/E8</f>
        <v>15.884674409256933</v>
      </c>
      <c r="BE8" s="24">
        <f>100*(E30-E8)/E8</f>
        <v>5.1337960063922674</v>
      </c>
      <c r="BF8" s="24">
        <f>100*(E8-E8)/E8</f>
        <v>0</v>
      </c>
      <c r="BG8" s="24">
        <f>100*(M8-E8)/E8</f>
        <v>-4.1618294378349461</v>
      </c>
      <c r="BH8" s="24">
        <f>100*(U8-E8)/E8</f>
        <v>-9.0219840449757083</v>
      </c>
      <c r="BI8" s="24">
        <f>100*(AC8-E8)/E8</f>
        <v>-12.964551058446748</v>
      </c>
      <c r="BJ8" s="24">
        <f>100*(AK8-E8)/E8</f>
        <v>-17.571569276967992</v>
      </c>
      <c r="BK8" s="24">
        <f>100*(AS8-E8)/E8</f>
        <v>-21.311101798291411</v>
      </c>
      <c r="BM8" s="26">
        <v>0.1</v>
      </c>
      <c r="BN8" s="24">
        <f>100*(AI30-C8)/C8</f>
        <v>31.615455147644141</v>
      </c>
      <c r="BO8" s="24">
        <f>100*(AA30-C8)/C8</f>
        <v>22.770788538899339</v>
      </c>
      <c r="BP8" s="24">
        <f>100*(S30-C8)/C8</f>
        <v>17.779954020124862</v>
      </c>
      <c r="BQ8" s="24">
        <f>100*(K30-C8)/C8</f>
        <v>10.982797242296982</v>
      </c>
      <c r="BR8" s="24">
        <f>100*(C30-C8)/C8</f>
        <v>3.6435206478856683</v>
      </c>
      <c r="BS8" s="24">
        <f>100*(R8-R8)/R8</f>
        <v>0</v>
      </c>
      <c r="BT8" s="24">
        <f>100*(K8-C8)/C8</f>
        <v>-3.024313906143568</v>
      </c>
      <c r="BU8" s="24">
        <f>100*(S8-C8)/C8</f>
        <v>-6.6401114630274138</v>
      </c>
      <c r="BV8" s="24">
        <f>100*(AA8-C8)/C8</f>
        <v>-9.6430074208411689</v>
      </c>
      <c r="BW8" s="24">
        <f>100*(AI8-C8)/C8</f>
        <v>-13.235037833364613</v>
      </c>
      <c r="BX8" s="24">
        <f>100*(AQ8-C8)/C8</f>
        <v>-16.219637061575462</v>
      </c>
    </row>
    <row r="9" spans="2:76">
      <c r="B9" s="26">
        <v>0.15</v>
      </c>
      <c r="C9" s="24">
        <v>0.70124175042071646</v>
      </c>
      <c r="D9" s="24">
        <v>4.3450992408231395</v>
      </c>
      <c r="E9" s="24">
        <v>722.75909748575168</v>
      </c>
      <c r="F9" s="24">
        <v>0.60899758338928223</v>
      </c>
      <c r="G9" s="24">
        <v>31.82634770763617</v>
      </c>
      <c r="H9" s="24">
        <v>29.143625968576977</v>
      </c>
      <c r="I9" s="24">
        <v>33.464500427246094</v>
      </c>
      <c r="J9" s="24">
        <v>1.1185052394866943</v>
      </c>
      <c r="K9" s="24">
        <v>0.66000185514051046</v>
      </c>
      <c r="L9" s="24">
        <v>4.073530538271692</v>
      </c>
      <c r="M9" s="24">
        <v>660.35364196666956</v>
      </c>
      <c r="N9" s="24">
        <v>0.62489038705825806</v>
      </c>
      <c r="O9" s="24">
        <v>31.886630892589441</v>
      </c>
      <c r="P9" s="24">
        <v>30.409801707310251</v>
      </c>
      <c r="Q9" s="24">
        <v>37.536518096923828</v>
      </c>
      <c r="R9" s="24">
        <v>1.1158334016799927</v>
      </c>
      <c r="S9" s="24">
        <v>0.63539328373998238</v>
      </c>
      <c r="T9" s="24">
        <v>3.925402155061811</v>
      </c>
      <c r="U9" s="24">
        <v>627.61346386424577</v>
      </c>
      <c r="V9" s="24">
        <v>0.63357985019683838</v>
      </c>
      <c r="W9" s="24">
        <v>31.919512629836682</v>
      </c>
      <c r="X9" s="24">
        <v>31.545798798273271</v>
      </c>
      <c r="Y9" s="24">
        <v>41.853515625</v>
      </c>
      <c r="Z9" s="24">
        <v>1.1764112710952759</v>
      </c>
      <c r="AA9" s="24">
        <v>0.61495602794131909</v>
      </c>
      <c r="AB9" s="24">
        <v>3.801961835720244</v>
      </c>
      <c r="AC9" s="24">
        <v>600.99777526988555</v>
      </c>
      <c r="AD9" s="24">
        <v>0.64083218574523926</v>
      </c>
      <c r="AE9" s="24">
        <v>31.946914077542715</v>
      </c>
      <c r="AF9" s="24">
        <v>32.514226947726755</v>
      </c>
      <c r="AG9" s="24">
        <v>46.231521606445313</v>
      </c>
      <c r="AH9" s="24">
        <v>1.238581657409668</v>
      </c>
      <c r="AI9" s="24">
        <v>0.59050921213130136</v>
      </c>
      <c r="AJ9" s="24">
        <v>3.6538334525103626</v>
      </c>
      <c r="AK9" s="24">
        <v>569.83172727236661</v>
      </c>
      <c r="AL9" s="24">
        <v>0.64954847097396851</v>
      </c>
      <c r="AM9" s="24">
        <v>31.979795814789952</v>
      </c>
      <c r="AN9" s="24">
        <v>33.314662369814116</v>
      </c>
      <c r="AO9" s="24">
        <v>50.524497985839844</v>
      </c>
      <c r="AP9" s="24">
        <v>1.2715944051742554</v>
      </c>
      <c r="AQ9" s="24">
        <v>0.57019648110753096</v>
      </c>
      <c r="AR9" s="24">
        <v>3.5303931331687957</v>
      </c>
      <c r="AS9" s="24">
        <v>544.48261427896296</v>
      </c>
      <c r="AT9" s="24">
        <v>0.65682321786880493</v>
      </c>
      <c r="AU9" s="24">
        <v>32.007197262495986</v>
      </c>
      <c r="AV9" s="24">
        <v>34.016343053525297</v>
      </c>
      <c r="AW9" s="24">
        <v>54.874515533447266</v>
      </c>
      <c r="AX9" s="24">
        <v>1.3198248147964478</v>
      </c>
      <c r="AZ9" s="26">
        <v>0.15</v>
      </c>
      <c r="BA9" s="24">
        <f t="shared" ref="BA9:BA27" si="0">100*(AK31-E9)/E9</f>
        <v>42.461131535555729</v>
      </c>
      <c r="BB9" s="24">
        <f t="shared" ref="BB9:BB27" si="1">100*(AC31-E9)/E9</f>
        <v>33.548288548807662</v>
      </c>
      <c r="BC9" s="24">
        <f t="shared" ref="BC9:BC27" si="2">100*(U31-E9)/E9</f>
        <v>22.276120806630601</v>
      </c>
      <c r="BD9" s="24">
        <f t="shared" ref="BD9:BD27" si="3">100*(M31-E9)/E9</f>
        <v>10.791886912213872</v>
      </c>
      <c r="BE9" s="24">
        <f t="shared" ref="BE9:BE27" si="4">100*(E31-E9)/E9</f>
        <v>5.7286838377126994</v>
      </c>
      <c r="BF9" s="24">
        <f t="shared" ref="BF9:BF27" si="5">100*(E9-E9)/E9</f>
        <v>0</v>
      </c>
      <c r="BG9" s="24">
        <f t="shared" ref="BG9:BG27" si="6">100*(M9-E9)/E9</f>
        <v>-8.6343369092372271</v>
      </c>
      <c r="BH9" s="24">
        <f t="shared" ref="BH9:BH27" si="7">100*(U9-E9)/E9</f>
        <v>-13.164224975166306</v>
      </c>
      <c r="BI9" s="24">
        <f t="shared" ref="BI9:BI27" si="8">100*(AC9-E9)/E9</f>
        <v>-16.8467367120573</v>
      </c>
      <c r="BJ9" s="24">
        <f t="shared" ref="BJ9:BJ27" si="9">100*(AK9-E9)/E9</f>
        <v>-21.158830202950142</v>
      </c>
      <c r="BK9" s="24">
        <f t="shared" ref="BK9:BK27" si="10">100*(AS9-E9)/E9</f>
        <v>-24.666100202260441</v>
      </c>
      <c r="BM9" s="26">
        <v>0.15</v>
      </c>
      <c r="BN9" s="24">
        <f t="shared" ref="BN9:BN26" si="11">100*(AI31-C9)/C9</f>
        <v>28.357219860745172</v>
      </c>
      <c r="BO9" s="24">
        <f t="shared" ref="BO9:BO27" si="12">100*(AA31-C9)/C9</f>
        <v>22.815499125820949</v>
      </c>
      <c r="BP9" s="24">
        <f t="shared" ref="BP9:BP27" si="13">100*(S31-C9)/C9</f>
        <v>15.517477375622068</v>
      </c>
      <c r="BQ9" s="24">
        <f t="shared" ref="BQ9:BQ27" si="14">100*(K31-C9)/C9</f>
        <v>7.7135146394581122</v>
      </c>
      <c r="BR9" s="24">
        <f t="shared" ref="BR9:BR27" si="15">100*(C31-C9)/C9</f>
        <v>4.1430737763704881</v>
      </c>
      <c r="BS9" s="24">
        <f t="shared" ref="BS9:BS27" si="16">100*(R9-R9)/R9</f>
        <v>0</v>
      </c>
      <c r="BT9" s="24">
        <f t="shared" ref="BT9:BT27" si="17">100*(K9-C9)/C9</f>
        <v>-5.8809811674025028</v>
      </c>
      <c r="BU9" s="24">
        <f t="shared" ref="BU9:BU27" si="18">100*(S9-C9)/C9</f>
        <v>-9.3902661444826521</v>
      </c>
      <c r="BV9" s="24">
        <f t="shared" ref="BV9:BV27" si="19">100*(AA9-C9)/C9</f>
        <v>-12.304704109193363</v>
      </c>
      <c r="BW9" s="24">
        <f t="shared" ref="BW9:BW27" si="20">100*(AI9-C9)/C9</f>
        <v>-15.790922064035705</v>
      </c>
      <c r="BX9" s="24">
        <f t="shared" ref="BX9:BX27" si="21">100*(AQ9-C9)/C9</f>
        <v>-18.68760227618559</v>
      </c>
    </row>
    <row r="10" spans="2:76">
      <c r="B10" s="26">
        <v>0.2</v>
      </c>
      <c r="C10" s="24">
        <v>0.70538212882241114</v>
      </c>
      <c r="D10" s="24">
        <v>4.369787304691453</v>
      </c>
      <c r="E10" s="24">
        <v>673.18977678546594</v>
      </c>
      <c r="F10" s="24">
        <v>0.6575552225112915</v>
      </c>
      <c r="G10" s="24">
        <v>31.820867418094963</v>
      </c>
      <c r="H10" s="24">
        <v>28.988967004334455</v>
      </c>
      <c r="I10" s="24">
        <v>33.021495819091797</v>
      </c>
      <c r="J10" s="24">
        <v>1.0486327409744263</v>
      </c>
      <c r="K10" s="24">
        <v>0.6805848782567393</v>
      </c>
      <c r="L10" s="24">
        <v>4.2216589214815734</v>
      </c>
      <c r="M10" s="24">
        <v>641.91546656065054</v>
      </c>
      <c r="N10" s="24">
        <v>0.66621553897857666</v>
      </c>
      <c r="O10" s="24">
        <v>31.853749155342204</v>
      </c>
      <c r="P10" s="24">
        <v>30.379491466199497</v>
      </c>
      <c r="Q10" s="24">
        <v>37.329509735107422</v>
      </c>
      <c r="R10" s="24">
        <v>1.1257898807525635</v>
      </c>
      <c r="S10" s="24">
        <v>0.65589402192487301</v>
      </c>
      <c r="T10" s="24">
        <v>4.073530538271692</v>
      </c>
      <c r="U10" s="24">
        <v>611.43061285437841</v>
      </c>
      <c r="V10" s="24">
        <v>0.67489039897918701</v>
      </c>
      <c r="W10" s="24">
        <v>31.886630892589441</v>
      </c>
      <c r="X10" s="24">
        <v>31.524527635612383</v>
      </c>
      <c r="Y10" s="24">
        <v>41.643512725830078</v>
      </c>
      <c r="Z10" s="24">
        <v>1.1860339641571045</v>
      </c>
      <c r="AA10" s="24">
        <v>0.61495602794131909</v>
      </c>
      <c r="AB10" s="24">
        <v>3.8266498995885572</v>
      </c>
      <c r="AC10" s="24">
        <v>562.30107404469118</v>
      </c>
      <c r="AD10" s="24">
        <v>0.689380943775177</v>
      </c>
      <c r="AE10" s="24">
        <v>31.941433788001508</v>
      </c>
      <c r="AF10" s="24">
        <v>32.399056944018035</v>
      </c>
      <c r="AG10" s="24">
        <v>45.661506652832031</v>
      </c>
      <c r="AH10" s="24">
        <v>1.1815453767776489</v>
      </c>
      <c r="AI10" s="24">
        <v>0.6108760645709852</v>
      </c>
      <c r="AJ10" s="24">
        <v>3.801961835720244</v>
      </c>
      <c r="AK10" s="24">
        <v>557.49967511586954</v>
      </c>
      <c r="AL10" s="24">
        <v>0.69083219766616821</v>
      </c>
      <c r="AM10" s="24">
        <v>31.946914077542715</v>
      </c>
      <c r="AN10" s="24">
        <v>33.307482538023116</v>
      </c>
      <c r="AO10" s="24">
        <v>50.317497253417969</v>
      </c>
      <c r="AP10" s="24">
        <v>1.2928107976913452</v>
      </c>
      <c r="AQ10" s="24">
        <v>0.59050921213130136</v>
      </c>
      <c r="AR10" s="24">
        <v>3.6785215163786766</v>
      </c>
      <c r="AS10" s="24">
        <v>533.7874716855714</v>
      </c>
      <c r="AT10" s="24">
        <v>0.69809472560882568</v>
      </c>
      <c r="AU10" s="24">
        <v>31.974315525248745</v>
      </c>
      <c r="AV10" s="24">
        <v>34.014612740935966</v>
      </c>
      <c r="AW10" s="24">
        <v>54.672519683837891</v>
      </c>
      <c r="AX10" s="24">
        <v>1.3402832746505737</v>
      </c>
      <c r="AZ10" s="26">
        <v>0.2</v>
      </c>
      <c r="BA10" s="24">
        <f t="shared" si="0"/>
        <v>46.89237106603418</v>
      </c>
      <c r="BB10" s="24">
        <f t="shared" si="1"/>
        <v>32.449078534300909</v>
      </c>
      <c r="BC10" s="24">
        <f t="shared" si="2"/>
        <v>20.720371438345502</v>
      </c>
      <c r="BD10" s="24">
        <f t="shared" si="3"/>
        <v>14.685680817818035</v>
      </c>
      <c r="BE10" s="24">
        <f t="shared" si="4"/>
        <v>4.7673474567177081</v>
      </c>
      <c r="BF10" s="24">
        <f t="shared" si="5"/>
        <v>0</v>
      </c>
      <c r="BG10" s="24">
        <f t="shared" si="6"/>
        <v>-4.6456900124289886</v>
      </c>
      <c r="BH10" s="24">
        <f t="shared" si="7"/>
        <v>-9.174109004743416</v>
      </c>
      <c r="BI10" s="24">
        <f t="shared" si="8"/>
        <v>-16.472131123303299</v>
      </c>
      <c r="BJ10" s="24">
        <f t="shared" si="9"/>
        <v>-17.185362235003883</v>
      </c>
      <c r="BK10" s="24">
        <f t="shared" si="10"/>
        <v>-20.707727583973643</v>
      </c>
      <c r="BM10" s="26">
        <v>0.2</v>
      </c>
      <c r="BN10" s="24">
        <f t="shared" si="11"/>
        <v>31.934000830835011</v>
      </c>
      <c r="BO10" s="24">
        <f t="shared" si="12"/>
        <v>22.703675373967361</v>
      </c>
      <c r="BP10" s="24">
        <f t="shared" si="13"/>
        <v>14.839424943045211</v>
      </c>
      <c r="BQ10" s="24">
        <f t="shared" si="14"/>
        <v>10.649883104776993</v>
      </c>
      <c r="BR10" s="24">
        <f t="shared" si="15"/>
        <v>3.5317856309369966</v>
      </c>
      <c r="BS10" s="24">
        <f t="shared" si="16"/>
        <v>0</v>
      </c>
      <c r="BT10" s="24">
        <f t="shared" si="17"/>
        <v>-3.5154350461173727</v>
      </c>
      <c r="BU10" s="24">
        <f t="shared" si="18"/>
        <v>-7.0157868870530153</v>
      </c>
      <c r="BV10" s="24">
        <f t="shared" si="19"/>
        <v>-12.819448804586591</v>
      </c>
      <c r="BW10" s="24">
        <f t="shared" si="20"/>
        <v>-13.397853502355888</v>
      </c>
      <c r="BX10" s="24">
        <f t="shared" si="21"/>
        <v>-16.285203721120993</v>
      </c>
    </row>
    <row r="11" spans="2:76">
      <c r="B11" s="24">
        <v>0.25</v>
      </c>
      <c r="C11" s="24">
        <v>0.70538212882241114</v>
      </c>
      <c r="D11" s="24">
        <v>4.369787304691453</v>
      </c>
      <c r="E11" s="24">
        <v>625.61824069452643</v>
      </c>
      <c r="F11" s="24">
        <v>0.70755523443222046</v>
      </c>
      <c r="G11" s="24">
        <v>31.820867418094963</v>
      </c>
      <c r="H11" s="24">
        <v>28.809841826527229</v>
      </c>
      <c r="I11" s="24">
        <v>32.5364990234375</v>
      </c>
      <c r="J11" s="24">
        <v>1.0127477645874023</v>
      </c>
      <c r="K11" s="24">
        <v>0.6805848782567393</v>
      </c>
      <c r="L11" s="24">
        <v>4.2216589214815734</v>
      </c>
      <c r="M11" s="24">
        <v>597.10245669902292</v>
      </c>
      <c r="N11" s="24">
        <v>0.71621555089950562</v>
      </c>
      <c r="O11" s="24">
        <v>31.853749155342204</v>
      </c>
      <c r="P11" s="24">
        <v>30.21876368269352</v>
      </c>
      <c r="Q11" s="24">
        <v>36.797519683837891</v>
      </c>
      <c r="R11" s="24">
        <v>1.0752263069152832</v>
      </c>
      <c r="S11" s="24">
        <v>0.66000185514051046</v>
      </c>
      <c r="T11" s="24">
        <v>4.0982186021400056</v>
      </c>
      <c r="U11" s="24">
        <v>573.85201080715217</v>
      </c>
      <c r="V11" s="24">
        <v>0.72344356775283813</v>
      </c>
      <c r="W11" s="24">
        <v>31.881150603048233</v>
      </c>
      <c r="X11" s="24">
        <v>31.400885610950365</v>
      </c>
      <c r="Y11" s="24">
        <v>41.131515502929688</v>
      </c>
      <c r="Z11" s="24">
        <v>1.1397982835769653</v>
      </c>
      <c r="AA11" s="24">
        <v>0.63539328373998238</v>
      </c>
      <c r="AB11" s="24">
        <v>3.9500902189301246</v>
      </c>
      <c r="AC11" s="24">
        <v>546.54749818688992</v>
      </c>
      <c r="AD11" s="24">
        <v>0.73213058710098267</v>
      </c>
      <c r="AE11" s="24">
        <v>31.914032340295474</v>
      </c>
      <c r="AF11" s="24">
        <v>32.368732242327802</v>
      </c>
      <c r="AG11" s="24">
        <v>45.401519775390625</v>
      </c>
      <c r="AH11" s="24">
        <v>1.187610387802124</v>
      </c>
      <c r="AI11" s="24">
        <v>0.61495602794131909</v>
      </c>
      <c r="AJ11" s="24">
        <v>3.8266498995885572</v>
      </c>
      <c r="AK11" s="24">
        <v>524.27594689707803</v>
      </c>
      <c r="AL11" s="24">
        <v>0.73938089609146118</v>
      </c>
      <c r="AM11" s="24">
        <v>31.941433788001508</v>
      </c>
      <c r="AN11" s="24">
        <v>33.206162166703166</v>
      </c>
      <c r="AO11" s="24">
        <v>49.734516143798828</v>
      </c>
      <c r="AP11" s="24">
        <v>1.2497437000274658</v>
      </c>
      <c r="AQ11" s="24">
        <v>0.59050921213130136</v>
      </c>
      <c r="AR11" s="24">
        <v>3.6785215163786766</v>
      </c>
      <c r="AS11" s="24">
        <v>498.11100995755646</v>
      </c>
      <c r="AT11" s="24">
        <v>0.74809473752975464</v>
      </c>
      <c r="AU11" s="24">
        <v>31.974315525248745</v>
      </c>
      <c r="AV11" s="24">
        <v>33.903215374072893</v>
      </c>
      <c r="AW11" s="24">
        <v>53.968524932861328</v>
      </c>
      <c r="AX11" s="24">
        <v>1.2736470699310303</v>
      </c>
      <c r="AZ11" s="24">
        <v>0.25</v>
      </c>
      <c r="BA11" s="24">
        <f t="shared" si="0"/>
        <v>46.513163208437803</v>
      </c>
      <c r="BB11" s="24">
        <f t="shared" si="1"/>
        <v>32.510014623828688</v>
      </c>
      <c r="BC11" s="24">
        <f t="shared" si="2"/>
        <v>25.403527247454722</v>
      </c>
      <c r="BD11" s="24">
        <f t="shared" si="3"/>
        <v>14.354417459327108</v>
      </c>
      <c r="BE11" s="24">
        <f t="shared" si="4"/>
        <v>9.4522544079588329</v>
      </c>
      <c r="BF11" s="24">
        <f t="shared" si="5"/>
        <v>0</v>
      </c>
      <c r="BG11" s="24">
        <f t="shared" si="6"/>
        <v>-4.5580167170073045</v>
      </c>
      <c r="BH11" s="24">
        <f t="shared" si="7"/>
        <v>-8.2744118569666849</v>
      </c>
      <c r="BI11" s="24">
        <f t="shared" si="8"/>
        <v>-12.638816671946232</v>
      </c>
      <c r="BJ11" s="24">
        <f t="shared" si="9"/>
        <v>-16.198743451748442</v>
      </c>
      <c r="BK11" s="24">
        <f t="shared" si="10"/>
        <v>-20.3809963397836</v>
      </c>
      <c r="BM11" s="24">
        <v>0.25</v>
      </c>
      <c r="BN11" s="24">
        <f t="shared" si="11"/>
        <v>32.555987450362167</v>
      </c>
      <c r="BO11" s="24">
        <f t="shared" si="12"/>
        <v>23.313490851830668</v>
      </c>
      <c r="BP11" s="24">
        <f t="shared" si="13"/>
        <v>18.454861212208218</v>
      </c>
      <c r="BQ11" s="24">
        <f t="shared" si="14"/>
        <v>10.649883104776993</v>
      </c>
      <c r="BR11" s="24">
        <f t="shared" si="15"/>
        <v>7.0812690928798894</v>
      </c>
      <c r="BS11" s="24">
        <f t="shared" si="16"/>
        <v>0</v>
      </c>
      <c r="BT11" s="24">
        <f t="shared" si="17"/>
        <v>-3.5154350461173727</v>
      </c>
      <c r="BU11" s="24">
        <f t="shared" si="18"/>
        <v>-6.4334311612997688</v>
      </c>
      <c r="BV11" s="24">
        <f t="shared" si="19"/>
        <v>-9.9221177036722654</v>
      </c>
      <c r="BW11" s="24">
        <f t="shared" si="20"/>
        <v>-12.819448804586591</v>
      </c>
      <c r="BX11" s="24">
        <f t="shared" si="21"/>
        <v>-16.285203721120993</v>
      </c>
    </row>
    <row r="12" spans="2:76">
      <c r="B12" s="24">
        <f t="shared" ref="B12:B27" si="22">B11+0.25</f>
        <v>0.5</v>
      </c>
      <c r="C12" s="24">
        <v>0.75533213549741074</v>
      </c>
      <c r="D12" s="24">
        <v>4.666044071111215</v>
      </c>
      <c r="E12" s="24">
        <v>502.69192293681942</v>
      </c>
      <c r="F12" s="24">
        <v>0.94027823209762573</v>
      </c>
      <c r="G12" s="24">
        <v>31.755103943600485</v>
      </c>
      <c r="H12" s="24">
        <v>28.234590605369409</v>
      </c>
      <c r="I12" s="24">
        <v>30.897500991821289</v>
      </c>
      <c r="J12" s="24">
        <v>0.90747839212417603</v>
      </c>
      <c r="K12" s="24">
        <v>0.73029471349135855</v>
      </c>
      <c r="L12" s="24">
        <v>4.5179156879013336</v>
      </c>
      <c r="M12" s="24">
        <v>482.30613928092828</v>
      </c>
      <c r="N12" s="24">
        <v>0.9489094614982605</v>
      </c>
      <c r="O12" s="24">
        <v>31.787985680847726</v>
      </c>
      <c r="P12" s="24">
        <v>29.713696038864924</v>
      </c>
      <c r="Q12" s="24">
        <v>35.015514373779297</v>
      </c>
      <c r="R12" s="24">
        <v>0.95903319120407104</v>
      </c>
      <c r="S12" s="24">
        <v>0.70538212882241114</v>
      </c>
      <c r="T12" s="24">
        <v>4.369787304691453</v>
      </c>
      <c r="U12" s="24">
        <v>462.28086194530812</v>
      </c>
      <c r="V12" s="24">
        <v>0.95755523443222046</v>
      </c>
      <c r="W12" s="24">
        <v>31.820867418094963</v>
      </c>
      <c r="X12" s="24">
        <v>30.933799486271234</v>
      </c>
      <c r="Y12" s="24">
        <v>39.154510498046875</v>
      </c>
      <c r="Z12" s="24">
        <v>1.0230224132537842</v>
      </c>
      <c r="AA12" s="24">
        <v>0.6805848782567393</v>
      </c>
      <c r="AB12" s="24">
        <v>4.2216589214815734</v>
      </c>
      <c r="AC12" s="24">
        <v>442.60730472894284</v>
      </c>
      <c r="AD12" s="24">
        <v>0.96621555089950562</v>
      </c>
      <c r="AE12" s="24">
        <v>31.853749155342204</v>
      </c>
      <c r="AF12" s="24">
        <v>31.953592256267708</v>
      </c>
      <c r="AG12" s="24">
        <v>43.299518585205078</v>
      </c>
      <c r="AH12" s="24">
        <v>1.0635265111923218</v>
      </c>
      <c r="AI12" s="24">
        <v>0.66000185514051046</v>
      </c>
      <c r="AJ12" s="24">
        <v>4.0982186021400056</v>
      </c>
      <c r="AK12" s="24">
        <v>426.47520553405838</v>
      </c>
      <c r="AL12" s="24">
        <v>0.97344356775283813</v>
      </c>
      <c r="AM12" s="24">
        <v>31.881150603048233</v>
      </c>
      <c r="AN12" s="24">
        <v>32.837090101822035</v>
      </c>
      <c r="AO12" s="24">
        <v>47.520503997802734</v>
      </c>
      <c r="AP12" s="24">
        <v>1.1279201507568359</v>
      </c>
      <c r="AQ12" s="24">
        <v>0.63539328373998238</v>
      </c>
      <c r="AR12" s="24">
        <v>3.9500902189301246</v>
      </c>
      <c r="AS12" s="24">
        <v>407.42457834767004</v>
      </c>
      <c r="AT12" s="24">
        <v>0.98213058710098267</v>
      </c>
      <c r="AU12" s="24">
        <v>31.914032340295474</v>
      </c>
      <c r="AV12" s="24">
        <v>33.57151173304549</v>
      </c>
      <c r="AW12" s="24">
        <v>51.6455078125</v>
      </c>
      <c r="AX12" s="24">
        <v>1.1577906608581543</v>
      </c>
      <c r="AZ12" s="24">
        <f t="shared" ref="AZ12:AZ27" si="23">AZ11+0.25</f>
        <v>0.5</v>
      </c>
      <c r="BA12" s="24">
        <f t="shared" si="0"/>
        <v>36.841078214242948</v>
      </c>
      <c r="BB12" s="24">
        <f t="shared" si="1"/>
        <v>29.780413893187795</v>
      </c>
      <c r="BC12" s="24">
        <f t="shared" si="2"/>
        <v>18.447108640230102</v>
      </c>
      <c r="BD12" s="24">
        <f t="shared" si="3"/>
        <v>13.335881528017229</v>
      </c>
      <c r="BE12" s="24">
        <f t="shared" si="4"/>
        <v>4.1288450229091911</v>
      </c>
      <c r="BF12" s="24">
        <f t="shared" si="5"/>
        <v>0</v>
      </c>
      <c r="BG12" s="24">
        <f t="shared" si="6"/>
        <v>-4.0553234945160082</v>
      </c>
      <c r="BH12" s="24">
        <f t="shared" si="7"/>
        <v>-8.0389318283497353</v>
      </c>
      <c r="BI12" s="24">
        <f t="shared" si="8"/>
        <v>-11.952572831656239</v>
      </c>
      <c r="BJ12" s="24">
        <f t="shared" si="9"/>
        <v>-15.161715143042056</v>
      </c>
      <c r="BK12" s="24">
        <f t="shared" si="10"/>
        <v>-18.951437300321022</v>
      </c>
      <c r="BM12" s="24">
        <f t="shared" ref="BM12:BM27" si="24">BM11+0.25</f>
        <v>0.5</v>
      </c>
      <c r="BN12" s="24">
        <f t="shared" si="11"/>
        <v>28.468423278768775</v>
      </c>
      <c r="BO12" s="24">
        <f t="shared" si="12"/>
        <v>23.209224123407072</v>
      </c>
      <c r="BP12" s="24">
        <f t="shared" si="13"/>
        <v>14.589298775995029</v>
      </c>
      <c r="BQ12" s="24">
        <f t="shared" si="14"/>
        <v>10.621458090362314</v>
      </c>
      <c r="BR12" s="24">
        <f t="shared" si="15"/>
        <v>3.332622074923083</v>
      </c>
      <c r="BS12" s="24">
        <f t="shared" si="16"/>
        <v>0</v>
      </c>
      <c r="BT12" s="24">
        <f t="shared" si="17"/>
        <v>-3.3147566255160368</v>
      </c>
      <c r="BU12" s="24">
        <f t="shared" si="18"/>
        <v>-6.6129857750730947</v>
      </c>
      <c r="BV12" s="24">
        <f t="shared" si="19"/>
        <v>-9.8959456016587897</v>
      </c>
      <c r="BW12" s="24">
        <f t="shared" si="20"/>
        <v>-12.620975048826988</v>
      </c>
      <c r="BX12" s="24">
        <f t="shared" si="21"/>
        <v>-15.878955246415503</v>
      </c>
    </row>
    <row r="13" spans="2:76">
      <c r="B13" s="24">
        <f t="shared" si="22"/>
        <v>0.75</v>
      </c>
      <c r="C13" s="24">
        <v>0.8058225622581161</v>
      </c>
      <c r="D13" s="24">
        <v>4.9623008375309761</v>
      </c>
      <c r="E13" s="24">
        <v>428.52149956472459</v>
      </c>
      <c r="F13" s="24">
        <v>1.1730592250823975</v>
      </c>
      <c r="G13" s="24">
        <v>31.689340469106007</v>
      </c>
      <c r="H13" s="24">
        <v>27.716485396422879</v>
      </c>
      <c r="I13" s="24">
        <v>29.517498016357422</v>
      </c>
      <c r="J13" s="24">
        <v>0.85692936182022095</v>
      </c>
      <c r="K13" s="24">
        <v>0.75533213549741074</v>
      </c>
      <c r="L13" s="24">
        <v>4.666044071111215</v>
      </c>
      <c r="M13" s="24">
        <v>397.10906082573621</v>
      </c>
      <c r="N13" s="24">
        <v>1.190278172492981</v>
      </c>
      <c r="O13" s="24">
        <v>31.755103943600485</v>
      </c>
      <c r="P13" s="24">
        <v>29.090191748246301</v>
      </c>
      <c r="Q13" s="24">
        <v>33.127510070800781</v>
      </c>
      <c r="R13" s="24">
        <v>0.84682661294937134</v>
      </c>
      <c r="S13" s="24">
        <v>0.73029471349135855</v>
      </c>
      <c r="T13" s="24">
        <v>4.5179156879013336</v>
      </c>
      <c r="U13" s="24">
        <v>381.73429575678205</v>
      </c>
      <c r="V13" s="24">
        <v>1.1989095211029053</v>
      </c>
      <c r="W13" s="24">
        <v>31.787985680847726</v>
      </c>
      <c r="X13" s="24">
        <v>30.37369432083284</v>
      </c>
      <c r="Y13" s="24">
        <v>37.104526519775391</v>
      </c>
      <c r="Z13" s="24">
        <v>0.89033967256546021</v>
      </c>
      <c r="AA13" s="24">
        <v>0.70538212882241114</v>
      </c>
      <c r="AB13" s="24">
        <v>4.369787304691453</v>
      </c>
      <c r="AC13" s="24">
        <v>366.57491553312235</v>
      </c>
      <c r="AD13" s="24">
        <v>1.2075551748275757</v>
      </c>
      <c r="AE13" s="24">
        <v>31.820867418094963</v>
      </c>
      <c r="AF13" s="24">
        <v>31.447763716636899</v>
      </c>
      <c r="AG13" s="24">
        <v>41.096500396728516</v>
      </c>
      <c r="AH13" s="24">
        <v>0.93456214666366577</v>
      </c>
      <c r="AI13" s="24">
        <v>0.6805848782567393</v>
      </c>
      <c r="AJ13" s="24">
        <v>4.2216589214815734</v>
      </c>
      <c r="AK13" s="24">
        <v>351.6268625103317</v>
      </c>
      <c r="AL13" s="24">
        <v>1.2162154912948608</v>
      </c>
      <c r="AM13" s="24">
        <v>31.853749155342204</v>
      </c>
      <c r="AN13" s="24">
        <v>32.355713867182033</v>
      </c>
      <c r="AO13" s="24">
        <v>45.086509704589844</v>
      </c>
      <c r="AP13" s="24">
        <v>0.970054030418396</v>
      </c>
      <c r="AQ13" s="24">
        <v>0.66000185514051046</v>
      </c>
      <c r="AR13" s="24">
        <v>4.0982186021400056</v>
      </c>
      <c r="AS13" s="24">
        <v>339.32872453044519</v>
      </c>
      <c r="AT13" s="24">
        <v>1.2234435081481934</v>
      </c>
      <c r="AU13" s="24">
        <v>31.881150603048233</v>
      </c>
      <c r="AV13" s="24">
        <v>33.154668421883962</v>
      </c>
      <c r="AW13" s="24">
        <v>49.164516448974609</v>
      </c>
      <c r="AX13" s="24">
        <v>1.0169746875762939</v>
      </c>
      <c r="AZ13" s="24">
        <f t="shared" si="23"/>
        <v>0.75</v>
      </c>
      <c r="BA13" s="24">
        <f t="shared" si="0"/>
        <v>30.149721508944921</v>
      </c>
      <c r="BB13" s="24">
        <f t="shared" si="1"/>
        <v>22.628618746915546</v>
      </c>
      <c r="BC13" s="24">
        <f t="shared" si="2"/>
        <v>13.998526300595616</v>
      </c>
      <c r="BD13" s="24">
        <f t="shared" si="3"/>
        <v>8.8220020164381499</v>
      </c>
      <c r="BE13" s="24">
        <f t="shared" si="4"/>
        <v>4.373925068256316</v>
      </c>
      <c r="BF13" s="24">
        <f t="shared" si="5"/>
        <v>0</v>
      </c>
      <c r="BG13" s="24">
        <f t="shared" si="6"/>
        <v>-7.330423040826636</v>
      </c>
      <c r="BH13" s="24">
        <f t="shared" si="7"/>
        <v>-10.918286213286187</v>
      </c>
      <c r="BI13" s="24">
        <f t="shared" si="8"/>
        <v>-14.455887066232421</v>
      </c>
      <c r="BJ13" s="24">
        <f t="shared" si="9"/>
        <v>-17.944172493678721</v>
      </c>
      <c r="BK13" s="24">
        <f t="shared" si="10"/>
        <v>-20.814072368569125</v>
      </c>
      <c r="BM13" s="24">
        <f t="shared" si="24"/>
        <v>0.75</v>
      </c>
      <c r="BN13" s="24">
        <f t="shared" si="11"/>
        <v>24.859656712439357</v>
      </c>
      <c r="BO13" s="24">
        <f t="shared" si="12"/>
        <v>18.768420943860153</v>
      </c>
      <c r="BP13" s="24">
        <f t="shared" si="13"/>
        <v>11.698835140650264</v>
      </c>
      <c r="BQ13" s="24">
        <f t="shared" si="14"/>
        <v>7.4094767303115603</v>
      </c>
      <c r="BR13" s="24">
        <f t="shared" si="15"/>
        <v>3.6902490507166608</v>
      </c>
      <c r="BS13" s="24">
        <f t="shared" si="16"/>
        <v>0</v>
      </c>
      <c r="BT13" s="24">
        <f t="shared" si="17"/>
        <v>-6.2657003074248232</v>
      </c>
      <c r="BU13" s="24">
        <f t="shared" si="18"/>
        <v>-9.3727642168655159</v>
      </c>
      <c r="BV13" s="24">
        <f t="shared" si="19"/>
        <v>-12.464336212459202</v>
      </c>
      <c r="BW13" s="24">
        <f t="shared" si="20"/>
        <v>-15.541595615097885</v>
      </c>
      <c r="BX13" s="24">
        <f t="shared" si="21"/>
        <v>-18.095882883817449</v>
      </c>
    </row>
    <row r="14" spans="2:76">
      <c r="B14" s="24">
        <f t="shared" si="22"/>
        <v>1</v>
      </c>
      <c r="C14" s="24">
        <v>0.8355594217123069</v>
      </c>
      <c r="D14" s="24">
        <v>5.1351172846091702</v>
      </c>
      <c r="E14" s="24">
        <v>368.13314495570239</v>
      </c>
      <c r="F14" s="24">
        <v>1.4130414724349976</v>
      </c>
      <c r="G14" s="24">
        <v>31.650978442317562</v>
      </c>
      <c r="H14" s="24">
        <v>27.095903806199775</v>
      </c>
      <c r="I14" s="24">
        <v>28.070501327514648</v>
      </c>
      <c r="J14" s="24">
        <v>0.79040437936782837</v>
      </c>
      <c r="K14" s="24">
        <v>0.8058225622581161</v>
      </c>
      <c r="L14" s="24">
        <v>4.9623008375309761</v>
      </c>
      <c r="M14" s="24">
        <v>353.23975646627167</v>
      </c>
      <c r="N14" s="24">
        <v>1.4230592250823975</v>
      </c>
      <c r="O14" s="24">
        <v>31.689340469106007</v>
      </c>
      <c r="P14" s="24">
        <v>28.671818046335645</v>
      </c>
      <c r="Q14" s="24">
        <v>31.844501495361328</v>
      </c>
      <c r="R14" s="24">
        <v>0.81536287069320679</v>
      </c>
      <c r="S14" s="24">
        <v>0.77629959260899206</v>
      </c>
      <c r="T14" s="24">
        <v>4.789484390452782</v>
      </c>
      <c r="U14" s="24">
        <v>338.54994510446244</v>
      </c>
      <c r="V14" s="24">
        <v>1.4330965280532837</v>
      </c>
      <c r="W14" s="24">
        <v>31.727702495894452</v>
      </c>
      <c r="X14" s="24">
        <v>29.976788520355715</v>
      </c>
      <c r="Y14" s="24">
        <v>35.649520874023438</v>
      </c>
      <c r="Z14" s="24">
        <v>0.84526872634887695</v>
      </c>
      <c r="AA14" s="24">
        <v>0.75115045347784526</v>
      </c>
      <c r="AB14" s="24">
        <v>4.6413560072429005</v>
      </c>
      <c r="AC14" s="24">
        <v>326.11793521811632</v>
      </c>
      <c r="AD14" s="24">
        <v>1.4417157173156738</v>
      </c>
      <c r="AE14" s="24">
        <v>31.760584233141692</v>
      </c>
      <c r="AF14" s="24">
        <v>31.095943303650429</v>
      </c>
      <c r="AG14" s="24">
        <v>39.545505523681641</v>
      </c>
      <c r="AH14" s="24">
        <v>0.88904702663421631</v>
      </c>
      <c r="AI14" s="24">
        <v>0.7261345049393807</v>
      </c>
      <c r="AJ14" s="24">
        <v>4.4932276240330209</v>
      </c>
      <c r="AK14" s="24">
        <v>313.83055285430635</v>
      </c>
      <c r="AL14" s="24">
        <v>1.4503494501113892</v>
      </c>
      <c r="AM14" s="24">
        <v>31.79346597038893</v>
      </c>
      <c r="AN14" s="24">
        <v>32.043491983741298</v>
      </c>
      <c r="AO14" s="24">
        <v>43.451522827148438</v>
      </c>
      <c r="AP14" s="24">
        <v>0.92471426725387573</v>
      </c>
      <c r="AQ14" s="24">
        <v>0.70538212882241114</v>
      </c>
      <c r="AR14" s="24">
        <v>4.369787304691453</v>
      </c>
      <c r="AS14" s="24">
        <v>303.69995380179211</v>
      </c>
      <c r="AT14" s="24">
        <v>1.4575551748275757</v>
      </c>
      <c r="AU14" s="24">
        <v>31.820867418094963</v>
      </c>
      <c r="AV14" s="24">
        <v>32.877882722242617</v>
      </c>
      <c r="AW14" s="24">
        <v>47.454502105712891</v>
      </c>
      <c r="AX14" s="24">
        <v>0.9641004204750061</v>
      </c>
      <c r="AZ14" s="24">
        <f t="shared" si="23"/>
        <v>1</v>
      </c>
      <c r="BA14" s="24">
        <f t="shared" si="0"/>
        <v>24.86161410563172</v>
      </c>
      <c r="BB14" s="24">
        <f t="shared" si="1"/>
        <v>21.718977212995338</v>
      </c>
      <c r="BC14" s="24">
        <f t="shared" si="2"/>
        <v>13.695013437748674</v>
      </c>
      <c r="BD14" s="24">
        <f t="shared" si="3"/>
        <v>8.8602335127847756</v>
      </c>
      <c r="BE14" s="24">
        <f t="shared" si="4"/>
        <v>4.101969895642303</v>
      </c>
      <c r="BF14" s="24">
        <f t="shared" si="5"/>
        <v>0</v>
      </c>
      <c r="BG14" s="24">
        <f t="shared" si="6"/>
        <v>-4.0456526921048761</v>
      </c>
      <c r="BH14" s="24">
        <f t="shared" si="7"/>
        <v>-8.0360055204482368</v>
      </c>
      <c r="BI14" s="24">
        <f t="shared" si="8"/>
        <v>-11.413047239373618</v>
      </c>
      <c r="BJ14" s="24">
        <f t="shared" si="9"/>
        <v>-14.750802215304544</v>
      </c>
      <c r="BK14" s="24">
        <f t="shared" si="10"/>
        <v>-17.502686741685146</v>
      </c>
      <c r="BM14" s="24">
        <f t="shared" si="24"/>
        <v>1</v>
      </c>
      <c r="BN14" s="24">
        <f t="shared" si="11"/>
        <v>21.49555809104848</v>
      </c>
      <c r="BO14" s="24">
        <f t="shared" si="12"/>
        <v>18.803473374748272</v>
      </c>
      <c r="BP14" s="24">
        <f t="shared" si="13"/>
        <v>11.904219120979949</v>
      </c>
      <c r="BQ14" s="24">
        <f t="shared" si="14"/>
        <v>7.7235672237767199</v>
      </c>
      <c r="BR14" s="24">
        <f t="shared" si="15"/>
        <v>3.5868634839287177</v>
      </c>
      <c r="BS14" s="24">
        <f t="shared" si="16"/>
        <v>0</v>
      </c>
      <c r="BT14" s="24">
        <f t="shared" si="17"/>
        <v>-3.5589161801624152</v>
      </c>
      <c r="BU14" s="24">
        <f t="shared" si="18"/>
        <v>-7.0922339648656028</v>
      </c>
      <c r="BV14" s="24">
        <f t="shared" si="19"/>
        <v>-10.102090412849735</v>
      </c>
      <c r="BW14" s="24">
        <f t="shared" si="20"/>
        <v>-13.096006571104468</v>
      </c>
      <c r="BX14" s="24">
        <f t="shared" si="21"/>
        <v>-15.579657114406563</v>
      </c>
    </row>
    <row r="15" spans="2:76">
      <c r="B15" s="24">
        <f t="shared" si="22"/>
        <v>1.25</v>
      </c>
      <c r="C15" s="24">
        <v>0.8655297974962316</v>
      </c>
      <c r="D15" s="24">
        <v>5.3079337316873643</v>
      </c>
      <c r="E15" s="24">
        <v>325.27502009586664</v>
      </c>
      <c r="F15" s="24">
        <v>1.653043270111084</v>
      </c>
      <c r="G15" s="24">
        <v>31.612616415529114</v>
      </c>
      <c r="H15" s="24">
        <v>26.506095424077756</v>
      </c>
      <c r="I15" s="24">
        <v>26.792505264282227</v>
      </c>
      <c r="J15" s="24">
        <v>0.73233973979949951</v>
      </c>
      <c r="K15" s="24">
        <v>0.8355594217123069</v>
      </c>
      <c r="L15" s="24">
        <v>5.1351172846091702</v>
      </c>
      <c r="M15" s="24">
        <v>312.79279968384736</v>
      </c>
      <c r="N15" s="24">
        <v>1.6630414724349976</v>
      </c>
      <c r="O15" s="24">
        <v>31.650978442317562</v>
      </c>
      <c r="P15" s="24">
        <v>28.137181025089323</v>
      </c>
      <c r="Q15" s="24">
        <v>30.420507431030273</v>
      </c>
      <c r="R15" s="24">
        <v>0.75721818208694458</v>
      </c>
      <c r="S15" s="24">
        <v>0.81005678039066731</v>
      </c>
      <c r="T15" s="24">
        <v>4.9869889013992905</v>
      </c>
      <c r="U15" s="24">
        <v>302.20977401828327</v>
      </c>
      <c r="V15" s="24">
        <v>1.6716268062591553</v>
      </c>
      <c r="W15" s="24">
        <v>31.6838601795648</v>
      </c>
      <c r="X15" s="24">
        <v>29.523759402384947</v>
      </c>
      <c r="Y15" s="24">
        <v>34.166522979736328</v>
      </c>
      <c r="Z15" s="24">
        <v>0.78962230682373047</v>
      </c>
      <c r="AA15" s="24">
        <v>0.78050450098398538</v>
      </c>
      <c r="AB15" s="24">
        <v>4.8141724543210955</v>
      </c>
      <c r="AC15" s="24">
        <v>289.99634064261312</v>
      </c>
      <c r="AD15" s="24">
        <v>1.6816614866256714</v>
      </c>
      <c r="AE15" s="24">
        <v>31.722222206353244</v>
      </c>
      <c r="AF15" s="24">
        <v>30.659342960158863</v>
      </c>
      <c r="AG15" s="24">
        <v>37.865509033203125</v>
      </c>
      <c r="AH15" s="24">
        <v>0.81390917301177979</v>
      </c>
      <c r="AI15" s="24">
        <v>0.75533213549741074</v>
      </c>
      <c r="AJ15" s="24">
        <v>4.666044071111215</v>
      </c>
      <c r="AK15" s="24">
        <v>279.64051123720031</v>
      </c>
      <c r="AL15" s="24">
        <v>1.690278172492981</v>
      </c>
      <c r="AM15" s="24">
        <v>31.755103943600485</v>
      </c>
      <c r="AN15" s="24">
        <v>31.648233996268043</v>
      </c>
      <c r="AO15" s="24">
        <v>41.657497406005859</v>
      </c>
      <c r="AP15" s="24">
        <v>0.85053479671478271</v>
      </c>
      <c r="AQ15" s="24">
        <v>0.73029471349135855</v>
      </c>
      <c r="AR15" s="24">
        <v>4.5179156879013336</v>
      </c>
      <c r="AS15" s="24">
        <v>269.38743317331631</v>
      </c>
      <c r="AT15" s="24">
        <v>1.6989095211029053</v>
      </c>
      <c r="AU15" s="24">
        <v>31.787985680847726</v>
      </c>
      <c r="AV15" s="24">
        <v>32.493206772046854</v>
      </c>
      <c r="AW15" s="24">
        <v>45.450527191162109</v>
      </c>
      <c r="AX15" s="24">
        <v>0.88726717233657837</v>
      </c>
      <c r="AZ15" s="24">
        <f t="shared" si="23"/>
        <v>1.25</v>
      </c>
      <c r="BA15" s="24">
        <f t="shared" si="0"/>
        <v>23.412500493450153</v>
      </c>
      <c r="BB15" s="24">
        <f t="shared" si="1"/>
        <v>18.71492175629794</v>
      </c>
      <c r="BC15" s="24">
        <f t="shared" si="2"/>
        <v>13.506392916858506</v>
      </c>
      <c r="BD15" s="24">
        <f t="shared" si="3"/>
        <v>8.9431283386870888</v>
      </c>
      <c r="BE15" s="24">
        <f t="shared" si="4"/>
        <v>4.4413523735965645</v>
      </c>
      <c r="BF15" s="24">
        <f t="shared" si="5"/>
        <v>0</v>
      </c>
      <c r="BG15" s="24">
        <f t="shared" si="6"/>
        <v>-3.837435905265782</v>
      </c>
      <c r="BH15" s="24">
        <f t="shared" si="7"/>
        <v>-7.0909982791747943</v>
      </c>
      <c r="BI15" s="24">
        <f t="shared" si="8"/>
        <v>-10.845800406946717</v>
      </c>
      <c r="BJ15" s="24">
        <f t="shared" si="9"/>
        <v>-14.029515345265892</v>
      </c>
      <c r="BK15" s="24">
        <f t="shared" si="10"/>
        <v>-17.181641217354738</v>
      </c>
      <c r="BM15" s="24">
        <f t="shared" si="24"/>
        <v>1.25</v>
      </c>
      <c r="BN15" s="24">
        <f t="shared" si="11"/>
        <v>20.437701962472882</v>
      </c>
      <c r="BO15" s="24">
        <f t="shared" si="12"/>
        <v>16.767046834826541</v>
      </c>
      <c r="BP15" s="24">
        <f t="shared" si="13"/>
        <v>12.112059896540043</v>
      </c>
      <c r="BQ15" s="24">
        <f t="shared" si="14"/>
        <v>8.0293536818417621</v>
      </c>
      <c r="BR15" s="24">
        <f t="shared" si="15"/>
        <v>3.9934636504268743</v>
      </c>
      <c r="BS15" s="24">
        <f t="shared" si="16"/>
        <v>0</v>
      </c>
      <c r="BT15" s="24">
        <f t="shared" si="17"/>
        <v>-3.4626625068971335</v>
      </c>
      <c r="BU15" s="24">
        <f t="shared" si="18"/>
        <v>-6.4091400742105371</v>
      </c>
      <c r="BV15" s="24">
        <f t="shared" si="19"/>
        <v>-9.8234973259388454</v>
      </c>
      <c r="BW15" s="24">
        <f t="shared" si="20"/>
        <v>-12.731816087394803</v>
      </c>
      <c r="BX15" s="24">
        <f t="shared" si="21"/>
        <v>-15.624543995605402</v>
      </c>
    </row>
    <row r="16" spans="2:76">
      <c r="B16" s="24">
        <f t="shared" si="22"/>
        <v>1.5</v>
      </c>
      <c r="C16" s="24">
        <v>0.89575488518364721</v>
      </c>
      <c r="D16" s="24">
        <v>5.4807501787655593</v>
      </c>
      <c r="E16" s="24">
        <v>293.28104042699806</v>
      </c>
      <c r="F16" s="24">
        <v>1.8930647373199463</v>
      </c>
      <c r="G16" s="24">
        <v>31.57425438874067</v>
      </c>
      <c r="H16" s="24">
        <v>25.947567411955582</v>
      </c>
      <c r="I16" s="24">
        <v>25.660503387451172</v>
      </c>
      <c r="J16" s="24">
        <v>0.69195330142974854</v>
      </c>
      <c r="K16" s="24">
        <v>0.8655297974962316</v>
      </c>
      <c r="L16" s="24">
        <v>5.3079337316873643</v>
      </c>
      <c r="M16" s="24">
        <v>282.544118617935</v>
      </c>
      <c r="N16" s="24">
        <v>1.903043270111084</v>
      </c>
      <c r="O16" s="24">
        <v>31.612616415529114</v>
      </c>
      <c r="P16" s="24">
        <v>27.627951087559619</v>
      </c>
      <c r="Q16" s="24">
        <v>29.152507781982422</v>
      </c>
      <c r="R16" s="24">
        <v>0.71517103910446167</v>
      </c>
      <c r="S16" s="24">
        <v>0.8355594217123069</v>
      </c>
      <c r="T16" s="24">
        <v>5.1351172846091702</v>
      </c>
      <c r="U16" s="24">
        <v>271.91642387162699</v>
      </c>
      <c r="V16" s="24">
        <v>1.9130414724349976</v>
      </c>
      <c r="W16" s="24">
        <v>31.650978442317562</v>
      </c>
      <c r="X16" s="24">
        <v>29.029773451873702</v>
      </c>
      <c r="Y16" s="24">
        <v>32.697498321533203</v>
      </c>
      <c r="Z16" s="24">
        <v>0.73527926206588745</v>
      </c>
      <c r="AA16" s="24">
        <v>0.81005678039066731</v>
      </c>
      <c r="AB16" s="24">
        <v>4.9869889013992905</v>
      </c>
      <c r="AC16" s="24">
        <v>262.89285715832273</v>
      </c>
      <c r="AD16" s="24">
        <v>1.9216268062591553</v>
      </c>
      <c r="AE16" s="24">
        <v>31.6838601795648</v>
      </c>
      <c r="AF16" s="24">
        <v>30.240359624190937</v>
      </c>
      <c r="AG16" s="24">
        <v>36.356521606445313</v>
      </c>
      <c r="AH16" s="24">
        <v>0.7696797251701355</v>
      </c>
      <c r="AI16" s="24">
        <v>0.78050450098398538</v>
      </c>
      <c r="AJ16" s="24">
        <v>4.8141724543210955</v>
      </c>
      <c r="AK16" s="24">
        <v>252.46435760161228</v>
      </c>
      <c r="AL16" s="24">
        <v>1.9316614866256714</v>
      </c>
      <c r="AM16" s="24">
        <v>31.722222206353244</v>
      </c>
      <c r="AN16" s="24">
        <v>31.238170347849675</v>
      </c>
      <c r="AO16" s="24">
        <v>39.946506500244141</v>
      </c>
      <c r="AP16" s="24">
        <v>0.78861540555953979</v>
      </c>
      <c r="AQ16" s="24">
        <v>0.75533213549741074</v>
      </c>
      <c r="AR16" s="24">
        <v>4.666044071111215</v>
      </c>
      <c r="AS16" s="24">
        <v>243.60953009260172</v>
      </c>
      <c r="AT16" s="24">
        <v>1.940278172492981</v>
      </c>
      <c r="AU16" s="24">
        <v>31.755103943600485</v>
      </c>
      <c r="AV16" s="24">
        <v>32.118912924682057</v>
      </c>
      <c r="AW16" s="24">
        <v>43.630516052246094</v>
      </c>
      <c r="AX16" s="24">
        <v>0.82515770196914673</v>
      </c>
      <c r="AZ16" s="24">
        <f t="shared" si="23"/>
        <v>1.5</v>
      </c>
      <c r="BA16" s="24">
        <f t="shared" si="0"/>
        <v>20.544808745307677</v>
      </c>
      <c r="BB16" s="24">
        <f t="shared" si="1"/>
        <v>17.22372263032134</v>
      </c>
      <c r="BC16" s="24">
        <f t="shared" si="2"/>
        <v>13.386263849309794</v>
      </c>
      <c r="BD16" s="24">
        <f t="shared" si="3"/>
        <v>8.5103649453072769</v>
      </c>
      <c r="BE16" s="24">
        <f t="shared" si="4"/>
        <v>4.2301820846362403</v>
      </c>
      <c r="BF16" s="24">
        <f t="shared" si="5"/>
        <v>0</v>
      </c>
      <c r="BG16" s="24">
        <f t="shared" si="6"/>
        <v>-3.6609668983139194</v>
      </c>
      <c r="BH16" s="24">
        <f t="shared" si="7"/>
        <v>-7.2846906585797653</v>
      </c>
      <c r="BI16" s="24">
        <f t="shared" si="8"/>
        <v>-10.361455082276073</v>
      </c>
      <c r="BJ16" s="24">
        <f t="shared" si="9"/>
        <v>-13.917259283436582</v>
      </c>
      <c r="BK16" s="24">
        <f t="shared" si="10"/>
        <v>-16.936488721561361</v>
      </c>
      <c r="BM16" s="24">
        <f t="shared" si="24"/>
        <v>1.5</v>
      </c>
      <c r="BN16" s="24">
        <f t="shared" si="11"/>
        <v>18.421080540093573</v>
      </c>
      <c r="BO16" s="24">
        <f t="shared" si="12"/>
        <v>15.355885808550882</v>
      </c>
      <c r="BP16" s="24">
        <f t="shared" si="13"/>
        <v>11.821727604954178</v>
      </c>
      <c r="BQ16" s="24">
        <f t="shared" si="14"/>
        <v>7.8334080808502327</v>
      </c>
      <c r="BR16" s="24">
        <f t="shared" si="15"/>
        <v>3.8943665387124833</v>
      </c>
      <c r="BS16" s="24">
        <f t="shared" si="16"/>
        <v>0</v>
      </c>
      <c r="BT16" s="24">
        <f t="shared" si="17"/>
        <v>-3.3742587606674204</v>
      </c>
      <c r="BU16" s="24">
        <f t="shared" si="18"/>
        <v>-6.7200820745732308</v>
      </c>
      <c r="BV16" s="24">
        <f t="shared" si="19"/>
        <v>-9.567137864440463</v>
      </c>
      <c r="BW16" s="24">
        <f t="shared" si="20"/>
        <v>-12.866285867481846</v>
      </c>
      <c r="BX16" s="24">
        <f t="shared" si="21"/>
        <v>-15.67647042834124</v>
      </c>
    </row>
    <row r="17" spans="2:76">
      <c r="B17" s="24">
        <f t="shared" si="22"/>
        <v>1.75</v>
      </c>
      <c r="C17" s="24">
        <v>0.9218823734997279</v>
      </c>
      <c r="D17" s="24">
        <v>5.6288785619754398</v>
      </c>
      <c r="E17" s="24">
        <v>267.13428084541204</v>
      </c>
      <c r="F17" s="24">
        <v>2.1345272064208984</v>
      </c>
      <c r="G17" s="24">
        <v>31.541372651493429</v>
      </c>
      <c r="H17" s="24">
        <v>25.383071999136558</v>
      </c>
      <c r="I17" s="24">
        <v>24.599496841430664</v>
      </c>
      <c r="J17" s="24">
        <v>0.66469812393188477</v>
      </c>
      <c r="K17" s="24">
        <v>0.89142087793381863</v>
      </c>
      <c r="L17" s="24">
        <v>5.4560621148972457</v>
      </c>
      <c r="M17" s="24">
        <v>257.7299684231852</v>
      </c>
      <c r="N17" s="24">
        <v>2.144489049911499</v>
      </c>
      <c r="O17" s="24">
        <v>31.579734678281874</v>
      </c>
      <c r="P17" s="24">
        <v>27.107553296929552</v>
      </c>
      <c r="Q17" s="24">
        <v>27.953516006469727</v>
      </c>
      <c r="R17" s="24">
        <v>0.67568308115005493</v>
      </c>
      <c r="S17" s="24">
        <v>0.86123355585784656</v>
      </c>
      <c r="T17" s="24">
        <v>5.2832456678190507</v>
      </c>
      <c r="U17" s="24">
        <v>248.41036995639527</v>
      </c>
      <c r="V17" s="24">
        <v>2.1544704437255859</v>
      </c>
      <c r="W17" s="24">
        <v>31.618096705070322</v>
      </c>
      <c r="X17" s="24">
        <v>28.552707943359717</v>
      </c>
      <c r="Y17" s="24">
        <v>31.370512008666992</v>
      </c>
      <c r="Z17" s="24">
        <v>0.70239239931106567</v>
      </c>
      <c r="AA17" s="24">
        <v>0.8355594217123069</v>
      </c>
      <c r="AB17" s="24">
        <v>5.1351172846091702</v>
      </c>
      <c r="AC17" s="24">
        <v>240.48886755122831</v>
      </c>
      <c r="AD17" s="24">
        <v>2.163041353225708</v>
      </c>
      <c r="AE17" s="24">
        <v>31.650978442317562</v>
      </c>
      <c r="AF17" s="24">
        <v>29.806095006028961</v>
      </c>
      <c r="AG17" s="24">
        <v>34.912528991699219</v>
      </c>
      <c r="AH17" s="24">
        <v>0.7275540828704834</v>
      </c>
      <c r="AI17" s="24">
        <v>0.81005678039066731</v>
      </c>
      <c r="AJ17" s="24">
        <v>4.9869889013992905</v>
      </c>
      <c r="AK17" s="24">
        <v>232.62835109177894</v>
      </c>
      <c r="AL17" s="24">
        <v>2.1716268062591553</v>
      </c>
      <c r="AM17" s="24">
        <v>31.6838601795648</v>
      </c>
      <c r="AN17" s="24">
        <v>30.873143795590138</v>
      </c>
      <c r="AO17" s="24">
        <v>38.490505218505859</v>
      </c>
      <c r="AP17" s="24">
        <v>0.7489742636680603</v>
      </c>
      <c r="AQ17" s="24">
        <v>0.78050450098398538</v>
      </c>
      <c r="AR17" s="24">
        <v>4.8141724543210955</v>
      </c>
      <c r="AS17" s="24">
        <v>223.53407187428078</v>
      </c>
      <c r="AT17" s="24">
        <v>2.1816613674163818</v>
      </c>
      <c r="AU17" s="24">
        <v>31.722222206353244</v>
      </c>
      <c r="AV17" s="24">
        <v>31.755865223883465</v>
      </c>
      <c r="AW17" s="24">
        <v>41.975498199462891</v>
      </c>
      <c r="AX17" s="24">
        <v>0.7694888710975647</v>
      </c>
      <c r="AZ17" s="24">
        <f t="shared" si="23"/>
        <v>1.75</v>
      </c>
      <c r="BA17" s="24">
        <f t="shared" si="0"/>
        <v>17.561953305194447</v>
      </c>
      <c r="BB17" s="24">
        <f t="shared" si="1"/>
        <v>14.930266579309036</v>
      </c>
      <c r="BC17" s="24">
        <f t="shared" si="2"/>
        <v>11.274649833812523</v>
      </c>
      <c r="BD17" s="24">
        <f t="shared" si="3"/>
        <v>8.6838423374882279</v>
      </c>
      <c r="BE17" s="24">
        <f t="shared" si="4"/>
        <v>3.5525067709500551</v>
      </c>
      <c r="BF17" s="24">
        <f t="shared" si="5"/>
        <v>0</v>
      </c>
      <c r="BG17" s="24">
        <f t="shared" si="6"/>
        <v>-3.5204438728210325</v>
      </c>
      <c r="BH17" s="24">
        <f t="shared" si="7"/>
        <v>-7.00917562124949</v>
      </c>
      <c r="BI17" s="24">
        <f t="shared" si="8"/>
        <v>-9.9745391006567079</v>
      </c>
      <c r="BJ17" s="24">
        <f t="shared" si="9"/>
        <v>-12.917072883506606</v>
      </c>
      <c r="BK17" s="24">
        <f t="shared" si="10"/>
        <v>-16.321457820069998</v>
      </c>
      <c r="BM17" s="24">
        <f t="shared" si="24"/>
        <v>1.75</v>
      </c>
      <c r="BN17" s="24">
        <f t="shared" si="11"/>
        <v>16.065201725314115</v>
      </c>
      <c r="BO17" s="24">
        <f t="shared" si="12"/>
        <v>13.571527050079261</v>
      </c>
      <c r="BP17" s="24">
        <f t="shared" si="13"/>
        <v>10.118992593148242</v>
      </c>
      <c r="BQ17" s="24">
        <f t="shared" si="14"/>
        <v>7.6789885173430052</v>
      </c>
      <c r="BR17" s="24">
        <f t="shared" si="15"/>
        <v>3.3366693911466165</v>
      </c>
      <c r="BS17" s="24">
        <f t="shared" si="16"/>
        <v>0</v>
      </c>
      <c r="BT17" s="24">
        <f t="shared" si="17"/>
        <v>-3.304271395304887</v>
      </c>
      <c r="BU17" s="24">
        <f t="shared" si="18"/>
        <v>-6.5788021753405665</v>
      </c>
      <c r="BV17" s="24">
        <f t="shared" si="19"/>
        <v>-9.3637707226914966</v>
      </c>
      <c r="BW17" s="24">
        <f t="shared" si="20"/>
        <v>-12.130136807425748</v>
      </c>
      <c r="BX17" s="24">
        <f t="shared" si="21"/>
        <v>-15.335782153967417</v>
      </c>
    </row>
    <row r="18" spans="2:76">
      <c r="B18" s="24">
        <f t="shared" si="22"/>
        <v>2</v>
      </c>
      <c r="C18" s="24">
        <v>0.93502624615893282</v>
      </c>
      <c r="D18" s="24">
        <v>5.7029427535803805</v>
      </c>
      <c r="E18" s="24">
        <v>242.70758753094398</v>
      </c>
      <c r="F18" s="24">
        <v>2.3802638053894043</v>
      </c>
      <c r="G18" s="24">
        <v>31.52493178286981</v>
      </c>
      <c r="H18" s="24">
        <v>24.729968265000021</v>
      </c>
      <c r="I18" s="24">
        <v>23.486507415771484</v>
      </c>
      <c r="J18" s="24">
        <v>0.62497061491012573</v>
      </c>
      <c r="K18" s="24">
        <v>0.90009441534285695</v>
      </c>
      <c r="L18" s="24">
        <v>5.5054382426338719</v>
      </c>
      <c r="M18" s="24">
        <v>233.18756315572429</v>
      </c>
      <c r="N18" s="24">
        <v>2.3916409015655518</v>
      </c>
      <c r="O18" s="24">
        <v>31.568774099199462</v>
      </c>
      <c r="P18" s="24">
        <v>26.455550201613509</v>
      </c>
      <c r="Q18" s="24">
        <v>26.612503051757813</v>
      </c>
      <c r="R18" s="24">
        <v>0.6313941478729248</v>
      </c>
      <c r="S18" s="24">
        <v>0.88709232528653981</v>
      </c>
      <c r="T18" s="24">
        <v>5.4313740510289321</v>
      </c>
      <c r="U18" s="24">
        <v>229.64023300143859</v>
      </c>
      <c r="V18" s="24">
        <v>2.39591383934021</v>
      </c>
      <c r="W18" s="24">
        <v>31.585214967823081</v>
      </c>
      <c r="X18" s="24">
        <v>28.094040309328562</v>
      </c>
      <c r="Y18" s="24">
        <v>30.171487808227539</v>
      </c>
      <c r="Z18" s="24">
        <v>0.66574990749359131</v>
      </c>
      <c r="AA18" s="24">
        <v>0.85694230019449458</v>
      </c>
      <c r="AB18" s="24">
        <v>5.258557603950738</v>
      </c>
      <c r="AC18" s="24">
        <v>221.41084491998203</v>
      </c>
      <c r="AD18" s="24">
        <v>2.405897855758667</v>
      </c>
      <c r="AE18" s="24">
        <v>31.623576994611529</v>
      </c>
      <c r="AF18" s="24">
        <v>29.350844236714636</v>
      </c>
      <c r="AG18" s="24">
        <v>33.514511108398437</v>
      </c>
      <c r="AH18" s="24">
        <v>0.68701928853988647</v>
      </c>
      <c r="AI18" s="24">
        <v>0.8355594217123069</v>
      </c>
      <c r="AJ18" s="24">
        <v>5.1351172846091702</v>
      </c>
      <c r="AK18" s="24">
        <v>215.57333296698928</v>
      </c>
      <c r="AL18" s="24">
        <v>2.413041353225708</v>
      </c>
      <c r="AM18" s="24">
        <v>31.650978442317562</v>
      </c>
      <c r="AN18" s="24">
        <v>30.490112580600481</v>
      </c>
      <c r="AO18" s="24">
        <v>37.076507568359375</v>
      </c>
      <c r="AP18" s="24">
        <v>0.71680748462677002</v>
      </c>
      <c r="AQ18" s="24">
        <v>0.81005678039066731</v>
      </c>
      <c r="AR18" s="24">
        <v>4.9869889013992905</v>
      </c>
      <c r="AS18" s="24">
        <v>208.61264135343305</v>
      </c>
      <c r="AT18" s="24">
        <v>2.4216268062591553</v>
      </c>
      <c r="AU18" s="24">
        <v>31.6838601795648</v>
      </c>
      <c r="AV18" s="24">
        <v>31.437335250358622</v>
      </c>
      <c r="AW18" s="24">
        <v>40.575496673583984</v>
      </c>
      <c r="AX18" s="24">
        <v>0.73949503898620605</v>
      </c>
      <c r="AZ18" s="24">
        <f t="shared" si="23"/>
        <v>2</v>
      </c>
      <c r="BA18" s="24">
        <f t="shared" si="0"/>
        <v>17.083070846889544</v>
      </c>
      <c r="BB18" s="24">
        <f t="shared" si="1"/>
        <v>15.038003771624602</v>
      </c>
      <c r="BC18" s="24">
        <f t="shared" si="2"/>
        <v>11.482022848877071</v>
      </c>
      <c r="BD18" s="24">
        <f t="shared" si="3"/>
        <v>8.4570422419874678</v>
      </c>
      <c r="BE18" s="24">
        <f t="shared" si="4"/>
        <v>4.4564479127488461</v>
      </c>
      <c r="BF18" s="24">
        <f t="shared" si="5"/>
        <v>0</v>
      </c>
      <c r="BG18" s="24">
        <f t="shared" si="6"/>
        <v>-3.9224255294474206</v>
      </c>
      <c r="BH18" s="24">
        <f t="shared" si="7"/>
        <v>-5.3839909425325949</v>
      </c>
      <c r="BI18" s="24">
        <f t="shared" si="8"/>
        <v>-8.7746505280749538</v>
      </c>
      <c r="BJ18" s="24">
        <f t="shared" si="9"/>
        <v>-11.179813058170348</v>
      </c>
      <c r="BK18" s="24">
        <f t="shared" si="10"/>
        <v>-14.047746312489716</v>
      </c>
      <c r="BM18" s="24">
        <f t="shared" si="24"/>
        <v>2</v>
      </c>
      <c r="BN18" s="24">
        <f t="shared" si="11"/>
        <v>15.920664835201451</v>
      </c>
      <c r="BO18" s="24">
        <f t="shared" si="12"/>
        <v>13.940022438576699</v>
      </c>
      <c r="BP18" s="24">
        <f t="shared" si="13"/>
        <v>10.510906696123484</v>
      </c>
      <c r="BQ18" s="24">
        <f t="shared" si="14"/>
        <v>7.6063146975924489</v>
      </c>
      <c r="BR18" s="24">
        <f t="shared" si="15"/>
        <v>3.7792563553812393</v>
      </c>
      <c r="BS18" s="24">
        <f t="shared" si="16"/>
        <v>0</v>
      </c>
      <c r="BT18" s="24">
        <f t="shared" si="17"/>
        <v>-3.7359198161094471</v>
      </c>
      <c r="BU18" s="24">
        <f t="shared" si="18"/>
        <v>-5.1264786490544516</v>
      </c>
      <c r="BV18" s="24">
        <f t="shared" si="19"/>
        <v>-8.3509897487054907</v>
      </c>
      <c r="BW18" s="24">
        <f t="shared" si="20"/>
        <v>-10.63786442949954</v>
      </c>
      <c r="BX18" s="24">
        <f t="shared" si="21"/>
        <v>-13.365343088671287</v>
      </c>
    </row>
    <row r="19" spans="2:76">
      <c r="B19" s="24">
        <f t="shared" si="22"/>
        <v>2.25</v>
      </c>
      <c r="C19" s="24">
        <v>0.96592302074423375</v>
      </c>
      <c r="D19" s="24">
        <v>5.9004472645268882</v>
      </c>
      <c r="E19" s="24">
        <v>228.23035736378702</v>
      </c>
      <c r="F19" s="24">
        <v>2.6189124584197998</v>
      </c>
      <c r="G19" s="24">
        <v>31.481089466540158</v>
      </c>
      <c r="H19" s="24">
        <v>24.298368799701723</v>
      </c>
      <c r="I19" s="24">
        <v>22.744512557983398</v>
      </c>
      <c r="J19" s="24">
        <v>0.61937463283538818</v>
      </c>
      <c r="K19" s="24">
        <v>0.93502624615893282</v>
      </c>
      <c r="L19" s="24">
        <v>5.7029427535803805</v>
      </c>
      <c r="M19" s="24">
        <v>219.63883856041258</v>
      </c>
      <c r="N19" s="24">
        <v>2.6302638053894043</v>
      </c>
      <c r="O19" s="24">
        <v>31.52493178286981</v>
      </c>
      <c r="P19" s="24">
        <v>26.0551626982116</v>
      </c>
      <c r="Q19" s="24">
        <v>25.773508071899414</v>
      </c>
      <c r="R19" s="24">
        <v>0.62157583236694336</v>
      </c>
      <c r="S19" s="24">
        <v>0.90009441534285695</v>
      </c>
      <c r="T19" s="24">
        <v>5.5054382426338719</v>
      </c>
      <c r="U19" s="24">
        <v>211.11912356263096</v>
      </c>
      <c r="V19" s="24">
        <v>2.6416409015655518</v>
      </c>
      <c r="W19" s="24">
        <v>31.568774099199462</v>
      </c>
      <c r="X19" s="24">
        <v>27.537388545884124</v>
      </c>
      <c r="Y19" s="24">
        <v>28.859506607055664</v>
      </c>
      <c r="Z19" s="24">
        <v>0.62556719779968262</v>
      </c>
      <c r="AA19" s="24">
        <v>0.86983132689587239</v>
      </c>
      <c r="AB19" s="24">
        <v>5.3326217955556778</v>
      </c>
      <c r="AC19" s="24">
        <v>203.72273750159653</v>
      </c>
      <c r="AD19" s="24">
        <v>2.6516165733337402</v>
      </c>
      <c r="AE19" s="24">
        <v>31.607136125987907</v>
      </c>
      <c r="AF19" s="24">
        <v>28.831463134112276</v>
      </c>
      <c r="AG19" s="24">
        <v>32.062511444091797</v>
      </c>
      <c r="AH19" s="24">
        <v>0.63868510723114014</v>
      </c>
      <c r="AI19" s="24">
        <v>0.85694230019449458</v>
      </c>
      <c r="AJ19" s="24">
        <v>5.258557603950738</v>
      </c>
      <c r="AK19" s="24">
        <v>200.56941446593586</v>
      </c>
      <c r="AL19" s="24">
        <v>2.655897855758667</v>
      </c>
      <c r="AM19" s="24">
        <v>31.623576994611529</v>
      </c>
      <c r="AN19" s="24">
        <v>30.084161489886288</v>
      </c>
      <c r="AO19" s="24">
        <v>35.689506530761719</v>
      </c>
      <c r="AP19" s="24">
        <v>0.67904716730117798</v>
      </c>
      <c r="AQ19" s="24">
        <v>0.83129776506128472</v>
      </c>
      <c r="AR19" s="24">
        <v>5.1104292207408575</v>
      </c>
      <c r="AS19" s="24">
        <v>194.29238198377666</v>
      </c>
      <c r="AT19" s="24">
        <v>2.6644713878631592</v>
      </c>
      <c r="AU19" s="24">
        <v>31.656458731858766</v>
      </c>
      <c r="AV19" s="24">
        <v>31.063841717706651</v>
      </c>
      <c r="AW19" s="24">
        <v>39.086513519287109</v>
      </c>
      <c r="AX19" s="24">
        <v>0.70096230506896973</v>
      </c>
      <c r="AZ19" s="24">
        <f t="shared" si="23"/>
        <v>2.25</v>
      </c>
      <c r="BA19" s="24">
        <f t="shared" si="0"/>
        <v>13.427586440058255</v>
      </c>
      <c r="BB19" s="24">
        <f t="shared" si="1"/>
        <v>11.000674957796273</v>
      </c>
      <c r="BC19" s="24">
        <f t="shared" si="2"/>
        <v>9.5506559358230287</v>
      </c>
      <c r="BD19" s="24">
        <f t="shared" si="3"/>
        <v>5.2279862784226001</v>
      </c>
      <c r="BE19" s="24">
        <f t="shared" si="4"/>
        <v>3.319901792833809</v>
      </c>
      <c r="BF19" s="24">
        <f t="shared" si="5"/>
        <v>0</v>
      </c>
      <c r="BG19" s="24">
        <f t="shared" si="6"/>
        <v>-3.7644066734207571</v>
      </c>
      <c r="BH19" s="24">
        <f t="shared" si="7"/>
        <v>-7.497352236048803</v>
      </c>
      <c r="BI19" s="24">
        <f t="shared" si="8"/>
        <v>-10.738106948291131</v>
      </c>
      <c r="BJ19" s="24">
        <f t="shared" si="9"/>
        <v>-12.119747441731025</v>
      </c>
      <c r="BK19" s="24">
        <f t="shared" si="10"/>
        <v>-14.870053121774259</v>
      </c>
      <c r="BM19" s="24">
        <f t="shared" si="24"/>
        <v>2.25</v>
      </c>
      <c r="BN19" s="24">
        <f t="shared" si="11"/>
        <v>13.177248113743506</v>
      </c>
      <c r="BO19" s="24">
        <f t="shared" si="12"/>
        <v>10.77328249700072</v>
      </c>
      <c r="BP19" s="24">
        <f t="shared" si="13"/>
        <v>9.3425627914640756</v>
      </c>
      <c r="BQ19" s="24">
        <f t="shared" si="14"/>
        <v>5.0981869972959553</v>
      </c>
      <c r="BR19" s="24">
        <f t="shared" si="15"/>
        <v>3.2336298697312849</v>
      </c>
      <c r="BS19" s="24">
        <f t="shared" si="16"/>
        <v>0</v>
      </c>
      <c r="BT19" s="24">
        <f t="shared" si="17"/>
        <v>-3.1986787685726021</v>
      </c>
      <c r="BU19" s="24">
        <f t="shared" si="18"/>
        <v>-6.81509851071326</v>
      </c>
      <c r="BV19" s="24">
        <f t="shared" si="19"/>
        <v>-9.9481730722520414</v>
      </c>
      <c r="BW19" s="24">
        <f t="shared" si="20"/>
        <v>-11.282547181220576</v>
      </c>
      <c r="BX19" s="24">
        <f t="shared" si="21"/>
        <v>-13.937472530597901</v>
      </c>
    </row>
    <row r="20" spans="2:76">
      <c r="B20" s="24">
        <f t="shared" si="22"/>
        <v>2.5</v>
      </c>
      <c r="C20" s="24">
        <v>0.97481074816610569</v>
      </c>
      <c r="D20" s="24">
        <v>5.9498233922635144</v>
      </c>
      <c r="E20" s="24">
        <v>210.29330302892154</v>
      </c>
      <c r="F20" s="24">
        <v>2.8660783767700195</v>
      </c>
      <c r="G20" s="24">
        <v>31.470128887457744</v>
      </c>
      <c r="H20" s="24">
        <v>23.652049303090124</v>
      </c>
      <c r="I20" s="24">
        <v>21.771512985229492</v>
      </c>
      <c r="J20" s="24">
        <v>0.58471524715423584</v>
      </c>
      <c r="K20" s="24">
        <v>0.95706273280331888</v>
      </c>
      <c r="L20" s="24">
        <v>5.851071136790261</v>
      </c>
      <c r="M20" s="24">
        <v>206.39468843149385</v>
      </c>
      <c r="N20" s="24">
        <v>2.8717479705810547</v>
      </c>
      <c r="O20" s="24">
        <v>31.49205004562257</v>
      </c>
      <c r="P20" s="24">
        <v>25.600599453468078</v>
      </c>
      <c r="Q20" s="24">
        <v>24.897500991821289</v>
      </c>
      <c r="R20" s="24">
        <v>0.60166662931442261</v>
      </c>
      <c r="S20" s="24">
        <v>0.93063886370112159</v>
      </c>
      <c r="T20" s="24">
        <v>5.678254689712066</v>
      </c>
      <c r="U20" s="24">
        <v>199.60796596467878</v>
      </c>
      <c r="V20" s="24">
        <v>2.8816845417022705</v>
      </c>
      <c r="W20" s="24">
        <v>31.530412072411018</v>
      </c>
      <c r="X20" s="24">
        <v>27.152816510417978</v>
      </c>
      <c r="Y20" s="24">
        <v>27.952505111694336</v>
      </c>
      <c r="Z20" s="24">
        <v>0.61310499906539917</v>
      </c>
      <c r="AA20" s="24">
        <v>0.90009441534285695</v>
      </c>
      <c r="AB20" s="24">
        <v>5.5054382426338719</v>
      </c>
      <c r="AC20" s="24">
        <v>192.866586599285</v>
      </c>
      <c r="AD20" s="24">
        <v>2.8916409015655518</v>
      </c>
      <c r="AE20" s="24">
        <v>31.568774099199462</v>
      </c>
      <c r="AF20" s="24">
        <v>28.477577701173928</v>
      </c>
      <c r="AG20" s="24">
        <v>31.068511962890625</v>
      </c>
      <c r="AH20" s="24">
        <v>0.6239088773727417</v>
      </c>
      <c r="AI20" s="24">
        <v>0.86983132689587239</v>
      </c>
      <c r="AJ20" s="24">
        <v>5.3326217955556778</v>
      </c>
      <c r="AK20" s="24">
        <v>186.17021702818431</v>
      </c>
      <c r="AL20" s="24">
        <v>2.9016165733337402</v>
      </c>
      <c r="AM20" s="24">
        <v>31.607136125987907</v>
      </c>
      <c r="AN20" s="24">
        <v>29.612067549388694</v>
      </c>
      <c r="AO20" s="24">
        <v>34.220508575439453</v>
      </c>
      <c r="AP20" s="24">
        <v>0.63347601890563965</v>
      </c>
      <c r="AQ20" s="24">
        <v>0.83982592147519797</v>
      </c>
      <c r="AR20" s="24">
        <v>5.1598053484774837</v>
      </c>
      <c r="AS20" s="24">
        <v>179.5185270441747</v>
      </c>
      <c r="AT20" s="24">
        <v>2.911611795425415</v>
      </c>
      <c r="AU20" s="24">
        <v>31.645498152776355</v>
      </c>
      <c r="AV20" s="24">
        <v>30.58699667142027</v>
      </c>
      <c r="AW20" s="24">
        <v>37.384502410888672</v>
      </c>
      <c r="AX20" s="24">
        <v>0.65154361724853516</v>
      </c>
      <c r="AZ20" s="24">
        <f t="shared" si="23"/>
        <v>2.5</v>
      </c>
      <c r="BA20" s="24">
        <f t="shared" si="0"/>
        <v>12.701616927424544</v>
      </c>
      <c r="BB20" s="24">
        <f t="shared" si="1"/>
        <v>11.749420057320123</v>
      </c>
      <c r="BC20" s="24">
        <f t="shared" si="2"/>
        <v>9.3769196491879754</v>
      </c>
      <c r="BD20" s="24">
        <f t="shared" si="3"/>
        <v>7.0157875350217562</v>
      </c>
      <c r="BE20" s="24">
        <f t="shared" si="4"/>
        <v>4.1973502750020826</v>
      </c>
      <c r="BF20" s="24">
        <f t="shared" si="5"/>
        <v>0</v>
      </c>
      <c r="BG20" s="24">
        <f t="shared" si="6"/>
        <v>-1.8538938431584389</v>
      </c>
      <c r="BH20" s="24">
        <f t="shared" si="7"/>
        <v>-5.0811589862056659</v>
      </c>
      <c r="BI20" s="24">
        <f t="shared" si="8"/>
        <v>-8.2868622912066083</v>
      </c>
      <c r="BJ20" s="24">
        <f t="shared" si="9"/>
        <v>-11.471162254472551</v>
      </c>
      <c r="BK20" s="24">
        <f t="shared" si="10"/>
        <v>-14.634215898218308</v>
      </c>
      <c r="BM20" s="24">
        <f t="shared" si="24"/>
        <v>2.5</v>
      </c>
      <c r="BN20" s="24">
        <f t="shared" si="11"/>
        <v>12.624715125886302</v>
      </c>
      <c r="BO20" s="24">
        <f t="shared" si="12"/>
        <v>11.667015929777943</v>
      </c>
      <c r="BP20" s="24">
        <f t="shared" si="13"/>
        <v>9.2898407905667462</v>
      </c>
      <c r="BQ20" s="24">
        <f t="shared" si="14"/>
        <v>6.9360591136280334</v>
      </c>
      <c r="BR20" s="24">
        <f t="shared" si="15"/>
        <v>4.1399660910101268</v>
      </c>
      <c r="BS20" s="24">
        <f t="shared" si="16"/>
        <v>0</v>
      </c>
      <c r="BT20" s="24">
        <f t="shared" si="17"/>
        <v>-1.8206626666946211</v>
      </c>
      <c r="BU20" s="24">
        <f t="shared" si="18"/>
        <v>-4.5313292398636236</v>
      </c>
      <c r="BV20" s="24">
        <f t="shared" si="19"/>
        <v>-7.6647013755040421</v>
      </c>
      <c r="BW20" s="24">
        <f t="shared" si="20"/>
        <v>-10.76921048190423</v>
      </c>
      <c r="BX20" s="24">
        <f t="shared" si="21"/>
        <v>-13.847285428977091</v>
      </c>
    </row>
    <row r="21" spans="2:76">
      <c r="B21" s="24">
        <f t="shared" si="22"/>
        <v>2.75</v>
      </c>
      <c r="C21" s="24">
        <v>1.0061472849468667</v>
      </c>
      <c r="D21" s="24">
        <v>6.1226398393417085</v>
      </c>
      <c r="E21" s="24">
        <v>199.67450390029842</v>
      </c>
      <c r="F21" s="24">
        <v>3.1061723232269287</v>
      </c>
      <c r="G21" s="24">
        <v>31.431766860669299</v>
      </c>
      <c r="H21" s="24">
        <v>23.237210389282996</v>
      </c>
      <c r="I21" s="24">
        <v>21.13850212097168</v>
      </c>
      <c r="J21" s="24">
        <v>0.58258742094039917</v>
      </c>
      <c r="K21" s="24">
        <v>0.97036328499137692</v>
      </c>
      <c r="L21" s="24">
        <v>5.9251353283952017</v>
      </c>
      <c r="M21" s="24">
        <v>192.53155648659842</v>
      </c>
      <c r="N21" s="24">
        <v>3.1174952983856201</v>
      </c>
      <c r="O21" s="24">
        <v>31.475609176998951</v>
      </c>
      <c r="P21" s="24">
        <v>25.042182166543661</v>
      </c>
      <c r="Q21" s="24">
        <v>23.91950798034668</v>
      </c>
      <c r="R21" s="24">
        <v>0.57790303230285645</v>
      </c>
      <c r="S21" s="24">
        <v>0.93502624615893282</v>
      </c>
      <c r="T21" s="24">
        <v>5.7029427535803805</v>
      </c>
      <c r="U21" s="24">
        <v>184.5557197138551</v>
      </c>
      <c r="V21" s="24">
        <v>3.1302638053894043</v>
      </c>
      <c r="W21" s="24">
        <v>31.52493178286981</v>
      </c>
      <c r="X21" s="24">
        <v>26.538491424547569</v>
      </c>
      <c r="Y21" s="24">
        <v>26.694509506225586</v>
      </c>
      <c r="Z21" s="24">
        <v>0.57466065883636475</v>
      </c>
      <c r="AA21" s="24">
        <v>0.92625759818347564</v>
      </c>
      <c r="AB21" s="24">
        <v>5.6535666258437534</v>
      </c>
      <c r="AC21" s="24">
        <v>182.79188485197807</v>
      </c>
      <c r="AD21" s="24">
        <v>3.1331057548522949</v>
      </c>
      <c r="AE21" s="24">
        <v>31.535892361952222</v>
      </c>
      <c r="AF21" s="24">
        <v>28.102047309004288</v>
      </c>
      <c r="AG21" s="24">
        <v>30.083524703979492</v>
      </c>
      <c r="AH21" s="24">
        <v>0.60271459817886353</v>
      </c>
      <c r="AI21" s="24">
        <v>0.89575488518364721</v>
      </c>
      <c r="AJ21" s="24">
        <v>5.4807501787655593</v>
      </c>
      <c r="AK21" s="24">
        <v>176.64287601571763</v>
      </c>
      <c r="AL21" s="24">
        <v>3.1430647373199463</v>
      </c>
      <c r="AM21" s="24">
        <v>31.57425438874067</v>
      </c>
      <c r="AN21" s="24">
        <v>29.264304641274052</v>
      </c>
      <c r="AO21" s="24">
        <v>33.148506164550781</v>
      </c>
      <c r="AP21" s="24">
        <v>0.62225478887557983</v>
      </c>
      <c r="AQ21" s="24">
        <v>0.8655297974962316</v>
      </c>
      <c r="AR21" s="24">
        <v>5.3079337316873643</v>
      </c>
      <c r="AS21" s="24">
        <v>170.53165427809338</v>
      </c>
      <c r="AT21" s="24">
        <v>3.153043270111084</v>
      </c>
      <c r="AU21" s="24">
        <v>31.612616415529114</v>
      </c>
      <c r="AV21" s="24">
        <v>30.266243102005667</v>
      </c>
      <c r="AW21" s="24">
        <v>36.234508514404297</v>
      </c>
      <c r="AX21" s="24">
        <v>0.62815874814987183</v>
      </c>
      <c r="AZ21" s="24">
        <f t="shared" si="23"/>
        <v>2.75</v>
      </c>
      <c r="BA21" s="24">
        <f t="shared" si="0"/>
        <v>10.884621736939785</v>
      </c>
      <c r="BB21" s="24">
        <f t="shared" si="1"/>
        <v>9.9687366593383828</v>
      </c>
      <c r="BC21" s="24">
        <f t="shared" si="2"/>
        <v>6.3213275799023965</v>
      </c>
      <c r="BD21" s="24">
        <f t="shared" si="3"/>
        <v>4.9601761212650697</v>
      </c>
      <c r="BE21" s="24">
        <f t="shared" si="4"/>
        <v>2.6995826759425383</v>
      </c>
      <c r="BF21" s="24">
        <f t="shared" si="5"/>
        <v>0</v>
      </c>
      <c r="BG21" s="24">
        <f t="shared" si="6"/>
        <v>-3.5772956858160621</v>
      </c>
      <c r="BH21" s="24">
        <f t="shared" si="7"/>
        <v>-7.5717149115805196</v>
      </c>
      <c r="BI21" s="24">
        <f t="shared" si="8"/>
        <v>-8.4550699856753813</v>
      </c>
      <c r="BJ21" s="24">
        <f t="shared" si="9"/>
        <v>-11.534586256481173</v>
      </c>
      <c r="BK21" s="24">
        <f t="shared" si="10"/>
        <v>-14.595178178961024</v>
      </c>
      <c r="BM21" s="24">
        <f t="shared" si="24"/>
        <v>2.75</v>
      </c>
      <c r="BN21" s="24">
        <f t="shared" si="11"/>
        <v>10.984595841616761</v>
      </c>
      <c r="BO21" s="24">
        <f t="shared" si="12"/>
        <v>10.048794043106943</v>
      </c>
      <c r="BP21" s="24">
        <f t="shared" si="13"/>
        <v>6.3447322753623903</v>
      </c>
      <c r="BQ21" s="24">
        <f t="shared" si="14"/>
        <v>4.971210604642744</v>
      </c>
      <c r="BR21" s="24">
        <f t="shared" si="15"/>
        <v>2.6992765310231586</v>
      </c>
      <c r="BS21" s="24">
        <f t="shared" si="16"/>
        <v>0</v>
      </c>
      <c r="BT21" s="24">
        <f t="shared" si="17"/>
        <v>-3.5565369494963615</v>
      </c>
      <c r="BU21" s="24">
        <f t="shared" si="18"/>
        <v>-7.0686508677195974</v>
      </c>
      <c r="BV21" s="24">
        <f t="shared" si="19"/>
        <v>-7.9401582609856076</v>
      </c>
      <c r="BW21" s="24">
        <f t="shared" si="20"/>
        <v>-10.971793236916517</v>
      </c>
      <c r="BX21" s="24">
        <f t="shared" si="21"/>
        <v>-13.975835303084965</v>
      </c>
    </row>
    <row r="22" spans="2:76">
      <c r="B22" s="24">
        <f t="shared" si="22"/>
        <v>3</v>
      </c>
      <c r="C22" s="24">
        <v>1.0151675825917046</v>
      </c>
      <c r="D22" s="24">
        <v>6.1720159670783366</v>
      </c>
      <c r="E22" s="24">
        <v>186.4481929706935</v>
      </c>
      <c r="F22" s="24">
        <v>3.3533456325531006</v>
      </c>
      <c r="G22" s="24">
        <v>31.420806281586884</v>
      </c>
      <c r="H22" s="24">
        <v>22.636010009115971</v>
      </c>
      <c r="I22" s="24">
        <v>20.322509765625</v>
      </c>
      <c r="J22" s="24">
        <v>0.57365584373474121</v>
      </c>
      <c r="K22" s="24">
        <v>0.99267361510418117</v>
      </c>
      <c r="L22" s="24">
        <v>6.0485756477367687</v>
      </c>
      <c r="M22" s="24">
        <v>182.33481100405854</v>
      </c>
      <c r="N22" s="24">
        <v>3.3604154586791992</v>
      </c>
      <c r="O22" s="24">
        <v>31.448207729292918</v>
      </c>
      <c r="P22" s="24">
        <v>24.587086327406716</v>
      </c>
      <c r="Q22" s="24">
        <v>23.144525527954102</v>
      </c>
      <c r="R22" s="24">
        <v>0.56934261322021484</v>
      </c>
      <c r="S22" s="24">
        <v>0.97036328499137692</v>
      </c>
      <c r="T22" s="24">
        <v>5.9251353283952017</v>
      </c>
      <c r="U22" s="24">
        <v>178.23817643721688</v>
      </c>
      <c r="V22" s="24">
        <v>3.3674952983856201</v>
      </c>
      <c r="W22" s="24">
        <v>31.475609176998951</v>
      </c>
      <c r="X22" s="24">
        <v>26.278184618122612</v>
      </c>
      <c r="Y22" s="24">
        <v>26.105504989624023</v>
      </c>
      <c r="Z22" s="24">
        <v>0.57172876596450806</v>
      </c>
      <c r="AA22" s="24">
        <v>0.93502624615893282</v>
      </c>
      <c r="AB22" s="24">
        <v>5.7276308174486941</v>
      </c>
      <c r="AC22" s="24">
        <v>171.71822102294726</v>
      </c>
      <c r="AD22" s="24">
        <v>3.3788435459136963</v>
      </c>
      <c r="AE22" s="24">
        <v>31.519451493328603</v>
      </c>
      <c r="AF22" s="24">
        <v>27.616477193839685</v>
      </c>
      <c r="AG22" s="24">
        <v>28.934524536132813</v>
      </c>
      <c r="AH22" s="24">
        <v>0.57628780603408813</v>
      </c>
      <c r="AI22" s="24">
        <v>0.90009441534285695</v>
      </c>
      <c r="AJ22" s="24">
        <v>5.5054382426338719</v>
      </c>
      <c r="AK22" s="24">
        <v>164.4339492674701</v>
      </c>
      <c r="AL22" s="24">
        <v>3.3916409015655518</v>
      </c>
      <c r="AM22" s="24">
        <v>31.568774099199462</v>
      </c>
      <c r="AN22" s="24">
        <v>28.722740159377363</v>
      </c>
      <c r="AO22" s="24">
        <v>31.68950080871582</v>
      </c>
      <c r="AP22" s="24">
        <v>0.577492356300354</v>
      </c>
      <c r="AQ22" s="24">
        <v>0.89575488518364721</v>
      </c>
      <c r="AR22" s="24">
        <v>5.4807501787655593</v>
      </c>
      <c r="AS22" s="24">
        <v>163.62788144879494</v>
      </c>
      <c r="AT22" s="24">
        <v>3.3930647373199463</v>
      </c>
      <c r="AU22" s="24">
        <v>31.57425438874067</v>
      </c>
      <c r="AV22" s="24">
        <v>29.99780397239843</v>
      </c>
      <c r="AW22" s="24">
        <v>35.286502838134766</v>
      </c>
      <c r="AX22" s="24">
        <v>0.6201130747795105</v>
      </c>
      <c r="AZ22" s="24">
        <f t="shared" si="23"/>
        <v>3</v>
      </c>
      <c r="BA22" s="24">
        <f t="shared" si="0"/>
        <v>10.265193582849399</v>
      </c>
      <c r="BB22" s="24">
        <f t="shared" si="1"/>
        <v>8.9152998618082613</v>
      </c>
      <c r="BC22" s="24">
        <f t="shared" si="2"/>
        <v>7.5687084574470243</v>
      </c>
      <c r="BD22" s="24">
        <f t="shared" si="3"/>
        <v>5.331705303171641</v>
      </c>
      <c r="BE22" s="24">
        <f t="shared" si="4"/>
        <v>3.1038136748615472</v>
      </c>
      <c r="BF22" s="24">
        <f t="shared" si="5"/>
        <v>0</v>
      </c>
      <c r="BG22" s="24">
        <f t="shared" si="6"/>
        <v>-2.2061795832376423</v>
      </c>
      <c r="BH22" s="24">
        <f t="shared" si="7"/>
        <v>-4.4033768322802116</v>
      </c>
      <c r="BI22" s="24">
        <f t="shared" si="8"/>
        <v>-7.9003028739793351</v>
      </c>
      <c r="BJ22" s="24">
        <f t="shared" si="9"/>
        <v>-11.807163884223682</v>
      </c>
      <c r="BK22" s="24">
        <f t="shared" si="10"/>
        <v>-12.239491924432611</v>
      </c>
      <c r="BM22" s="24">
        <f t="shared" si="24"/>
        <v>3</v>
      </c>
      <c r="BN22" s="24">
        <f t="shared" si="11"/>
        <v>10.463708935785728</v>
      </c>
      <c r="BO22" s="24">
        <f t="shared" si="12"/>
        <v>9.0709526553924</v>
      </c>
      <c r="BP22" s="24">
        <f t="shared" si="13"/>
        <v>7.6871555516513483</v>
      </c>
      <c r="BQ22" s="24">
        <f t="shared" si="14"/>
        <v>5.3998034236792094</v>
      </c>
      <c r="BR22" s="24">
        <f t="shared" si="15"/>
        <v>3.1352761005423875</v>
      </c>
      <c r="BS22" s="24">
        <f t="shared" si="16"/>
        <v>0</v>
      </c>
      <c r="BT22" s="24">
        <f t="shared" si="17"/>
        <v>-2.2157885922732796</v>
      </c>
      <c r="BU22" s="24">
        <f t="shared" si="18"/>
        <v>-4.4134878190202942</v>
      </c>
      <c r="BV22" s="24">
        <f t="shared" si="19"/>
        <v>-7.8943947587621324</v>
      </c>
      <c r="BW22" s="24">
        <f t="shared" si="20"/>
        <v>-11.335386316717079</v>
      </c>
      <c r="BX22" s="24">
        <f t="shared" si="21"/>
        <v>-11.76285565612713</v>
      </c>
    </row>
    <row r="23" spans="2:76">
      <c r="B23" s="24">
        <f t="shared" si="22"/>
        <v>3.25</v>
      </c>
      <c r="C23" s="24">
        <v>1.0378609315686673</v>
      </c>
      <c r="D23" s="24">
        <v>6.2954562864199026</v>
      </c>
      <c r="E23" s="24">
        <v>177.33011267290217</v>
      </c>
      <c r="F23" s="24">
        <v>3.5962855815887451</v>
      </c>
      <c r="G23" s="24">
        <v>31.393404833880854</v>
      </c>
      <c r="H23" s="24">
        <v>22.188257613702604</v>
      </c>
      <c r="I23" s="24">
        <v>19.721517562866211</v>
      </c>
      <c r="J23" s="24">
        <v>0.56265580654144287</v>
      </c>
      <c r="K23" s="24">
        <v>1.0151675825917046</v>
      </c>
      <c r="L23" s="24">
        <v>6.1720159670783366</v>
      </c>
      <c r="M23" s="24">
        <v>173.51242324027456</v>
      </c>
      <c r="N23" s="24">
        <v>3.6033456325531006</v>
      </c>
      <c r="O23" s="24">
        <v>31.420806281586884</v>
      </c>
      <c r="P23" s="24">
        <v>24.153086654899127</v>
      </c>
      <c r="Q23" s="24">
        <v>22.438507080078125</v>
      </c>
      <c r="R23" s="24">
        <v>0.56314104795455933</v>
      </c>
      <c r="S23" s="24">
        <v>0.97036328499137692</v>
      </c>
      <c r="T23" s="24">
        <v>5.9251353283952017</v>
      </c>
      <c r="U23" s="24">
        <v>165.92038711357472</v>
      </c>
      <c r="V23" s="24">
        <v>3.6174952983856201</v>
      </c>
      <c r="W23" s="24">
        <v>31.475609176998951</v>
      </c>
      <c r="X23" s="24">
        <v>25.645447843048672</v>
      </c>
      <c r="Y23" s="24">
        <v>24.949508666992188</v>
      </c>
      <c r="Z23" s="24">
        <v>0.54327750205993652</v>
      </c>
      <c r="AA23" s="24">
        <v>0.95706273280331888</v>
      </c>
      <c r="AB23" s="24">
        <v>5.851071136790261</v>
      </c>
      <c r="AC23" s="24">
        <v>163.65399470289373</v>
      </c>
      <c r="AD23" s="24">
        <v>3.6217479705810547</v>
      </c>
      <c r="AE23" s="24">
        <v>31.49205004562257</v>
      </c>
      <c r="AF23" s="24">
        <v>27.227282742922675</v>
      </c>
      <c r="AG23" s="24">
        <v>28.035501480102539</v>
      </c>
      <c r="AH23" s="24">
        <v>0.56335353851318359</v>
      </c>
      <c r="AI23" s="24">
        <v>0.93502624615893282</v>
      </c>
      <c r="AJ23" s="24">
        <v>5.7276308174486941</v>
      </c>
      <c r="AK23" s="24">
        <v>159.88812838261541</v>
      </c>
      <c r="AL23" s="24">
        <v>3.6288435459136963</v>
      </c>
      <c r="AM23" s="24">
        <v>31.519451493328603</v>
      </c>
      <c r="AN23" s="24">
        <v>28.527751528164028</v>
      </c>
      <c r="AO23" s="24">
        <v>31.082515716552734</v>
      </c>
      <c r="AP23" s="24">
        <v>0.57862573862075806</v>
      </c>
      <c r="AQ23" s="24">
        <v>0.90009441534285695</v>
      </c>
      <c r="AR23" s="24">
        <v>5.5054382426338719</v>
      </c>
      <c r="AS23" s="24">
        <v>153.14549733423885</v>
      </c>
      <c r="AT23" s="24">
        <v>3.6416409015655518</v>
      </c>
      <c r="AU23" s="24">
        <v>31.568774099199462</v>
      </c>
      <c r="AV23" s="24">
        <v>29.495335522727697</v>
      </c>
      <c r="AW23" s="24">
        <v>33.784511566162109</v>
      </c>
      <c r="AX23" s="24">
        <v>0.58161956071853638</v>
      </c>
      <c r="AZ23" s="24">
        <f t="shared" si="23"/>
        <v>3.25</v>
      </c>
      <c r="BA23" s="24">
        <f t="shared" si="0"/>
        <v>8.6936774102029233</v>
      </c>
      <c r="BB23" s="24">
        <f t="shared" si="1"/>
        <v>6.9443658381983244</v>
      </c>
      <c r="BC23" s="24">
        <f t="shared" si="2"/>
        <v>6.0717000468401059</v>
      </c>
      <c r="BD23" s="24">
        <f t="shared" si="3"/>
        <v>3.027783178355075</v>
      </c>
      <c r="BE23" s="24">
        <f t="shared" si="4"/>
        <v>2.1610596931392867</v>
      </c>
      <c r="BF23" s="24">
        <f t="shared" si="5"/>
        <v>0</v>
      </c>
      <c r="BG23" s="24">
        <f t="shared" si="6"/>
        <v>-2.1528714864517187</v>
      </c>
      <c r="BH23" s="24">
        <f t="shared" si="7"/>
        <v>-6.4341726215295951</v>
      </c>
      <c r="BI23" s="24">
        <f t="shared" si="8"/>
        <v>-7.7122366663325863</v>
      </c>
      <c r="BJ23" s="24">
        <f t="shared" si="9"/>
        <v>-9.8358840624320418</v>
      </c>
      <c r="BK23" s="24">
        <f t="shared" si="10"/>
        <v>-13.63818867203538</v>
      </c>
      <c r="BM23" s="24">
        <f t="shared" si="24"/>
        <v>3.25</v>
      </c>
      <c r="BN23" s="24">
        <f t="shared" si="11"/>
        <v>8.9616093583738348</v>
      </c>
      <c r="BO23" s="24">
        <f t="shared" si="12"/>
        <v>7.1391717880562213</v>
      </c>
      <c r="BP23" s="24">
        <f t="shared" si="13"/>
        <v>6.2339250965995463</v>
      </c>
      <c r="BQ23" s="24">
        <f t="shared" si="14"/>
        <v>3.0951839429346717</v>
      </c>
      <c r="BR23" s="24">
        <f t="shared" si="15"/>
        <v>2.2066234270778162</v>
      </c>
      <c r="BS23" s="24">
        <f t="shared" si="16"/>
        <v>0</v>
      </c>
      <c r="BT23" s="24">
        <f t="shared" si="17"/>
        <v>-2.1865500749375966</v>
      </c>
      <c r="BU23" s="24">
        <f t="shared" si="18"/>
        <v>-6.5035347727437411</v>
      </c>
      <c r="BV23" s="24">
        <f t="shared" si="19"/>
        <v>-7.7850698786037347</v>
      </c>
      <c r="BW23" s="24">
        <f t="shared" si="20"/>
        <v>-9.9083299391861459</v>
      </c>
      <c r="BX23" s="24">
        <f t="shared" si="21"/>
        <v>-13.274082493652035</v>
      </c>
    </row>
    <row r="24" spans="2:76">
      <c r="B24" s="24">
        <f t="shared" si="22"/>
        <v>3.5</v>
      </c>
      <c r="C24" s="24">
        <v>1.0469958891891562</v>
      </c>
      <c r="D24" s="24">
        <v>6.3448324141565289</v>
      </c>
      <c r="E24" s="24">
        <v>167.22713424057451</v>
      </c>
      <c r="F24" s="24">
        <v>3.8434643745422363</v>
      </c>
      <c r="G24" s="24">
        <v>31.38244425479844</v>
      </c>
      <c r="H24" s="24">
        <v>21.631400348636635</v>
      </c>
      <c r="I24" s="24">
        <v>19.034509658813477</v>
      </c>
      <c r="J24" s="24">
        <v>0.55893844366073608</v>
      </c>
      <c r="K24" s="24">
        <v>1.0151675825917046</v>
      </c>
      <c r="L24" s="24">
        <v>6.1720159670783366</v>
      </c>
      <c r="M24" s="24">
        <v>162.255165023535</v>
      </c>
      <c r="N24" s="24">
        <v>3.8533456325531006</v>
      </c>
      <c r="O24" s="24">
        <v>31.420806281586884</v>
      </c>
      <c r="P24" s="24">
        <v>23.514953820883726</v>
      </c>
      <c r="Q24" s="24">
        <v>21.510509490966797</v>
      </c>
      <c r="R24" s="24">
        <v>0.5404815673828125</v>
      </c>
      <c r="S24" s="24">
        <v>1.0061472849468667</v>
      </c>
      <c r="T24" s="24">
        <v>6.1226398393417085</v>
      </c>
      <c r="U24" s="24">
        <v>160.83913406963364</v>
      </c>
      <c r="V24" s="24">
        <v>3.8561723232269287</v>
      </c>
      <c r="W24" s="24">
        <v>31.431766860669299</v>
      </c>
      <c r="X24" s="24">
        <v>25.382356534870208</v>
      </c>
      <c r="Y24" s="24">
        <v>24.422512054443359</v>
      </c>
      <c r="Z24" s="24">
        <v>0.54892224073410034</v>
      </c>
      <c r="AA24" s="24">
        <v>0.97036328499137692</v>
      </c>
      <c r="AB24" s="24">
        <v>5.9251353283952017</v>
      </c>
      <c r="AC24" s="24">
        <v>155.19507413372799</v>
      </c>
      <c r="AD24" s="24">
        <v>3.8674952983856201</v>
      </c>
      <c r="AE24" s="24">
        <v>31.475609176998951</v>
      </c>
      <c r="AF24" s="24">
        <v>26.763276777514459</v>
      </c>
      <c r="AG24" s="24">
        <v>27.049518585205078</v>
      </c>
      <c r="AH24" s="24">
        <v>0.54751884937286377</v>
      </c>
      <c r="AI24" s="24">
        <v>0.93502624615893282</v>
      </c>
      <c r="AJ24" s="24">
        <v>5.7029427535803805</v>
      </c>
      <c r="AK24" s="24">
        <v>148.88371530477721</v>
      </c>
      <c r="AL24" s="24">
        <v>3.8802638053894043</v>
      </c>
      <c r="AM24" s="24">
        <v>31.52493178286981</v>
      </c>
      <c r="AN24" s="24">
        <v>27.911873487074715</v>
      </c>
      <c r="AO24" s="24">
        <v>29.615510940551758</v>
      </c>
      <c r="AP24" s="24">
        <v>0.53913313150405884</v>
      </c>
      <c r="AQ24" s="24">
        <v>0.93063886370112159</v>
      </c>
      <c r="AR24" s="24">
        <v>5.7029427535803805</v>
      </c>
      <c r="AS24" s="24">
        <v>148.88371530477721</v>
      </c>
      <c r="AT24" s="24">
        <v>3.8802638053894043</v>
      </c>
      <c r="AU24" s="24">
        <v>31.52493178286981</v>
      </c>
      <c r="AV24" s="24">
        <v>29.294154021259146</v>
      </c>
      <c r="AW24" s="24">
        <v>33.109489440917969</v>
      </c>
      <c r="AX24" s="24">
        <v>0.58523350954055786</v>
      </c>
      <c r="AZ24" s="24">
        <f t="shared" si="23"/>
        <v>3.5</v>
      </c>
      <c r="BA24" s="24">
        <f t="shared" si="0"/>
        <v>7.7134896192221385</v>
      </c>
      <c r="BB24" s="24">
        <f t="shared" si="1"/>
        <v>7.2823734748190434</v>
      </c>
      <c r="BC24" s="24">
        <f t="shared" si="2"/>
        <v>5.5609636484420584</v>
      </c>
      <c r="BD24" s="24">
        <f t="shared" si="3"/>
        <v>4.7020886928294683</v>
      </c>
      <c r="BE24" s="24">
        <f t="shared" si="4"/>
        <v>2.1327638685220118</v>
      </c>
      <c r="BF24" s="24">
        <f t="shared" si="5"/>
        <v>0</v>
      </c>
      <c r="BG24" s="24">
        <f t="shared" si="6"/>
        <v>-2.9731832932607656</v>
      </c>
      <c r="BH24" s="24">
        <f t="shared" si="7"/>
        <v>-3.8199543393185422</v>
      </c>
      <c r="BI24" s="24">
        <f t="shared" si="8"/>
        <v>-7.1950405426054216</v>
      </c>
      <c r="BJ24" s="24">
        <f t="shared" si="9"/>
        <v>-10.969164196408634</v>
      </c>
      <c r="BK24" s="24">
        <f t="shared" si="10"/>
        <v>-10.969164196408634</v>
      </c>
      <c r="BM24" s="24">
        <f t="shared" si="24"/>
        <v>3.5</v>
      </c>
      <c r="BN24" s="24">
        <f t="shared" si="11"/>
        <v>8.0109277998054775</v>
      </c>
      <c r="BO24" s="24">
        <f t="shared" si="12"/>
        <v>7.1056510558997763</v>
      </c>
      <c r="BP24" s="24">
        <f t="shared" si="13"/>
        <v>5.7552340763247321</v>
      </c>
      <c r="BQ24" s="24">
        <f t="shared" si="14"/>
        <v>4.8598031257645795</v>
      </c>
      <c r="BR24" s="24">
        <f t="shared" si="15"/>
        <v>2.1956864893920738</v>
      </c>
      <c r="BS24" s="24">
        <f t="shared" si="16"/>
        <v>0</v>
      </c>
      <c r="BT24" s="24">
        <f t="shared" si="17"/>
        <v>-3.0399648103777164</v>
      </c>
      <c r="BU24" s="24">
        <f t="shared" si="18"/>
        <v>-3.9015056949196478</v>
      </c>
      <c r="BV24" s="24">
        <f t="shared" si="19"/>
        <v>-7.3192841527894874</v>
      </c>
      <c r="BW24" s="24">
        <f t="shared" si="20"/>
        <v>-10.694372746481177</v>
      </c>
      <c r="BX24" s="24">
        <f t="shared" si="21"/>
        <v>-11.113417606457565</v>
      </c>
    </row>
    <row r="25" spans="2:76">
      <c r="B25" s="24">
        <f t="shared" si="22"/>
        <v>3.75</v>
      </c>
      <c r="C25" s="24">
        <v>1.0653691146800695</v>
      </c>
      <c r="D25" s="24">
        <v>6.443584669629784</v>
      </c>
      <c r="E25" s="24">
        <v>159.67779260752891</v>
      </c>
      <c r="F25" s="24">
        <v>4.0878267288208008</v>
      </c>
      <c r="G25" s="24">
        <v>31.360523096633614</v>
      </c>
      <c r="H25" s="24">
        <v>21.186588176707584</v>
      </c>
      <c r="I25" s="24">
        <v>18.49553108215332</v>
      </c>
      <c r="J25" s="24">
        <v>0.5503615140914917</v>
      </c>
      <c r="K25" s="24">
        <v>1.0378609315686673</v>
      </c>
      <c r="L25" s="24">
        <v>6.2954562864199026</v>
      </c>
      <c r="M25" s="24">
        <v>155.68487938760964</v>
      </c>
      <c r="N25" s="24">
        <v>4.096285343170166</v>
      </c>
      <c r="O25" s="24">
        <v>31.393404833880854</v>
      </c>
      <c r="P25" s="24">
        <v>23.12067938605248</v>
      </c>
      <c r="Q25" s="24">
        <v>20.930484771728516</v>
      </c>
      <c r="R25" s="24">
        <v>0.53855973482131958</v>
      </c>
      <c r="S25" s="24">
        <v>1.0151675825917046</v>
      </c>
      <c r="T25" s="24">
        <v>6.1720159670783366</v>
      </c>
      <c r="U25" s="24">
        <v>152.36962387161952</v>
      </c>
      <c r="V25" s="24">
        <v>4.1033453941345215</v>
      </c>
      <c r="W25" s="24">
        <v>31.420806281586884</v>
      </c>
      <c r="X25" s="24">
        <v>24.86673169800865</v>
      </c>
      <c r="Y25" s="24">
        <v>23.549501419067383</v>
      </c>
      <c r="Z25" s="24">
        <v>0.53623956441879272</v>
      </c>
      <c r="AA25" s="24">
        <v>0.99267361510418117</v>
      </c>
      <c r="AB25" s="24">
        <v>6.0485756477367687</v>
      </c>
      <c r="AC25" s="24">
        <v>149.06539810955394</v>
      </c>
      <c r="AD25" s="24">
        <v>4.1104154586791992</v>
      </c>
      <c r="AE25" s="24">
        <v>31.448207729292918</v>
      </c>
      <c r="AF25" s="24">
        <v>26.402087917822104</v>
      </c>
      <c r="AG25" s="24">
        <v>26.29350471496582</v>
      </c>
      <c r="AH25" s="24">
        <v>0.53848803043365479</v>
      </c>
      <c r="AI25" s="24">
        <v>0.97036328499137692</v>
      </c>
      <c r="AJ25" s="24">
        <v>5.9251353283952017</v>
      </c>
      <c r="AK25" s="24">
        <v>145.77216861078324</v>
      </c>
      <c r="AL25" s="24">
        <v>4.117495059967041</v>
      </c>
      <c r="AM25" s="24">
        <v>31.475609176998951</v>
      </c>
      <c r="AN25" s="24">
        <v>27.750423713857014</v>
      </c>
      <c r="AO25" s="24">
        <v>29.145509719848633</v>
      </c>
      <c r="AP25" s="24">
        <v>0.55429089069366455</v>
      </c>
      <c r="AQ25" s="24">
        <v>0.93502624615893282</v>
      </c>
      <c r="AR25" s="24">
        <v>5.7276308174486941</v>
      </c>
      <c r="AS25" s="24">
        <v>140.52579037770502</v>
      </c>
      <c r="AT25" s="24">
        <v>4.1288433074951172</v>
      </c>
      <c r="AU25" s="24">
        <v>31.519451493328603</v>
      </c>
      <c r="AV25" s="24">
        <v>28.802344673254858</v>
      </c>
      <c r="AW25" s="24">
        <v>31.780519485473633</v>
      </c>
      <c r="AX25" s="24">
        <v>0.55106168985366821</v>
      </c>
      <c r="AZ25" s="24">
        <f t="shared" si="23"/>
        <v>3.75</v>
      </c>
      <c r="BA25" s="24">
        <f t="shared" si="0"/>
        <v>5.8737536976240321</v>
      </c>
      <c r="BB25" s="24">
        <f t="shared" si="1"/>
        <v>5.8737536976240321</v>
      </c>
      <c r="BC25" s="24">
        <f t="shared" si="2"/>
        <v>5.0312904827633655</v>
      </c>
      <c r="BD25" s="24">
        <f t="shared" si="3"/>
        <v>3.7696967089713214</v>
      </c>
      <c r="BE25" s="24">
        <f t="shared" si="4"/>
        <v>0.41774030455591143</v>
      </c>
      <c r="BF25" s="24">
        <f t="shared" si="5"/>
        <v>0</v>
      </c>
      <c r="BG25" s="24">
        <f t="shared" si="6"/>
        <v>-2.5006064742724941</v>
      </c>
      <c r="BH25" s="24">
        <f t="shared" si="7"/>
        <v>-4.5768222472063442</v>
      </c>
      <c r="BI25" s="24">
        <f t="shared" si="8"/>
        <v>-6.6461305136269733</v>
      </c>
      <c r="BJ25" s="24">
        <f t="shared" si="9"/>
        <v>-8.7085522474150334</v>
      </c>
      <c r="BK25" s="24">
        <f t="shared" si="10"/>
        <v>-11.9941551777945</v>
      </c>
      <c r="BM25" s="24">
        <f t="shared" si="24"/>
        <v>3.75</v>
      </c>
      <c r="BN25" s="24">
        <f t="shared" si="11"/>
        <v>6.1481845452814117</v>
      </c>
      <c r="BO25" s="24">
        <f t="shared" si="12"/>
        <v>5.7028523477182622</v>
      </c>
      <c r="BP25" s="24">
        <f t="shared" si="13"/>
        <v>4.8151746078180517</v>
      </c>
      <c r="BQ25" s="24">
        <f t="shared" si="14"/>
        <v>3.9313922399560015</v>
      </c>
      <c r="BR25" s="24">
        <f t="shared" si="15"/>
        <v>0.43323217548778903</v>
      </c>
      <c r="BS25" s="24">
        <f t="shared" si="16"/>
        <v>0</v>
      </c>
      <c r="BT25" s="24">
        <f t="shared" si="17"/>
        <v>-2.5820330937285378</v>
      </c>
      <c r="BU25" s="24">
        <f t="shared" si="18"/>
        <v>-4.7121257221202999</v>
      </c>
      <c r="BV25" s="24">
        <f t="shared" si="19"/>
        <v>-6.8235035701892626</v>
      </c>
      <c r="BW25" s="24">
        <f t="shared" si="20"/>
        <v>-8.9176444463778921</v>
      </c>
      <c r="BX25" s="24">
        <f t="shared" si="21"/>
        <v>-12.234526674849084</v>
      </c>
    </row>
    <row r="26" spans="2:76">
      <c r="B26" s="24">
        <f t="shared" si="22"/>
        <v>4</v>
      </c>
      <c r="C26" s="24">
        <v>1.0699846364725729</v>
      </c>
      <c r="D26" s="24">
        <v>6.4682727334980967</v>
      </c>
      <c r="E26" s="24">
        <v>151.10074845396755</v>
      </c>
      <c r="F26" s="24">
        <v>4.3364181518554687</v>
      </c>
      <c r="G26" s="24">
        <v>31.355042807092406</v>
      </c>
      <c r="H26" s="24">
        <v>20.629940619159953</v>
      </c>
      <c r="I26" s="24">
        <v>17.872509002685547</v>
      </c>
      <c r="J26" s="24">
        <v>0.53870213031768799</v>
      </c>
      <c r="K26" s="24">
        <v>1.0515761147311153</v>
      </c>
      <c r="L26" s="24">
        <v>6.3695204780248433</v>
      </c>
      <c r="M26" s="24">
        <v>148.60072687955227</v>
      </c>
      <c r="N26" s="24">
        <v>4.3420543670654297</v>
      </c>
      <c r="O26" s="24">
        <v>31.376963965257232</v>
      </c>
      <c r="P26" s="24">
        <v>22.65408741051754</v>
      </c>
      <c r="Q26" s="24">
        <v>20.292533874511719</v>
      </c>
      <c r="R26" s="24">
        <v>0.52596503496170044</v>
      </c>
      <c r="S26" s="24">
        <v>1.0151675825917046</v>
      </c>
      <c r="T26" s="24">
        <v>6.1720159670783366</v>
      </c>
      <c r="U26" s="24">
        <v>143.61947859482743</v>
      </c>
      <c r="V26" s="24">
        <v>4.3533453941345215</v>
      </c>
      <c r="W26" s="24">
        <v>31.420806281586884</v>
      </c>
      <c r="X26" s="24">
        <v>24.268339510435034</v>
      </c>
      <c r="Y26" s="24">
        <v>22.612491607666016</v>
      </c>
      <c r="Z26" s="24">
        <v>0.52135246992111206</v>
      </c>
      <c r="AA26" s="24">
        <v>1.0061472849468667</v>
      </c>
      <c r="AB26" s="24">
        <v>6.1226398393417085</v>
      </c>
      <c r="AC26" s="24">
        <v>142.37807209884244</v>
      </c>
      <c r="AD26" s="24">
        <v>4.3561720848083496</v>
      </c>
      <c r="AE26" s="24">
        <v>31.431766860669299</v>
      </c>
      <c r="AF26" s="24">
        <v>25.962765604008553</v>
      </c>
      <c r="AG26" s="24">
        <v>25.445484161376953</v>
      </c>
      <c r="AH26" s="24">
        <v>0.52646654844284058</v>
      </c>
      <c r="AI26" s="24">
        <v>0.97036328499137692</v>
      </c>
      <c r="AJ26" s="24">
        <v>5.9251353283952017</v>
      </c>
      <c r="AK26" s="24">
        <v>137.42801704508574</v>
      </c>
      <c r="AL26" s="24">
        <v>4.367495059967041</v>
      </c>
      <c r="AM26" s="24">
        <v>31.475609176998951</v>
      </c>
      <c r="AN26" s="24">
        <v>27.192518314329607</v>
      </c>
      <c r="AO26" s="24">
        <v>27.930521011352539</v>
      </c>
      <c r="AP26" s="24">
        <v>0.52116918563842773</v>
      </c>
      <c r="AQ26" s="24">
        <v>0.96148953165401629</v>
      </c>
      <c r="AR26" s="24">
        <v>5.8757592006585737</v>
      </c>
      <c r="AS26" s="24">
        <v>136.19438747786981</v>
      </c>
      <c r="AT26" s="24">
        <v>4.3703298568725586</v>
      </c>
      <c r="AU26" s="24">
        <v>31.486569756081366</v>
      </c>
      <c r="AV26" s="24">
        <v>28.539082170790472</v>
      </c>
      <c r="AW26" s="24">
        <v>31.03752326965332</v>
      </c>
      <c r="AX26" s="24">
        <v>0.54728871583938599</v>
      </c>
      <c r="AZ26" s="24">
        <f t="shared" si="23"/>
        <v>4</v>
      </c>
      <c r="BA26" s="24">
        <f t="shared" si="0"/>
        <v>6.241633386064354</v>
      </c>
      <c r="BB26" s="24">
        <f t="shared" si="1"/>
        <v>5.8236955160261719</v>
      </c>
      <c r="BC26" s="24">
        <f t="shared" si="2"/>
        <v>4.9886053471071206</v>
      </c>
      <c r="BD26" s="24">
        <f t="shared" si="3"/>
        <v>4.1545616474135887</v>
      </c>
      <c r="BE26" s="24">
        <f t="shared" si="4"/>
        <v>1.6586978747455083</v>
      </c>
      <c r="BF26" s="24">
        <f t="shared" si="5"/>
        <v>0</v>
      </c>
      <c r="BG26" s="24">
        <f t="shared" si="6"/>
        <v>-1.6545395042678497</v>
      </c>
      <c r="BH26" s="24">
        <f t="shared" si="7"/>
        <v>-4.9511798820899129</v>
      </c>
      <c r="BI26" s="24">
        <f t="shared" si="8"/>
        <v>-5.7727552274715945</v>
      </c>
      <c r="BJ26" s="24">
        <f t="shared" si="9"/>
        <v>-9.048751610285489</v>
      </c>
      <c r="BK26" s="24">
        <f t="shared" si="10"/>
        <v>-9.8651801057351669</v>
      </c>
      <c r="BM26" s="24">
        <f t="shared" si="24"/>
        <v>4</v>
      </c>
      <c r="BN26" s="24">
        <f t="shared" si="11"/>
        <v>6.1347203061593865</v>
      </c>
      <c r="BO26" s="24">
        <f t="shared" si="12"/>
        <v>5.6903001586246278</v>
      </c>
      <c r="BP26" s="24">
        <f t="shared" si="13"/>
        <v>4.8044733933240495</v>
      </c>
      <c r="BQ26" s="24">
        <f t="shared" si="14"/>
        <v>3.9225768755211505</v>
      </c>
      <c r="BR26" s="24">
        <f t="shared" si="15"/>
        <v>1.7343648062497719</v>
      </c>
      <c r="BS26" s="24">
        <f t="shared" si="16"/>
        <v>0</v>
      </c>
      <c r="BT26" s="24">
        <f t="shared" si="17"/>
        <v>-1.72044729559343</v>
      </c>
      <c r="BU26" s="24">
        <f t="shared" si="18"/>
        <v>-5.1231627083529121</v>
      </c>
      <c r="BV26" s="24">
        <f t="shared" si="19"/>
        <v>-5.9661932844343788</v>
      </c>
      <c r="BW26" s="24">
        <f t="shared" si="20"/>
        <v>-9.3105403652914607</v>
      </c>
      <c r="BX26" s="24">
        <f t="shared" si="21"/>
        <v>-10.139875015050059</v>
      </c>
    </row>
    <row r="27" spans="2:76">
      <c r="B27" s="24">
        <f t="shared" si="22"/>
        <v>4.25</v>
      </c>
      <c r="C27" s="24">
        <v>1.0699846364725729</v>
      </c>
      <c r="D27" s="24">
        <v>6.4682727334980967</v>
      </c>
      <c r="E27" s="24">
        <v>142.86443290502146</v>
      </c>
      <c r="F27" s="24">
        <v>4.5864181518554687</v>
      </c>
      <c r="G27" s="24">
        <v>31.355042807092406</v>
      </c>
      <c r="H27" s="24">
        <v>20.047938397674962</v>
      </c>
      <c r="I27" s="24">
        <v>17.256494522094727</v>
      </c>
      <c r="J27" s="24">
        <v>0.53865581750869751</v>
      </c>
      <c r="K27" s="24">
        <v>1.0653691146800695</v>
      </c>
      <c r="L27" s="24">
        <v>6.443584669629784</v>
      </c>
      <c r="M27" s="24">
        <v>142.27545738967561</v>
      </c>
      <c r="N27" s="24">
        <v>4.5878267288208008</v>
      </c>
      <c r="O27" s="24">
        <v>31.360523096633614</v>
      </c>
      <c r="P27" s="24">
        <v>22.205397305179673</v>
      </c>
      <c r="Q27" s="24">
        <v>19.704490661621094</v>
      </c>
      <c r="R27" s="24">
        <v>0.52393573522567749</v>
      </c>
      <c r="S27" s="24">
        <v>1.0469958891891562</v>
      </c>
      <c r="T27" s="24">
        <v>6.3448324141565289</v>
      </c>
      <c r="U27" s="24">
        <v>139.92304695882703</v>
      </c>
      <c r="V27" s="24">
        <v>4.5934643745422363</v>
      </c>
      <c r="W27" s="24">
        <v>31.38244425479844</v>
      </c>
      <c r="X27" s="24">
        <v>24.016067104126758</v>
      </c>
      <c r="Y27" s="24">
        <v>22.181507110595703</v>
      </c>
      <c r="Z27" s="24">
        <v>0.52318614721298218</v>
      </c>
      <c r="AA27" s="24">
        <v>1.0151675825917046</v>
      </c>
      <c r="AB27" s="24">
        <v>6.1720159670783366</v>
      </c>
      <c r="AC27" s="24">
        <v>135.81974483823112</v>
      </c>
      <c r="AD27" s="24">
        <v>4.6033453941345215</v>
      </c>
      <c r="AE27" s="24">
        <v>31.420806281586884</v>
      </c>
      <c r="AF27" s="24">
        <v>25.487434364297943</v>
      </c>
      <c r="AG27" s="24">
        <v>24.585527420043945</v>
      </c>
      <c r="AH27" s="24">
        <v>0.51394343376159668</v>
      </c>
      <c r="AI27" s="24">
        <v>0.99715739606163001</v>
      </c>
      <c r="AJ27" s="24">
        <v>6.0732637116050823</v>
      </c>
      <c r="AK27" s="24">
        <v>133.48264813846916</v>
      </c>
      <c r="AL27" s="24">
        <v>4.6090006828308105</v>
      </c>
      <c r="AM27" s="24">
        <v>31.442727439751714</v>
      </c>
      <c r="AN27" s="24">
        <v>26.922604966098927</v>
      </c>
      <c r="AO27" s="24">
        <v>27.310514450073242</v>
      </c>
      <c r="AP27" s="24">
        <v>0.52104043960571289</v>
      </c>
      <c r="AQ27" s="24">
        <v>0.97036328499137692</v>
      </c>
      <c r="AR27" s="24">
        <v>5.9251353283952017</v>
      </c>
      <c r="AS27" s="24">
        <v>129.98740204542619</v>
      </c>
      <c r="AT27" s="24">
        <v>4.617495059967041</v>
      </c>
      <c r="AU27" s="24">
        <v>31.475609176998951</v>
      </c>
      <c r="AV27" s="24">
        <v>28.103420853971734</v>
      </c>
      <c r="AW27" s="24">
        <v>29.958507537841797</v>
      </c>
      <c r="AX27" s="24">
        <v>0.52933645248413086</v>
      </c>
      <c r="AZ27" s="24">
        <f t="shared" si="23"/>
        <v>4.25</v>
      </c>
      <c r="BA27" s="24">
        <f t="shared" si="0"/>
        <v>6.6295434958228663</v>
      </c>
      <c r="BB27" s="24">
        <f t="shared" si="1"/>
        <v>5.7974084966768924</v>
      </c>
      <c r="BC27" s="24">
        <f t="shared" si="2"/>
        <v>5.3817105828014169</v>
      </c>
      <c r="BD27" s="24">
        <f t="shared" si="3"/>
        <v>3.7213799808555028</v>
      </c>
      <c r="BE27" s="24">
        <f t="shared" si="4"/>
        <v>2.8926896033236389</v>
      </c>
      <c r="BF27" s="24">
        <f t="shared" si="5"/>
        <v>0</v>
      </c>
      <c r="BG27" s="24">
        <f t="shared" si="6"/>
        <v>-0.41226182288310426</v>
      </c>
      <c r="BH27" s="24">
        <f t="shared" si="7"/>
        <v>-2.0588650977601333</v>
      </c>
      <c r="BI27" s="24">
        <f t="shared" si="8"/>
        <v>-4.9310300146389574</v>
      </c>
      <c r="BJ27" s="24">
        <f t="shared" si="9"/>
        <v>-6.5669142247528187</v>
      </c>
      <c r="BK27" s="24">
        <f t="shared" si="10"/>
        <v>-9.0134616417482434</v>
      </c>
      <c r="BM27" s="24">
        <f t="shared" si="24"/>
        <v>4.25</v>
      </c>
      <c r="BN27" s="24">
        <f>100*(AI49-C27)/C27</f>
        <v>6.5801629295947093</v>
      </c>
      <c r="BO27" s="24">
        <f t="shared" si="12"/>
        <v>5.6903001586246278</v>
      </c>
      <c r="BP27" s="24">
        <f t="shared" si="13"/>
        <v>5.2468889610391347</v>
      </c>
      <c r="BQ27" s="24">
        <f t="shared" si="14"/>
        <v>3.9225768755211505</v>
      </c>
      <c r="BR27" s="24">
        <f t="shared" si="15"/>
        <v>2.6068777733089949</v>
      </c>
      <c r="BS27" s="24">
        <f t="shared" si="16"/>
        <v>0</v>
      </c>
      <c r="BT27" s="24">
        <f t="shared" si="17"/>
        <v>-0.43136337057319735</v>
      </c>
      <c r="BU27" s="24">
        <f t="shared" si="18"/>
        <v>-2.1485119037974134</v>
      </c>
      <c r="BV27" s="24">
        <f t="shared" si="19"/>
        <v>-5.1231627083529121</v>
      </c>
      <c r="BW27" s="24">
        <f t="shared" si="20"/>
        <v>-6.8063818795597912</v>
      </c>
      <c r="BX27" s="24">
        <f t="shared" si="21"/>
        <v>-9.3105403652914607</v>
      </c>
    </row>
    <row r="28" spans="2:76">
      <c r="B28" s="24"/>
      <c r="C28">
        <v>35</v>
      </c>
      <c r="K28">
        <v>30</v>
      </c>
      <c r="S28">
        <v>25</v>
      </c>
      <c r="AA28">
        <v>20</v>
      </c>
      <c r="AI28">
        <v>15</v>
      </c>
    </row>
    <row r="29" spans="2:76">
      <c r="B29" s="26" t="s">
        <v>93</v>
      </c>
      <c r="C29" s="24" t="s">
        <v>154</v>
      </c>
      <c r="D29" s="24" t="s">
        <v>155</v>
      </c>
      <c r="E29" s="24" t="s">
        <v>156</v>
      </c>
      <c r="F29" s="24" t="s">
        <v>159</v>
      </c>
      <c r="G29" s="24" t="s">
        <v>238</v>
      </c>
      <c r="H29" s="24" t="s">
        <v>157</v>
      </c>
      <c r="I29" s="24" t="s">
        <v>160</v>
      </c>
      <c r="J29" s="24" t="s">
        <v>265</v>
      </c>
      <c r="K29" s="24" t="s">
        <v>154</v>
      </c>
      <c r="L29" s="24" t="s">
        <v>155</v>
      </c>
      <c r="M29" s="24" t="s">
        <v>156</v>
      </c>
      <c r="N29" s="24" t="s">
        <v>159</v>
      </c>
      <c r="O29" s="24" t="s">
        <v>238</v>
      </c>
      <c r="P29" s="24" t="s">
        <v>157</v>
      </c>
      <c r="Q29" s="24" t="s">
        <v>160</v>
      </c>
      <c r="R29" s="24" t="s">
        <v>265</v>
      </c>
      <c r="S29" s="24" t="s">
        <v>154</v>
      </c>
      <c r="T29" s="24" t="s">
        <v>155</v>
      </c>
      <c r="U29" s="24" t="s">
        <v>156</v>
      </c>
      <c r="V29" s="24" t="s">
        <v>159</v>
      </c>
      <c r="W29" s="24" t="s">
        <v>238</v>
      </c>
      <c r="X29" s="24" t="s">
        <v>157</v>
      </c>
      <c r="Y29" s="24" t="s">
        <v>160</v>
      </c>
      <c r="Z29" s="24" t="s">
        <v>265</v>
      </c>
      <c r="AA29" s="24" t="s">
        <v>154</v>
      </c>
      <c r="AB29" s="24" t="s">
        <v>155</v>
      </c>
      <c r="AC29" s="24" t="s">
        <v>156</v>
      </c>
      <c r="AD29" s="24" t="s">
        <v>159</v>
      </c>
      <c r="AE29" s="24" t="s">
        <v>238</v>
      </c>
      <c r="AF29" s="24" t="s">
        <v>157</v>
      </c>
      <c r="AG29" s="24" t="s">
        <v>160</v>
      </c>
      <c r="AH29" s="24" t="s">
        <v>265</v>
      </c>
      <c r="AI29" s="24" t="s">
        <v>154</v>
      </c>
      <c r="AJ29" s="24" t="s">
        <v>155</v>
      </c>
      <c r="AK29" s="24" t="s">
        <v>156</v>
      </c>
      <c r="AL29" s="24" t="s">
        <v>159</v>
      </c>
      <c r="AM29" s="24" t="s">
        <v>238</v>
      </c>
      <c r="AN29" s="24" t="s">
        <v>157</v>
      </c>
      <c r="AO29" s="24" t="s">
        <v>160</v>
      </c>
      <c r="AP29" s="24" t="s">
        <v>265</v>
      </c>
      <c r="BD29" s="24"/>
      <c r="BE29" s="24" t="s">
        <v>277</v>
      </c>
      <c r="BF29" s="24"/>
      <c r="BG29" s="24"/>
      <c r="BH29" s="24"/>
      <c r="BI29" s="24"/>
      <c r="BJ29" s="24"/>
      <c r="BK29" s="24"/>
      <c r="BL29" s="24" t="s">
        <v>278</v>
      </c>
      <c r="BM29" s="24"/>
      <c r="BN29" s="24"/>
      <c r="BO29" s="24"/>
    </row>
    <row r="30" spans="2:76">
      <c r="B30" s="26">
        <v>0.1</v>
      </c>
      <c r="C30" s="24">
        <v>0.70538212882241114</v>
      </c>
      <c r="D30" s="24">
        <v>4.3450992408231395</v>
      </c>
      <c r="E30" s="24">
        <v>787.40687971498232</v>
      </c>
      <c r="F30" s="24">
        <v>0.55899757146835327</v>
      </c>
      <c r="G30" s="24">
        <v>31.82634770763617</v>
      </c>
      <c r="H30" s="24">
        <v>27.505438511276356</v>
      </c>
      <c r="I30" s="24">
        <v>29.338506698608398</v>
      </c>
      <c r="J30" s="24">
        <v>1.0303663015365601</v>
      </c>
      <c r="K30" s="24">
        <v>0.75533213549741074</v>
      </c>
      <c r="L30" s="24">
        <v>4.6413560072429005</v>
      </c>
      <c r="M30" s="24">
        <v>867.92633148936852</v>
      </c>
      <c r="N30" s="24">
        <v>0.54171574115753174</v>
      </c>
      <c r="O30" s="24">
        <v>31.760584233141692</v>
      </c>
      <c r="P30" s="24">
        <v>25.531051780138764</v>
      </c>
      <c r="Q30" s="24">
        <v>25.232515335083008</v>
      </c>
      <c r="R30" s="24">
        <v>1.0329512357711792</v>
      </c>
      <c r="S30" s="24">
        <v>0.80159255667871032</v>
      </c>
      <c r="T30" s="24">
        <v>4.9129247097943498</v>
      </c>
      <c r="U30" s="24">
        <v>946.29325145658231</v>
      </c>
      <c r="V30" s="24">
        <v>0.52592498064041138</v>
      </c>
      <c r="W30" s="24">
        <v>31.700301048188418</v>
      </c>
      <c r="X30" s="24">
        <v>22.929211758685764</v>
      </c>
      <c r="Y30" s="24">
        <v>21.073513031005859</v>
      </c>
      <c r="Z30" s="24">
        <v>0.97706496715545654</v>
      </c>
      <c r="AA30" s="24">
        <v>0.8355594217123069</v>
      </c>
      <c r="AB30" s="24">
        <v>5.1104292207408575</v>
      </c>
      <c r="AC30" s="24">
        <v>1006.2494389481111</v>
      </c>
      <c r="AD30" s="24">
        <v>0.51447135210037231</v>
      </c>
      <c r="AE30" s="24">
        <v>31.656458731858766</v>
      </c>
      <c r="AF30" s="24">
        <v>19.386175935800321</v>
      </c>
      <c r="AG30" s="24">
        <v>16.878503799438477</v>
      </c>
      <c r="AH30" s="24">
        <v>0.97442537546157837</v>
      </c>
      <c r="AI30" s="24">
        <v>0.89575488518364721</v>
      </c>
      <c r="AJ30" s="24">
        <v>5.4560621148972457</v>
      </c>
      <c r="AK30" s="24">
        <v>1117.7175810491203</v>
      </c>
      <c r="AL30" s="24">
        <v>0.49448904395103455</v>
      </c>
      <c r="AM30" s="24">
        <v>31.579734678281874</v>
      </c>
      <c r="AN30" s="24">
        <v>14.787159025550134</v>
      </c>
      <c r="AO30" s="24">
        <v>12.856508255004883</v>
      </c>
      <c r="AP30" s="24">
        <v>1.0919849872589111</v>
      </c>
      <c r="AQ30" s="24" t="s">
        <v>255</v>
      </c>
      <c r="AR30" s="24" t="s">
        <v>233</v>
      </c>
      <c r="AS30" s="24" t="s">
        <v>147</v>
      </c>
      <c r="AT30" s="24" t="s">
        <v>154</v>
      </c>
      <c r="AU30" s="24" t="s">
        <v>155</v>
      </c>
      <c r="AV30" s="24" t="s">
        <v>156</v>
      </c>
      <c r="AW30" s="24" t="s">
        <v>159</v>
      </c>
      <c r="AX30" s="24" t="s">
        <v>238</v>
      </c>
      <c r="AY30" s="24" t="s">
        <v>157</v>
      </c>
      <c r="AZ30" s="24" t="s">
        <v>160</v>
      </c>
      <c r="BA30" s="24" t="s">
        <v>265</v>
      </c>
      <c r="BB30" s="24"/>
      <c r="BC30" s="24"/>
      <c r="BD30" s="24" t="s">
        <v>255</v>
      </c>
      <c r="BE30" s="24">
        <v>0</v>
      </c>
      <c r="BF30" s="24">
        <v>0.5</v>
      </c>
      <c r="BG30" s="24">
        <v>1</v>
      </c>
      <c r="BH30" s="24">
        <v>1.5</v>
      </c>
      <c r="BI30" s="24"/>
      <c r="BJ30" s="24"/>
      <c r="BK30" s="24" t="s">
        <v>255</v>
      </c>
      <c r="BL30" s="24">
        <v>0</v>
      </c>
      <c r="BM30" s="24">
        <v>0.5</v>
      </c>
      <c r="BN30" s="24">
        <v>1</v>
      </c>
      <c r="BO30" s="24">
        <v>1.5</v>
      </c>
    </row>
    <row r="31" spans="2:76">
      <c r="B31" s="26">
        <v>0.15</v>
      </c>
      <c r="C31" s="24">
        <v>0.73029471349135855</v>
      </c>
      <c r="D31" s="24">
        <v>4.5179156879013336</v>
      </c>
      <c r="E31" s="24">
        <v>764.16368108901611</v>
      </c>
      <c r="F31" s="24">
        <v>0.59890943765640259</v>
      </c>
      <c r="G31" s="24">
        <v>31.787985680847726</v>
      </c>
      <c r="H31" s="24">
        <v>27.470322344592212</v>
      </c>
      <c r="I31" s="24">
        <v>29.17449951171875</v>
      </c>
      <c r="J31" s="24">
        <v>1.0449540615081787</v>
      </c>
      <c r="K31" s="24">
        <v>0.75533213549741074</v>
      </c>
      <c r="L31" s="24">
        <v>4.666044071111215</v>
      </c>
      <c r="M31" s="24">
        <v>800.75844193415162</v>
      </c>
      <c r="N31" s="24">
        <v>0.59027820825576782</v>
      </c>
      <c r="O31" s="24">
        <v>31.755103943600485</v>
      </c>
      <c r="P31" s="24">
        <v>25.333054575551223</v>
      </c>
      <c r="Q31" s="24">
        <v>24.872509002685547</v>
      </c>
      <c r="R31" s="24">
        <v>0.99192386865615845</v>
      </c>
      <c r="S31" s="24">
        <v>0.81005678039066731</v>
      </c>
      <c r="T31" s="24">
        <v>4.9869889013992905</v>
      </c>
      <c r="U31" s="24">
        <v>883.76178718259075</v>
      </c>
      <c r="V31" s="24">
        <v>0.57162684202194214</v>
      </c>
      <c r="W31" s="24">
        <v>31.6838601795648</v>
      </c>
      <c r="X31" s="24">
        <v>22.762333030660397</v>
      </c>
      <c r="Y31" s="24">
        <v>20.825519561767578</v>
      </c>
      <c r="Z31" s="24">
        <v>0.9934309720993042</v>
      </c>
      <c r="AA31" s="24">
        <v>0.86123355585784656</v>
      </c>
      <c r="AB31" s="24">
        <v>5.2832456678190507</v>
      </c>
      <c r="AC31" s="24">
        <v>965.23240502302974</v>
      </c>
      <c r="AD31" s="24">
        <v>0.55447036027908325</v>
      </c>
      <c r="AE31" s="24">
        <v>31.618096705070322</v>
      </c>
      <c r="AF31" s="24">
        <v>19.304148588064859</v>
      </c>
      <c r="AG31" s="24">
        <v>16.758510589599609</v>
      </c>
      <c r="AH31" s="24">
        <v>1.0086313486099243</v>
      </c>
      <c r="AI31" s="24">
        <v>0.90009441534285695</v>
      </c>
      <c r="AJ31" s="24">
        <v>5.5054382426338719</v>
      </c>
      <c r="AK31" s="24">
        <v>1029.6507885543722</v>
      </c>
      <c r="AL31" s="24">
        <v>0.54164081811904907</v>
      </c>
      <c r="AM31" s="24">
        <v>31.568774099199462</v>
      </c>
      <c r="AN31" s="24">
        <v>14.590686688738547</v>
      </c>
      <c r="AO31" s="24">
        <v>12.70350456237793</v>
      </c>
      <c r="AP31" s="24">
        <v>1.0837992429733276</v>
      </c>
      <c r="AQ31">
        <v>0</v>
      </c>
      <c r="AR31" s="24">
        <v>1</v>
      </c>
      <c r="AS31">
        <v>40</v>
      </c>
      <c r="AT31" s="24">
        <v>0.8355594217123069</v>
      </c>
      <c r="AU31" s="24">
        <v>5.1351172846091702</v>
      </c>
      <c r="AV31" s="24">
        <v>368.13314495570239</v>
      </c>
      <c r="AW31" s="24">
        <v>1.4130414724349976</v>
      </c>
      <c r="AX31" s="24">
        <v>31.650978442317562</v>
      </c>
      <c r="AY31" s="24">
        <v>27.095903806199775</v>
      </c>
      <c r="AZ31" s="24">
        <v>28.070501327514648</v>
      </c>
      <c r="BA31" s="24">
        <v>0.79040437936782837</v>
      </c>
      <c r="BC31" s="24" t="s">
        <v>147</v>
      </c>
      <c r="BD31" s="24">
        <v>40</v>
      </c>
      <c r="BE31">
        <f>100*(AV31-$AV$31)/$AV$31</f>
        <v>0</v>
      </c>
      <c r="BF31" s="24">
        <f>100*(AV43-$AV$43)/$AV$43</f>
        <v>0</v>
      </c>
      <c r="BG31" s="24">
        <f>100*(AV55-$AV$55)/$AV$55</f>
        <v>0</v>
      </c>
      <c r="BH31" s="24">
        <f>100*(AV67-$AV$67)/$AV$67</f>
        <v>0</v>
      </c>
      <c r="BJ31" s="24" t="s">
        <v>147</v>
      </c>
      <c r="BK31" s="24">
        <v>40</v>
      </c>
      <c r="BL31" s="24">
        <f>100*(AT43-$AT$43)/$AT$43</f>
        <v>0</v>
      </c>
      <c r="BM31" s="24">
        <f>100*(AT43-$AT$43)/$AT$43</f>
        <v>0</v>
      </c>
      <c r="BN31" s="24">
        <f>100*(AT55-$AT$55)/$AT$55</f>
        <v>0</v>
      </c>
      <c r="BO31" s="24">
        <f>100*(AT67-$AT$67)/$AT$67</f>
        <v>0</v>
      </c>
    </row>
    <row r="32" spans="2:76">
      <c r="B32" s="26">
        <v>0.2</v>
      </c>
      <c r="C32" s="24">
        <v>0.73029471349135855</v>
      </c>
      <c r="D32" s="24">
        <v>4.5179156879013336</v>
      </c>
      <c r="E32" s="24">
        <v>705.28307248793146</v>
      </c>
      <c r="F32" s="24">
        <v>0.64890944957733154</v>
      </c>
      <c r="G32" s="24">
        <v>31.787985680847726</v>
      </c>
      <c r="H32" s="24">
        <v>27.271603889435848</v>
      </c>
      <c r="I32" s="24">
        <v>28.73350715637207</v>
      </c>
      <c r="J32" s="24">
        <v>0.98743617534637451</v>
      </c>
      <c r="K32" s="24">
        <v>0.78050450098398538</v>
      </c>
      <c r="L32" s="24">
        <v>4.8141724543210955</v>
      </c>
      <c r="M32" s="24">
        <v>772.05227870236115</v>
      </c>
      <c r="N32" s="24">
        <v>0.63166147470474243</v>
      </c>
      <c r="O32" s="24">
        <v>31.722222206353244</v>
      </c>
      <c r="P32" s="24">
        <v>25.264485681084999</v>
      </c>
      <c r="Q32" s="24">
        <v>24.696512222290039</v>
      </c>
      <c r="R32" s="24">
        <v>0.98506546020507813</v>
      </c>
      <c r="S32" s="24">
        <v>0.81005678039066731</v>
      </c>
      <c r="T32" s="24">
        <v>4.9869889013992905</v>
      </c>
      <c r="U32" s="24">
        <v>812.67719902038345</v>
      </c>
      <c r="V32" s="24">
        <v>0.62162685394287109</v>
      </c>
      <c r="W32" s="24">
        <v>31.6838601795648</v>
      </c>
      <c r="X32" s="24">
        <v>22.523418288334987</v>
      </c>
      <c r="Y32" s="24">
        <v>20.508512496948242</v>
      </c>
      <c r="Z32" s="24">
        <v>0.94752973318099976</v>
      </c>
      <c r="AA32" s="24">
        <v>0.8655297974962316</v>
      </c>
      <c r="AB32" s="24">
        <v>5.3079337316873643</v>
      </c>
      <c r="AC32" s="24">
        <v>891.63365613946678</v>
      </c>
      <c r="AD32" s="24">
        <v>0.60304325819015503</v>
      </c>
      <c r="AE32" s="24">
        <v>31.612616415529114</v>
      </c>
      <c r="AF32" s="24">
        <v>19.080729336254901</v>
      </c>
      <c r="AG32" s="24">
        <v>16.532512664794922</v>
      </c>
      <c r="AH32" s="24">
        <v>0.95612955093383789</v>
      </c>
      <c r="AI32" s="24">
        <v>0.93063886370112159</v>
      </c>
      <c r="AJ32" s="24">
        <v>5.678254689712066</v>
      </c>
      <c r="AK32" s="24">
        <v>988.86442489431386</v>
      </c>
      <c r="AL32" s="24">
        <v>0.58168458938598633</v>
      </c>
      <c r="AM32" s="24">
        <v>31.530412072411018</v>
      </c>
      <c r="AN32" s="24">
        <v>14.514585361572134</v>
      </c>
      <c r="AO32" s="24">
        <v>12.621504783630371</v>
      </c>
      <c r="AP32" s="24">
        <v>1.1488633155822754</v>
      </c>
      <c r="AQ32" s="24">
        <v>0</v>
      </c>
      <c r="AR32" s="24">
        <v>1</v>
      </c>
      <c r="AS32">
        <v>45</v>
      </c>
      <c r="AT32" s="24">
        <v>0.8058225622581161</v>
      </c>
      <c r="AU32" s="24">
        <v>4.9623008375309761</v>
      </c>
      <c r="AV32" s="24">
        <v>353.23975646627167</v>
      </c>
      <c r="AW32" s="24">
        <v>1.4230592250823975</v>
      </c>
      <c r="AX32" s="24">
        <v>31.689340469106007</v>
      </c>
      <c r="AY32" s="24">
        <v>28.671818046335645</v>
      </c>
      <c r="AZ32" s="24">
        <v>31.844501495361328</v>
      </c>
      <c r="BA32" s="24">
        <v>0.81536287069320679</v>
      </c>
      <c r="BD32" s="24">
        <v>45</v>
      </c>
      <c r="BE32" s="24">
        <f t="shared" ref="BE32:BE41" si="25">100*(AV32-$AV$31)/$AV$31</f>
        <v>-4.0456526921048761</v>
      </c>
      <c r="BF32" s="24">
        <f t="shared" ref="BF32:BF41" si="26">100*(AV44-$AV$43)/$AV$43</f>
        <v>-3.3450950301334181</v>
      </c>
      <c r="BG32" s="24">
        <f t="shared" ref="BG32:BG41" si="27">100*(AV56-$AV$55)/$AV$55</f>
        <v>-3.4045314635232353</v>
      </c>
      <c r="BH32" s="24">
        <f t="shared" ref="BH32:BH41" si="28">100*(AV68-$AV$67)/$AV$67</f>
        <v>0</v>
      </c>
      <c r="BJ32" s="24"/>
      <c r="BK32" s="24">
        <v>45</v>
      </c>
      <c r="BL32" s="24">
        <f t="shared" ref="BL32:BL41" si="29">100*(AT32-$AT$31)/$AT$31</f>
        <v>-3.5589161801624152</v>
      </c>
      <c r="BM32" s="24">
        <f t="shared" ref="BM32:BM41" si="30">100*(AT44-$AT$43)/$AT$43</f>
        <v>-1.8106270315421833</v>
      </c>
      <c r="BN32" s="24">
        <f t="shared" ref="BN32:BN41" si="31">100*(AT56-$AT$55)/$AT$55</f>
        <v>-1.2846265975527873</v>
      </c>
      <c r="BO32" s="24">
        <f t="shared" ref="BO32:BO41" si="32">100*(AT68-$AT$67)/$AT$67</f>
        <v>0</v>
      </c>
    </row>
    <row r="33" spans="2:67">
      <c r="B33" s="24">
        <v>0.25</v>
      </c>
      <c r="C33" s="24">
        <v>0.75533213549741074</v>
      </c>
      <c r="D33" s="24">
        <v>4.666044071111215</v>
      </c>
      <c r="E33" s="24">
        <v>684.75326842756931</v>
      </c>
      <c r="F33" s="24">
        <v>0.69027823209762573</v>
      </c>
      <c r="G33" s="24">
        <v>31.755103943600485</v>
      </c>
      <c r="H33" s="24">
        <v>27.222552998414969</v>
      </c>
      <c r="I33" s="24">
        <v>28.556510925292969</v>
      </c>
      <c r="J33" s="24">
        <v>1.019029974937439</v>
      </c>
      <c r="K33" s="24">
        <v>0.78050450098398538</v>
      </c>
      <c r="L33" s="24">
        <v>4.8141724543210955</v>
      </c>
      <c r="M33" s="24">
        <v>715.42209466551662</v>
      </c>
      <c r="N33" s="24">
        <v>0.68166148662567139</v>
      </c>
      <c r="O33" s="24">
        <v>31.722222206353244</v>
      </c>
      <c r="P33" s="24">
        <v>25.047747230627351</v>
      </c>
      <c r="Q33" s="24">
        <v>24.32551383972168</v>
      </c>
      <c r="R33" s="24">
        <v>0.94493347406387329</v>
      </c>
      <c r="S33" s="24">
        <v>0.8355594217123069</v>
      </c>
      <c r="T33" s="24">
        <v>5.1351172846091702</v>
      </c>
      <c r="U33" s="24">
        <v>784.54734093440732</v>
      </c>
      <c r="V33" s="24">
        <v>0.66304141283035278</v>
      </c>
      <c r="W33" s="24">
        <v>31.650978442317562</v>
      </c>
      <c r="X33" s="24">
        <v>22.444998778263368</v>
      </c>
      <c r="Y33" s="24">
        <v>20.363513946533203</v>
      </c>
      <c r="Z33" s="24">
        <v>0.94113820791244507</v>
      </c>
      <c r="AA33" s="24">
        <v>0.86983132689587239</v>
      </c>
      <c r="AB33" s="24">
        <v>5.3326217955556778</v>
      </c>
      <c r="AC33" s="24">
        <v>829.00682223365675</v>
      </c>
      <c r="AD33" s="24">
        <v>0.65161657333374023</v>
      </c>
      <c r="AE33" s="24">
        <v>31.607136125987907</v>
      </c>
      <c r="AF33" s="24">
        <v>18.86059970770112</v>
      </c>
      <c r="AG33" s="24">
        <v>16.313503265380859</v>
      </c>
      <c r="AH33" s="24">
        <v>0.94399666786193848</v>
      </c>
      <c r="AI33" s="24">
        <v>0.93502624615893282</v>
      </c>
      <c r="AJ33" s="24">
        <v>5.7029427535803805</v>
      </c>
      <c r="AK33" s="24">
        <v>916.61307405052878</v>
      </c>
      <c r="AL33" s="24">
        <v>0.63026386499404907</v>
      </c>
      <c r="AM33" s="24">
        <v>31.52493178286981</v>
      </c>
      <c r="AN33" s="24">
        <v>14.312096384129054</v>
      </c>
      <c r="AO33" s="24">
        <v>12.470503807067871</v>
      </c>
      <c r="AP33" s="24">
        <v>1.0720659494400024</v>
      </c>
      <c r="AQ33" s="24">
        <v>0</v>
      </c>
      <c r="AR33" s="24">
        <v>1</v>
      </c>
      <c r="AS33">
        <v>50</v>
      </c>
      <c r="AT33" s="24">
        <v>0.77629959260899206</v>
      </c>
      <c r="AU33" s="24">
        <v>4.789484390452782</v>
      </c>
      <c r="AV33" s="24">
        <v>338.54994510446244</v>
      </c>
      <c r="AW33" s="24">
        <v>1.4330965280532837</v>
      </c>
      <c r="AX33" s="24">
        <v>31.727702495894452</v>
      </c>
      <c r="AY33" s="24">
        <v>29.976788520355715</v>
      </c>
      <c r="AZ33" s="24">
        <v>35.649520874023438</v>
      </c>
      <c r="BA33" s="24">
        <v>0.84526872634887695</v>
      </c>
      <c r="BD33" s="24">
        <v>50</v>
      </c>
      <c r="BE33" s="24">
        <f t="shared" si="25"/>
        <v>-8.0360055204482368</v>
      </c>
      <c r="BF33" s="24">
        <f t="shared" si="26"/>
        <v>-6.6629309984250833</v>
      </c>
      <c r="BG33" s="24">
        <f t="shared" si="27"/>
        <v>-8.7154506038405817</v>
      </c>
      <c r="BH33" s="24">
        <f t="shared" si="28"/>
        <v>0</v>
      </c>
      <c r="BJ33" s="24"/>
      <c r="BK33" s="24">
        <v>50</v>
      </c>
      <c r="BL33" s="24">
        <f t="shared" si="29"/>
        <v>-7.0922339648656028</v>
      </c>
      <c r="BM33" s="24">
        <f t="shared" si="30"/>
        <v>-3.6042717547227863</v>
      </c>
      <c r="BN33" s="24">
        <f t="shared" si="31"/>
        <v>-3.2611483206468019</v>
      </c>
      <c r="BO33" s="24">
        <f t="shared" si="32"/>
        <v>0</v>
      </c>
    </row>
    <row r="34" spans="2:67">
      <c r="B34" s="24">
        <f t="shared" ref="B34:B49" si="33">B33+0.25</f>
        <v>0.5</v>
      </c>
      <c r="C34" s="24">
        <v>0.78050450098398538</v>
      </c>
      <c r="D34" s="24">
        <v>4.8141724543210955</v>
      </c>
      <c r="E34" s="24">
        <v>523.4472933775628</v>
      </c>
      <c r="F34" s="24">
        <v>0.93166148662567139</v>
      </c>
      <c r="G34" s="24">
        <v>31.722222206353244</v>
      </c>
      <c r="H34" s="24">
        <v>26.415458598290993</v>
      </c>
      <c r="I34" s="24">
        <v>26.821508407592773</v>
      </c>
      <c r="J34" s="24">
        <v>0.85891842842102051</v>
      </c>
      <c r="K34" s="24">
        <v>0.8355594217123069</v>
      </c>
      <c r="L34" s="24">
        <v>5.1351172846091702</v>
      </c>
      <c r="M34" s="24">
        <v>569.73032223058533</v>
      </c>
      <c r="N34" s="24">
        <v>0.91304141283035278</v>
      </c>
      <c r="O34" s="24">
        <v>31.650978442317562</v>
      </c>
      <c r="P34" s="24">
        <v>24.347741813811457</v>
      </c>
      <c r="Q34" s="24">
        <v>23.073513031005859</v>
      </c>
      <c r="R34" s="24">
        <v>0.86811882257461548</v>
      </c>
      <c r="S34" s="24">
        <v>0.8655297974962316</v>
      </c>
      <c r="T34" s="24">
        <v>5.3079337316873643</v>
      </c>
      <c r="U34" s="24">
        <v>595.42404808663628</v>
      </c>
      <c r="V34" s="24">
        <v>0.90304327011108398</v>
      </c>
      <c r="W34" s="24">
        <v>31.612616415529114</v>
      </c>
      <c r="X34" s="24">
        <v>21.504102882252528</v>
      </c>
      <c r="Y34" s="24">
        <v>19.146518707275391</v>
      </c>
      <c r="Z34" s="24">
        <v>0.85289210081100464</v>
      </c>
      <c r="AA34" s="24">
        <v>0.93063886370112159</v>
      </c>
      <c r="AB34" s="24">
        <v>5.678254689712066</v>
      </c>
      <c r="AC34" s="24">
        <v>652.39565819502889</v>
      </c>
      <c r="AD34" s="24">
        <v>0.88168460130691528</v>
      </c>
      <c r="AE34" s="24">
        <v>31.530412072411018</v>
      </c>
      <c r="AF34" s="24">
        <v>18.075310686710754</v>
      </c>
      <c r="AG34" s="24">
        <v>15.510505676269531</v>
      </c>
      <c r="AH34" s="24">
        <v>0.90175843238830566</v>
      </c>
      <c r="AI34" s="24">
        <v>0.97036328499137692</v>
      </c>
      <c r="AJ34" s="24">
        <v>5.9004472645268882</v>
      </c>
      <c r="AK34" s="24">
        <v>687.88904744265494</v>
      </c>
      <c r="AL34" s="24">
        <v>0.86891239881515503</v>
      </c>
      <c r="AM34" s="24">
        <v>31.481089466540158</v>
      </c>
      <c r="AN34" s="24">
        <v>13.448895044425676</v>
      </c>
      <c r="AO34" s="24">
        <v>11.831508636474609</v>
      </c>
      <c r="AP34" s="24">
        <v>1.0395891666412354</v>
      </c>
      <c r="AQ34" s="24">
        <v>0</v>
      </c>
      <c r="AR34" s="24">
        <v>1</v>
      </c>
      <c r="AS34">
        <v>55</v>
      </c>
      <c r="AT34" s="24">
        <v>0.75115045347784526</v>
      </c>
      <c r="AU34" s="24">
        <v>4.6413560072429005</v>
      </c>
      <c r="AV34" s="24">
        <v>326.11793521811632</v>
      </c>
      <c r="AW34" s="24">
        <v>1.4417157173156738</v>
      </c>
      <c r="AX34" s="24">
        <v>31.760584233141692</v>
      </c>
      <c r="AY34" s="24">
        <v>31.095943303650429</v>
      </c>
      <c r="AZ34" s="24">
        <v>39.545505523681641</v>
      </c>
      <c r="BA34" s="24">
        <v>0.88904702663421631</v>
      </c>
      <c r="BD34" s="24">
        <v>55</v>
      </c>
      <c r="BE34" s="24">
        <f t="shared" si="25"/>
        <v>-11.413047239373618</v>
      </c>
      <c r="BF34" s="24">
        <f t="shared" si="26"/>
        <v>-11.589204914683405</v>
      </c>
      <c r="BG34" s="24">
        <f t="shared" si="27"/>
        <v>-8.7154506038405817</v>
      </c>
      <c r="BH34" s="24">
        <f t="shared" si="28"/>
        <v>0</v>
      </c>
      <c r="BJ34" s="24"/>
      <c r="BK34" s="24">
        <v>55</v>
      </c>
      <c r="BL34" s="24">
        <f t="shared" si="29"/>
        <v>-10.102090412849735</v>
      </c>
      <c r="BM34" s="24">
        <f t="shared" si="30"/>
        <v>-6.2649560469746532</v>
      </c>
      <c r="BN34" s="24">
        <f t="shared" si="31"/>
        <v>-3.2611483206468019</v>
      </c>
      <c r="BO34" s="24">
        <f t="shared" si="32"/>
        <v>0</v>
      </c>
    </row>
    <row r="35" spans="2:67">
      <c r="B35" s="24">
        <f t="shared" si="33"/>
        <v>0.75</v>
      </c>
      <c r="C35" s="24">
        <v>0.8355594217123069</v>
      </c>
      <c r="D35" s="24">
        <v>5.1351172846091702</v>
      </c>
      <c r="E35" s="24">
        <v>447.26470885705396</v>
      </c>
      <c r="F35" s="24">
        <v>1.1630414724349976</v>
      </c>
      <c r="G35" s="24">
        <v>31.650978442317562</v>
      </c>
      <c r="H35" s="24">
        <v>25.8579066712228</v>
      </c>
      <c r="I35" s="24">
        <v>25.630510330200195</v>
      </c>
      <c r="J35" s="24">
        <v>0.81233787536621094</v>
      </c>
      <c r="K35" s="24">
        <v>0.8655297974962316</v>
      </c>
      <c r="L35" s="24">
        <v>5.3079337316873643</v>
      </c>
      <c r="M35" s="24">
        <v>466.3256748971956</v>
      </c>
      <c r="N35" s="24">
        <v>1.153043270111084</v>
      </c>
      <c r="O35" s="24">
        <v>31.612616415529114</v>
      </c>
      <c r="P35" s="24">
        <v>23.546307774970209</v>
      </c>
      <c r="Q35" s="24">
        <v>21.816513061523438</v>
      </c>
      <c r="R35" s="24">
        <v>0.79288762807846069</v>
      </c>
      <c r="S35" s="24">
        <v>0.90009441534285695</v>
      </c>
      <c r="T35" s="24">
        <v>5.5054382426338719</v>
      </c>
      <c r="U35" s="24">
        <v>488.50819438499929</v>
      </c>
      <c r="V35" s="24">
        <v>1.1416407823562622</v>
      </c>
      <c r="W35" s="24">
        <v>31.568774099199462</v>
      </c>
      <c r="X35" s="24">
        <v>20.671804027632376</v>
      </c>
      <c r="Y35" s="24">
        <v>18.142520904541016</v>
      </c>
      <c r="Z35" s="24">
        <v>0.7807202935218811</v>
      </c>
      <c r="AA35" s="24">
        <v>0.95706273280331888</v>
      </c>
      <c r="AB35" s="24">
        <v>5.8263830729219475</v>
      </c>
      <c r="AC35" s="24">
        <v>525.48999594979148</v>
      </c>
      <c r="AD35" s="24">
        <v>1.1231662034988403</v>
      </c>
      <c r="AE35" s="24">
        <v>31.497530335163777</v>
      </c>
      <c r="AF35" s="24">
        <v>17.184396033280212</v>
      </c>
      <c r="AG35" s="24">
        <v>14.700508117675781</v>
      </c>
      <c r="AH35" s="24">
        <v>0.85965901613235474</v>
      </c>
      <c r="AI35" s="24">
        <v>1.0061472849468667</v>
      </c>
      <c r="AJ35" s="24">
        <v>6.0979517754733958</v>
      </c>
      <c r="AK35" s="24">
        <v>557.71953828944368</v>
      </c>
      <c r="AL35" s="24">
        <v>1.1075862646102905</v>
      </c>
      <c r="AM35" s="24">
        <v>31.437247150210506</v>
      </c>
      <c r="AN35" s="24">
        <v>12.713949591261086</v>
      </c>
      <c r="AO35" s="24">
        <v>11.305507659912109</v>
      </c>
      <c r="AP35" s="24">
        <v>1.0809007883071899</v>
      </c>
      <c r="AQ35" s="24">
        <v>0</v>
      </c>
      <c r="AR35" s="24">
        <v>1</v>
      </c>
      <c r="AS35">
        <v>60</v>
      </c>
      <c r="AT35" s="24">
        <v>0.7261345049393807</v>
      </c>
      <c r="AU35" s="24">
        <v>4.4932276240330209</v>
      </c>
      <c r="AV35" s="24">
        <v>313.83055285430635</v>
      </c>
      <c r="AW35" s="24">
        <v>1.4503494501113892</v>
      </c>
      <c r="AX35" s="24">
        <v>31.79346597038893</v>
      </c>
      <c r="AY35" s="24">
        <v>32.043491983741298</v>
      </c>
      <c r="AZ35" s="24">
        <v>43.451522827148438</v>
      </c>
      <c r="BA35" s="24">
        <v>0.92471426725387573</v>
      </c>
      <c r="BD35" s="24">
        <v>60</v>
      </c>
      <c r="BE35" s="24">
        <f t="shared" si="25"/>
        <v>-14.750802215304544</v>
      </c>
      <c r="BF35" s="24">
        <f t="shared" si="26"/>
        <v>-14.840148047245693</v>
      </c>
      <c r="BG35" s="24">
        <f t="shared" si="27"/>
        <v>-9.6759791097932961</v>
      </c>
      <c r="BH35" s="24">
        <f t="shared" si="28"/>
        <v>-0.84880497483290929</v>
      </c>
      <c r="BJ35" s="24"/>
      <c r="BK35" s="24">
        <v>60</v>
      </c>
      <c r="BL35" s="24">
        <f t="shared" si="29"/>
        <v>-13.096006571104468</v>
      </c>
      <c r="BM35" s="24">
        <f t="shared" si="30"/>
        <v>-8.020114042353212</v>
      </c>
      <c r="BN35" s="24">
        <f t="shared" si="31"/>
        <v>-3.615151960184257</v>
      </c>
      <c r="BO35" s="24">
        <f t="shared" si="32"/>
        <v>-0.24160762809872169</v>
      </c>
    </row>
    <row r="36" spans="2:67">
      <c r="B36" s="24">
        <f t="shared" si="33"/>
        <v>1</v>
      </c>
      <c r="C36" s="24">
        <v>0.8655297974962316</v>
      </c>
      <c r="D36" s="24">
        <v>5.3079337316873643</v>
      </c>
      <c r="E36" s="24">
        <v>383.23385573766654</v>
      </c>
      <c r="F36" s="24">
        <v>1.403043270111084</v>
      </c>
      <c r="G36" s="24">
        <v>31.612616415529114</v>
      </c>
      <c r="H36" s="24">
        <v>25.171808104323134</v>
      </c>
      <c r="I36" s="24">
        <v>24.354503631591797</v>
      </c>
      <c r="J36" s="24">
        <v>0.7611420750617981</v>
      </c>
      <c r="K36" s="24">
        <v>0.90009441534285695</v>
      </c>
      <c r="L36" s="24">
        <v>5.5054382426338719</v>
      </c>
      <c r="M36" s="24">
        <v>400.75060123673609</v>
      </c>
      <c r="N36" s="24">
        <v>1.3916407823562622</v>
      </c>
      <c r="O36" s="24">
        <v>31.568774099199462</v>
      </c>
      <c r="P36" s="24">
        <v>22.8314613180601</v>
      </c>
      <c r="Q36" s="24">
        <v>20.766519546508789</v>
      </c>
      <c r="R36" s="24">
        <v>0.74712735414505005</v>
      </c>
      <c r="S36" s="24">
        <v>0.93502624615893282</v>
      </c>
      <c r="T36" s="24">
        <v>5.7029427535803805</v>
      </c>
      <c r="U36" s="24">
        <v>418.54902862619264</v>
      </c>
      <c r="V36" s="24">
        <v>1.3802639245986938</v>
      </c>
      <c r="W36" s="24">
        <v>31.52493178286981</v>
      </c>
      <c r="X36" s="24">
        <v>19.916671787082343</v>
      </c>
      <c r="Y36" s="24">
        <v>17.288507461547852</v>
      </c>
      <c r="Z36" s="24">
        <v>0.74101525545120239</v>
      </c>
      <c r="AA36" s="24">
        <v>0.99267361510418117</v>
      </c>
      <c r="AB36" s="24">
        <v>6.0238875838684551</v>
      </c>
      <c r="AC36" s="24">
        <v>448.08789882211448</v>
      </c>
      <c r="AD36" s="24">
        <v>1.3618305921554565</v>
      </c>
      <c r="AE36" s="24">
        <v>31.453688018834125</v>
      </c>
      <c r="AF36" s="24">
        <v>16.446009323325001</v>
      </c>
      <c r="AG36" s="24">
        <v>14.052508354187012</v>
      </c>
      <c r="AH36" s="24">
        <v>0.82770335674285889</v>
      </c>
      <c r="AI36" s="24">
        <v>1.0151675825917046</v>
      </c>
      <c r="AJ36" s="24">
        <v>6.1473279032100221</v>
      </c>
      <c r="AK36" s="24">
        <v>459.65698684951496</v>
      </c>
      <c r="AL36" s="24">
        <v>1.3547587394714355</v>
      </c>
      <c r="AM36" s="24">
        <v>31.426286571128092</v>
      </c>
      <c r="AN36" s="24">
        <v>11.938678260671431</v>
      </c>
      <c r="AO36" s="24">
        <v>10.79050350189209</v>
      </c>
      <c r="AP36" s="24">
        <v>1.0563127994537354</v>
      </c>
      <c r="AQ36" s="24">
        <v>0</v>
      </c>
      <c r="AR36" s="24">
        <v>1</v>
      </c>
      <c r="AS36">
        <v>65</v>
      </c>
      <c r="AT36" s="24">
        <v>0.70538212882241114</v>
      </c>
      <c r="AU36" s="24">
        <v>4.369787304691453</v>
      </c>
      <c r="AV36" s="24">
        <v>303.69995380179211</v>
      </c>
      <c r="AW36" s="24">
        <v>1.4575551748275757</v>
      </c>
      <c r="AX36" s="24">
        <v>31.820867418094963</v>
      </c>
      <c r="AY36" s="24">
        <v>32.877882722242617</v>
      </c>
      <c r="AZ36" s="24">
        <v>47.454502105712891</v>
      </c>
      <c r="BA36" s="24">
        <v>0.9641004204750061</v>
      </c>
      <c r="BD36" s="24">
        <v>65</v>
      </c>
      <c r="BE36" s="24">
        <f t="shared" si="25"/>
        <v>-17.502686741685146</v>
      </c>
      <c r="BF36" s="24">
        <f t="shared" si="26"/>
        <v>-18.064825528640331</v>
      </c>
      <c r="BG36" s="24">
        <f t="shared" si="27"/>
        <v>-16.830476270892461</v>
      </c>
      <c r="BH36" s="24">
        <f t="shared" si="28"/>
        <v>-5.5053805997746457</v>
      </c>
      <c r="BJ36" s="24"/>
      <c r="BK36" s="24">
        <v>65</v>
      </c>
      <c r="BL36" s="24">
        <f t="shared" si="29"/>
        <v>-15.579657114406563</v>
      </c>
      <c r="BM36" s="24">
        <f t="shared" si="30"/>
        <v>-9.7612841031766973</v>
      </c>
      <c r="BN36" s="24">
        <f t="shared" si="31"/>
        <v>-6.2227018454394907</v>
      </c>
      <c r="BO36" s="24">
        <f t="shared" si="32"/>
        <v>-1.5430003256026628</v>
      </c>
    </row>
    <row r="37" spans="2:67">
      <c r="B37" s="24">
        <f t="shared" si="33"/>
        <v>1.25</v>
      </c>
      <c r="C37" s="24">
        <v>0.90009441534285695</v>
      </c>
      <c r="D37" s="24">
        <v>5.5054382426338719</v>
      </c>
      <c r="E37" s="24">
        <v>339.72162992161111</v>
      </c>
      <c r="F37" s="24">
        <v>1.6416407823562622</v>
      </c>
      <c r="G37" s="24">
        <v>31.568774099199462</v>
      </c>
      <c r="H37" s="24">
        <v>24.560264599284604</v>
      </c>
      <c r="I37" s="24">
        <v>23.282510757446289</v>
      </c>
      <c r="J37" s="24">
        <v>0.71901684999465942</v>
      </c>
      <c r="K37" s="24">
        <v>0.93502624615893282</v>
      </c>
      <c r="L37" s="24">
        <v>5.7029427535803805</v>
      </c>
      <c r="M37" s="24">
        <v>354.36478259673021</v>
      </c>
      <c r="N37" s="24">
        <v>1.6302639245986938</v>
      </c>
      <c r="O37" s="24">
        <v>31.52493178286981</v>
      </c>
      <c r="P37" s="24">
        <v>22.173360577537107</v>
      </c>
      <c r="Q37" s="24">
        <v>19.859523773193359</v>
      </c>
      <c r="R37" s="24">
        <v>0.70835834741592407</v>
      </c>
      <c r="S37" s="24">
        <v>0.97036328499137692</v>
      </c>
      <c r="T37" s="24">
        <v>5.9004472645268882</v>
      </c>
      <c r="U37" s="24">
        <v>369.20794237040485</v>
      </c>
      <c r="V37" s="24">
        <v>1.6189123392105103</v>
      </c>
      <c r="W37" s="24">
        <v>31.481089466540158</v>
      </c>
      <c r="X37" s="24">
        <v>19.233958098011925</v>
      </c>
      <c r="Y37" s="24">
        <v>16.557502746582031</v>
      </c>
      <c r="Z37" s="24">
        <v>0.72942745685577393</v>
      </c>
      <c r="AA37" s="24">
        <v>1.0106535840118041</v>
      </c>
      <c r="AB37" s="24">
        <v>6.1226398393417085</v>
      </c>
      <c r="AC37" s="24">
        <v>386.14998559959048</v>
      </c>
      <c r="AD37" s="24">
        <v>1.6061723232269287</v>
      </c>
      <c r="AE37" s="24">
        <v>31.431766860669299</v>
      </c>
      <c r="AF37" s="24">
        <v>15.671092778750957</v>
      </c>
      <c r="AG37" s="24">
        <v>13.422511100769043</v>
      </c>
      <c r="AH37" s="24">
        <v>0.83254003524780273</v>
      </c>
      <c r="AI37" s="24">
        <v>1.0424241979049065</v>
      </c>
      <c r="AJ37" s="24">
        <v>6.3201443502882162</v>
      </c>
      <c r="AK37" s="24">
        <v>401.4300357808815</v>
      </c>
      <c r="AL37" s="24">
        <v>1.5948747396469116</v>
      </c>
      <c r="AM37" s="24">
        <v>31.387924544339647</v>
      </c>
      <c r="AN37" s="24">
        <v>11.372295808451081</v>
      </c>
      <c r="AO37" s="24">
        <v>10.408506393432617</v>
      </c>
      <c r="AP37" s="24">
        <v>1.0391081571578979</v>
      </c>
      <c r="AQ37" s="24">
        <v>0</v>
      </c>
      <c r="AR37" s="24">
        <v>1</v>
      </c>
      <c r="AS37">
        <v>35</v>
      </c>
      <c r="AT37" s="24">
        <v>0.8655297974962316</v>
      </c>
      <c r="AU37" s="24">
        <v>5.3079337316873643</v>
      </c>
      <c r="AV37" s="24">
        <v>383.23385573766654</v>
      </c>
      <c r="AW37" s="24">
        <v>1.403043270111084</v>
      </c>
      <c r="AX37" s="24">
        <v>31.612616415529114</v>
      </c>
      <c r="AY37" s="24">
        <v>25.171808104323134</v>
      </c>
      <c r="AZ37" s="24">
        <v>24.354503631591797</v>
      </c>
      <c r="BA37" s="24">
        <v>0.7611420750617981</v>
      </c>
      <c r="BD37" s="24">
        <v>35</v>
      </c>
      <c r="BE37" s="24">
        <f t="shared" si="25"/>
        <v>4.101969895642303</v>
      </c>
      <c r="BF37" s="24">
        <f t="shared" si="26"/>
        <v>5.636531576327279</v>
      </c>
      <c r="BG37" s="24">
        <f t="shared" si="27"/>
        <v>3.4240338334816629</v>
      </c>
      <c r="BH37" s="24">
        <f t="shared" si="28"/>
        <v>0</v>
      </c>
      <c r="BJ37" s="24"/>
      <c r="BK37" s="24">
        <v>35</v>
      </c>
      <c r="BL37" s="24">
        <f t="shared" si="29"/>
        <v>3.5868634839287177</v>
      </c>
      <c r="BM37" s="24">
        <f t="shared" si="30"/>
        <v>3.0580527721021662</v>
      </c>
      <c r="BN37" s="24">
        <f t="shared" si="31"/>
        <v>1.3070028737241204</v>
      </c>
      <c r="BO37" s="24">
        <f t="shared" si="32"/>
        <v>0</v>
      </c>
    </row>
    <row r="38" spans="2:67">
      <c r="B38" s="24">
        <f t="shared" si="33"/>
        <v>1.5</v>
      </c>
      <c r="C38" s="24">
        <v>0.93063886370112159</v>
      </c>
      <c r="D38" s="24">
        <v>5.678254689712066</v>
      </c>
      <c r="E38" s="24">
        <v>305.6873624567757</v>
      </c>
      <c r="F38" s="24">
        <v>1.8816845417022705</v>
      </c>
      <c r="G38" s="24">
        <v>31.530412072411018</v>
      </c>
      <c r="H38" s="24">
        <v>23.955715673291209</v>
      </c>
      <c r="I38" s="24">
        <v>22.298511505126953</v>
      </c>
      <c r="J38" s="24">
        <v>0.6936604380607605</v>
      </c>
      <c r="K38" s="24">
        <v>0.96592302074423375</v>
      </c>
      <c r="L38" s="24">
        <v>5.8757592006585737</v>
      </c>
      <c r="M38" s="24">
        <v>318.24032728272977</v>
      </c>
      <c r="N38" s="24">
        <v>1.8703299760818481</v>
      </c>
      <c r="O38" s="24">
        <v>31.486569756081366</v>
      </c>
      <c r="P38" s="24">
        <v>21.532310379909848</v>
      </c>
      <c r="Q38" s="24">
        <v>19.034519195556641</v>
      </c>
      <c r="R38" s="24">
        <v>0.6896633505821228</v>
      </c>
      <c r="S38" s="24">
        <v>1.001648587718128</v>
      </c>
      <c r="T38" s="24">
        <v>6.0979517754733958</v>
      </c>
      <c r="U38" s="24">
        <v>332.54041431855694</v>
      </c>
      <c r="V38" s="24">
        <v>1.8575862646102905</v>
      </c>
      <c r="W38" s="24">
        <v>31.437247150210506</v>
      </c>
      <c r="X38" s="24">
        <v>18.616685984090683</v>
      </c>
      <c r="Y38" s="24">
        <v>15.926506996154785</v>
      </c>
      <c r="Z38" s="24">
        <v>0.72322678565979004</v>
      </c>
      <c r="AA38" s="24">
        <v>1.0333059824769641</v>
      </c>
      <c r="AB38" s="24">
        <v>6.2707682225515891</v>
      </c>
      <c r="AC38" s="24">
        <v>343.79495335746481</v>
      </c>
      <c r="AD38" s="24">
        <v>1.8476967811584473</v>
      </c>
      <c r="AE38" s="24">
        <v>31.398885123422058</v>
      </c>
      <c r="AF38" s="24">
        <v>15.032553360113679</v>
      </c>
      <c r="AG38" s="24">
        <v>12.914518356323242</v>
      </c>
      <c r="AH38" s="24">
        <v>0.80891859531402588</v>
      </c>
      <c r="AI38" s="24">
        <v>1.0607626140251496</v>
      </c>
      <c r="AJ38" s="24">
        <v>6.4188966057614696</v>
      </c>
      <c r="AK38" s="24">
        <v>353.5350692689733</v>
      </c>
      <c r="AL38" s="24">
        <v>1.8392354249954224</v>
      </c>
      <c r="AM38" s="24">
        <v>31.366003386174821</v>
      </c>
      <c r="AN38" s="24">
        <v>10.807431744905665</v>
      </c>
      <c r="AO38" s="24">
        <v>10.045496940612793</v>
      </c>
      <c r="AP38" s="24">
        <v>1.0233700275421143</v>
      </c>
      <c r="AQ38" s="24">
        <v>0</v>
      </c>
      <c r="AR38" s="24">
        <v>1</v>
      </c>
      <c r="AS38">
        <v>30</v>
      </c>
      <c r="AT38" s="24">
        <v>0.90009441534285695</v>
      </c>
      <c r="AU38" s="24">
        <v>5.5054382426338719</v>
      </c>
      <c r="AV38" s="24">
        <v>400.75060123673609</v>
      </c>
      <c r="AW38" s="24">
        <v>1.3916407823562622</v>
      </c>
      <c r="AX38" s="24">
        <v>31.568774099199462</v>
      </c>
      <c r="AY38" s="24">
        <v>22.8314613180601</v>
      </c>
      <c r="AZ38" s="24">
        <v>20.766519546508789</v>
      </c>
      <c r="BA38" s="24">
        <v>0.74712735414505005</v>
      </c>
      <c r="BD38" s="24">
        <v>30</v>
      </c>
      <c r="BE38" s="24">
        <f t="shared" si="25"/>
        <v>8.8602335127847756</v>
      </c>
      <c r="BF38" s="24">
        <f t="shared" si="26"/>
        <v>11.350980268451602</v>
      </c>
      <c r="BG38" s="24">
        <f t="shared" si="27"/>
        <v>6.8677146045450508</v>
      </c>
      <c r="BH38" s="24">
        <f t="shared" si="28"/>
        <v>0</v>
      </c>
      <c r="BJ38" s="24"/>
      <c r="BK38" s="24">
        <v>30</v>
      </c>
      <c r="BL38" s="24">
        <f t="shared" si="29"/>
        <v>7.7235672237767199</v>
      </c>
      <c r="BM38" s="24">
        <f t="shared" si="30"/>
        <v>6.1708567162072878</v>
      </c>
      <c r="BN38" s="24">
        <f t="shared" si="31"/>
        <v>2.6377398241055343</v>
      </c>
      <c r="BO38" s="24">
        <f t="shared" si="32"/>
        <v>0</v>
      </c>
    </row>
    <row r="39" spans="2:67">
      <c r="B39" s="24">
        <f t="shared" si="33"/>
        <v>1.75</v>
      </c>
      <c r="C39" s="24">
        <v>0.95264254047866925</v>
      </c>
      <c r="D39" s="24">
        <v>5.8016950090536339</v>
      </c>
      <c r="E39" s="24">
        <v>276.62424425997403</v>
      </c>
      <c r="F39" s="24">
        <v>2.1245849132537842</v>
      </c>
      <c r="G39" s="24">
        <v>31.503010624704984</v>
      </c>
      <c r="H39" s="24">
        <v>23.314956902135815</v>
      </c>
      <c r="I39" s="24">
        <v>21.339509963989258</v>
      </c>
      <c r="J39" s="24">
        <v>0.65610116720199585</v>
      </c>
      <c r="K39" s="24">
        <v>0.99267361510418117</v>
      </c>
      <c r="L39" s="24">
        <v>6.0485756477367687</v>
      </c>
      <c r="M39" s="24">
        <v>290.33180062341063</v>
      </c>
      <c r="N39" s="24">
        <v>2.1104154586791992</v>
      </c>
      <c r="O39" s="24">
        <v>31.448207729292918</v>
      </c>
      <c r="P39" s="24">
        <v>20.939375452767219</v>
      </c>
      <c r="Q39" s="24">
        <v>18.310510635375977</v>
      </c>
      <c r="R39" s="24">
        <v>0.67552393674850464</v>
      </c>
      <c r="S39" s="24">
        <v>1.0151675825917046</v>
      </c>
      <c r="T39" s="24">
        <v>6.1720159670783366</v>
      </c>
      <c r="U39" s="24">
        <v>297.25273559680556</v>
      </c>
      <c r="V39" s="24">
        <v>2.1033456325531006</v>
      </c>
      <c r="W39" s="24">
        <v>31.420806281586884</v>
      </c>
      <c r="X39" s="24">
        <v>17.886495747907773</v>
      </c>
      <c r="Y39" s="24">
        <v>15.247506141662598</v>
      </c>
      <c r="Z39" s="24">
        <v>0.71534377336502075</v>
      </c>
      <c r="AA39" s="24">
        <v>1.0469958891891562</v>
      </c>
      <c r="AB39" s="24">
        <v>6.3448324141565289</v>
      </c>
      <c r="AC39" s="24">
        <v>307.01814110035212</v>
      </c>
      <c r="AD39" s="24">
        <v>2.0934643745422363</v>
      </c>
      <c r="AE39" s="24">
        <v>31.38244425479844</v>
      </c>
      <c r="AF39" s="24">
        <v>14.367460126896633</v>
      </c>
      <c r="AG39" s="24">
        <v>12.41651439666748</v>
      </c>
      <c r="AH39" s="24">
        <v>0.78661030530929565</v>
      </c>
      <c r="AI39" s="24">
        <v>1.0699846364725729</v>
      </c>
      <c r="AJ39" s="24">
        <v>6.4682727334980967</v>
      </c>
      <c r="AK39" s="24">
        <v>314.04827850965029</v>
      </c>
      <c r="AL39" s="24">
        <v>2.0864181518554687</v>
      </c>
      <c r="AM39" s="24">
        <v>31.355042807092406</v>
      </c>
      <c r="AN39" s="24">
        <v>10.259723359654361</v>
      </c>
      <c r="AO39" s="24">
        <v>9.7065010070800781</v>
      </c>
      <c r="AP39" s="24">
        <v>1.0092099905014038</v>
      </c>
      <c r="AQ39" s="24">
        <v>0</v>
      </c>
      <c r="AR39" s="24">
        <v>1</v>
      </c>
      <c r="AS39">
        <v>25</v>
      </c>
      <c r="AT39" s="24">
        <v>0.93502624615893282</v>
      </c>
      <c r="AU39" s="24">
        <v>5.7029427535803805</v>
      </c>
      <c r="AV39" s="24">
        <v>418.54902862619264</v>
      </c>
      <c r="AW39" s="24">
        <v>1.3802639245986938</v>
      </c>
      <c r="AX39" s="24">
        <v>31.52493178286981</v>
      </c>
      <c r="AY39" s="24">
        <v>19.916671787082343</v>
      </c>
      <c r="AZ39" s="24">
        <v>17.288507461547852</v>
      </c>
      <c r="BA39" s="24">
        <v>0.74101525545120239</v>
      </c>
      <c r="BD39" s="24">
        <v>25</v>
      </c>
      <c r="BE39" s="24">
        <f t="shared" si="25"/>
        <v>13.695013437748674</v>
      </c>
      <c r="BF39" s="24">
        <f t="shared" si="26"/>
        <v>15.398211556474642</v>
      </c>
      <c r="BG39" s="24">
        <f t="shared" si="27"/>
        <v>6.8677146045450508</v>
      </c>
      <c r="BH39" s="24">
        <f t="shared" si="28"/>
        <v>0</v>
      </c>
      <c r="BJ39" s="24"/>
      <c r="BK39" s="24">
        <v>25</v>
      </c>
      <c r="BL39" s="24">
        <f t="shared" si="29"/>
        <v>11.904219120979949</v>
      </c>
      <c r="BM39" s="24">
        <f t="shared" si="30"/>
        <v>8.3853642168072078</v>
      </c>
      <c r="BN39" s="24">
        <f t="shared" si="31"/>
        <v>2.6377398241055343</v>
      </c>
      <c r="BO39" s="24">
        <f t="shared" si="32"/>
        <v>0</v>
      </c>
    </row>
    <row r="40" spans="2:67">
      <c r="B40" s="24">
        <f t="shared" si="33"/>
        <v>2</v>
      </c>
      <c r="C40" s="24">
        <v>0.97036328499137692</v>
      </c>
      <c r="D40" s="24">
        <v>5.9251353283952017</v>
      </c>
      <c r="E40" s="24">
        <v>253.52372474954981</v>
      </c>
      <c r="F40" s="24">
        <v>2.3674952983856201</v>
      </c>
      <c r="G40" s="24">
        <v>31.475609176998951</v>
      </c>
      <c r="H40" s="24">
        <v>22.707447874798639</v>
      </c>
      <c r="I40" s="24">
        <v>20.483505249023438</v>
      </c>
      <c r="J40" s="24">
        <v>0.63551157712936401</v>
      </c>
      <c r="K40" s="24">
        <v>1.0061472849468667</v>
      </c>
      <c r="L40" s="24">
        <v>6.1226398393417085</v>
      </c>
      <c r="M40" s="24">
        <v>263.23347073294462</v>
      </c>
      <c r="N40" s="24">
        <v>2.3561723232269287</v>
      </c>
      <c r="O40" s="24">
        <v>31.431766860669299</v>
      </c>
      <c r="P40" s="24">
        <v>20.243229936995434</v>
      </c>
      <c r="Q40" s="24">
        <v>17.536504745483398</v>
      </c>
      <c r="R40" s="24">
        <v>0.64281022548675537</v>
      </c>
      <c r="S40" s="24">
        <v>1.0333059824769641</v>
      </c>
      <c r="T40" s="24">
        <v>6.2707682225515891</v>
      </c>
      <c r="U40" s="24">
        <v>270.57532818720529</v>
      </c>
      <c r="V40" s="24">
        <v>2.3476967811584473</v>
      </c>
      <c r="W40" s="24">
        <v>31.398885123422058</v>
      </c>
      <c r="X40" s="24">
        <v>17.243465225311436</v>
      </c>
      <c r="Y40" s="24">
        <v>14.671504020690918</v>
      </c>
      <c r="Z40" s="24">
        <v>0.68990010023117065</v>
      </c>
      <c r="AA40" s="24">
        <v>1.0653691146800695</v>
      </c>
      <c r="AB40" s="24">
        <v>6.443584669629784</v>
      </c>
      <c r="AC40" s="24">
        <v>279.20596369786642</v>
      </c>
      <c r="AD40" s="24">
        <v>2.3378264904022217</v>
      </c>
      <c r="AE40" s="24">
        <v>31.360523096633614</v>
      </c>
      <c r="AF40" s="24">
        <v>13.791756512876406</v>
      </c>
      <c r="AG40" s="24">
        <v>11.994511604309082</v>
      </c>
      <c r="AH40" s="24">
        <v>0.80447208881378174</v>
      </c>
      <c r="AI40" s="24">
        <v>1.0838886409310622</v>
      </c>
      <c r="AJ40" s="24">
        <v>6.5423369251030374</v>
      </c>
      <c r="AK40" s="24">
        <v>284.16949665963159</v>
      </c>
      <c r="AL40" s="24">
        <v>2.3321952819824219</v>
      </c>
      <c r="AM40" s="24">
        <v>31.338601938468788</v>
      </c>
      <c r="AN40" s="24">
        <v>9.7893824746070717</v>
      </c>
      <c r="AO40" s="24">
        <v>9.4174985885620117</v>
      </c>
      <c r="AP40" s="24">
        <v>1.0706847906112671</v>
      </c>
      <c r="AQ40" s="24">
        <v>0</v>
      </c>
      <c r="AR40" s="24">
        <v>1</v>
      </c>
      <c r="AS40">
        <v>20</v>
      </c>
      <c r="AT40" s="24">
        <v>0.99267361510418117</v>
      </c>
      <c r="AU40" s="24">
        <v>6.0238875838684551</v>
      </c>
      <c r="AV40" s="24">
        <v>448.08789882211448</v>
      </c>
      <c r="AW40" s="24">
        <v>1.3618305921554565</v>
      </c>
      <c r="AX40" s="24">
        <v>31.453688018834125</v>
      </c>
      <c r="AY40" s="24">
        <v>16.446009323325001</v>
      </c>
      <c r="AZ40" s="24">
        <v>14.052508354187012</v>
      </c>
      <c r="BA40" s="24">
        <v>0.82770335674285889</v>
      </c>
      <c r="BD40" s="24">
        <v>20</v>
      </c>
      <c r="BE40" s="24">
        <f t="shared" si="25"/>
        <v>21.718977212995338</v>
      </c>
      <c r="BF40" s="24">
        <f t="shared" si="26"/>
        <v>19.484810371706931</v>
      </c>
      <c r="BG40" s="24">
        <f t="shared" si="27"/>
        <v>9.3395961315984835</v>
      </c>
      <c r="BH40" s="24">
        <f t="shared" si="28"/>
        <v>0</v>
      </c>
      <c r="BJ40" s="24"/>
      <c r="BK40" s="24">
        <v>20</v>
      </c>
      <c r="BL40" s="24">
        <f t="shared" si="29"/>
        <v>18.803473374748272</v>
      </c>
      <c r="BM40" s="24">
        <f t="shared" si="30"/>
        <v>10.631560641717929</v>
      </c>
      <c r="BN40" s="24">
        <f t="shared" si="31"/>
        <v>3.6036423763995433</v>
      </c>
      <c r="BO40" s="24">
        <f t="shared" si="32"/>
        <v>0</v>
      </c>
    </row>
    <row r="41" spans="2:67">
      <c r="B41" s="24">
        <f t="shared" si="33"/>
        <v>2.25</v>
      </c>
      <c r="C41" s="24">
        <v>0.99715739606163001</v>
      </c>
      <c r="D41" s="24">
        <v>6.0732637116050823</v>
      </c>
      <c r="E41" s="24">
        <v>235.8073810896984</v>
      </c>
      <c r="F41" s="24">
        <v>2.6090006828308105</v>
      </c>
      <c r="G41" s="24">
        <v>31.442727439751714</v>
      </c>
      <c r="H41" s="24">
        <v>22.172939390923833</v>
      </c>
      <c r="I41" s="24">
        <v>19.76051139831543</v>
      </c>
      <c r="J41" s="24">
        <v>0.62030571699142456</v>
      </c>
      <c r="K41" s="24">
        <v>1.0151675825917046</v>
      </c>
      <c r="L41" s="24">
        <v>6.1720159670783366</v>
      </c>
      <c r="M41" s="24">
        <v>240.16220912996067</v>
      </c>
      <c r="N41" s="24">
        <v>2.6033456325531006</v>
      </c>
      <c r="O41" s="24">
        <v>31.420806281586884</v>
      </c>
      <c r="P41" s="24">
        <v>19.546089104181021</v>
      </c>
      <c r="Q41" s="24">
        <v>16.809501647949219</v>
      </c>
      <c r="R41" s="24">
        <v>0.62863916158676147</v>
      </c>
      <c r="S41" s="24">
        <v>1.0561649854744704</v>
      </c>
      <c r="T41" s="24">
        <v>6.394208541893156</v>
      </c>
      <c r="U41" s="24">
        <v>250.02785353670166</v>
      </c>
      <c r="V41" s="24">
        <v>2.5906445980072021</v>
      </c>
      <c r="W41" s="24">
        <v>31.371483675716028</v>
      </c>
      <c r="X41" s="24">
        <v>16.684808505251269</v>
      </c>
      <c r="Y41" s="24">
        <v>14.184508323669434</v>
      </c>
      <c r="Z41" s="24">
        <v>0.69218266010284424</v>
      </c>
      <c r="AA41" s="24">
        <v>1.0699846364725729</v>
      </c>
      <c r="AB41" s="24">
        <v>6.4682727334980967</v>
      </c>
      <c r="AC41" s="24">
        <v>253.33723713239408</v>
      </c>
      <c r="AD41" s="24">
        <v>2.5864181518554687</v>
      </c>
      <c r="AE41" s="24">
        <v>31.355042807092406</v>
      </c>
      <c r="AF41" s="24">
        <v>13.179073181214012</v>
      </c>
      <c r="AG41" s="24">
        <v>11.569510459899902</v>
      </c>
      <c r="AH41" s="24">
        <v>0.82519799470901489</v>
      </c>
      <c r="AI41" s="24">
        <v>1.0932050937754676</v>
      </c>
      <c r="AJ41" s="24">
        <v>6.5917130528396637</v>
      </c>
      <c r="AK41" s="24">
        <v>258.87618588126338</v>
      </c>
      <c r="AL41" s="24">
        <v>2.5793819427490234</v>
      </c>
      <c r="AM41" s="24">
        <v>31.327641359386377</v>
      </c>
      <c r="AN41" s="24">
        <v>9.343750170031063</v>
      </c>
      <c r="AO41" s="24">
        <v>9.1504850387573242</v>
      </c>
      <c r="AP41" s="24">
        <v>1.0598927736282349</v>
      </c>
      <c r="AQ41" s="24">
        <v>0</v>
      </c>
      <c r="AR41" s="24">
        <v>1</v>
      </c>
      <c r="AS41">
        <v>15</v>
      </c>
      <c r="AT41" s="24">
        <v>1.0151675825917046</v>
      </c>
      <c r="AU41" s="24">
        <v>6.1473279032100221</v>
      </c>
      <c r="AV41" s="24">
        <v>459.65698684951496</v>
      </c>
      <c r="AW41" s="24">
        <v>1.3547587394714355</v>
      </c>
      <c r="AX41" s="24">
        <v>31.426286571128092</v>
      </c>
      <c r="AY41" s="24">
        <v>11.938678260671431</v>
      </c>
      <c r="AZ41" s="24">
        <v>10.79050350189209</v>
      </c>
      <c r="BA41" s="24">
        <v>1.0563127994537354</v>
      </c>
      <c r="BD41" s="24">
        <v>15</v>
      </c>
      <c r="BE41" s="24">
        <f t="shared" si="25"/>
        <v>24.86161410563172</v>
      </c>
      <c r="BF41" s="24">
        <f t="shared" si="26"/>
        <v>21.837878422517679</v>
      </c>
      <c r="BG41" s="24">
        <f t="shared" si="27"/>
        <v>11.82162970917155</v>
      </c>
      <c r="BH41" s="24">
        <f t="shared" si="28"/>
        <v>0</v>
      </c>
      <c r="BJ41" s="24"/>
      <c r="BK41" s="24">
        <v>15</v>
      </c>
      <c r="BL41" s="24">
        <f t="shared" si="29"/>
        <v>21.49555809104848</v>
      </c>
      <c r="BM41" s="24">
        <f t="shared" si="30"/>
        <v>11.930123092022255</v>
      </c>
      <c r="BN41" s="24">
        <f t="shared" si="31"/>
        <v>4.5830646453601478</v>
      </c>
      <c r="BO41" s="24">
        <f t="shared" si="32"/>
        <v>0</v>
      </c>
    </row>
    <row r="42" spans="2:67">
      <c r="B42" s="24">
        <f t="shared" si="33"/>
        <v>2.5</v>
      </c>
      <c r="C42" s="24">
        <v>1.0151675825917046</v>
      </c>
      <c r="D42" s="24">
        <v>6.1720159670783366</v>
      </c>
      <c r="E42" s="24">
        <v>219.12004956191694</v>
      </c>
      <c r="F42" s="24">
        <v>2.8533456325531006</v>
      </c>
      <c r="G42" s="24">
        <v>31.420806281586884</v>
      </c>
      <c r="H42" s="24">
        <v>21.591733778126713</v>
      </c>
      <c r="I42" s="24">
        <v>19.030500411987305</v>
      </c>
      <c r="J42" s="24">
        <v>0.60468780994415283</v>
      </c>
      <c r="K42" s="24">
        <v>1.0424241979049065</v>
      </c>
      <c r="L42" s="24">
        <v>6.3201443502882162</v>
      </c>
      <c r="M42" s="24">
        <v>225.04703436981015</v>
      </c>
      <c r="N42" s="24">
        <v>2.8448746204376221</v>
      </c>
      <c r="O42" s="24">
        <v>31.387924544339647</v>
      </c>
      <c r="P42" s="24">
        <v>19.043444931262059</v>
      </c>
      <c r="Q42" s="24">
        <v>16.286508560180664</v>
      </c>
      <c r="R42" s="24">
        <v>0.62375056743621826</v>
      </c>
      <c r="S42" s="24">
        <v>1.0653691146800695</v>
      </c>
      <c r="T42" s="24">
        <v>6.443584669629784</v>
      </c>
      <c r="U42" s="24">
        <v>230.0123370815669</v>
      </c>
      <c r="V42" s="24">
        <v>2.8378264904022217</v>
      </c>
      <c r="W42" s="24">
        <v>31.360523096633614</v>
      </c>
      <c r="X42" s="24">
        <v>16.066074389452751</v>
      </c>
      <c r="Y42" s="24">
        <v>13.679510116577148</v>
      </c>
      <c r="Z42" s="24">
        <v>0.69480746984481812</v>
      </c>
      <c r="AA42" s="24">
        <v>1.0885420734398328</v>
      </c>
      <c r="AB42" s="24">
        <v>6.5670249889713519</v>
      </c>
      <c r="AC42" s="24">
        <v>235.00154655420263</v>
      </c>
      <c r="AD42" s="24">
        <v>2.8307883739471436</v>
      </c>
      <c r="AE42" s="24">
        <v>31.33312164892758</v>
      </c>
      <c r="AF42" s="24">
        <v>12.704828006713406</v>
      </c>
      <c r="AG42" s="24">
        <v>11.23851203918457</v>
      </c>
      <c r="AH42" s="24">
        <v>0.81129509210586548</v>
      </c>
      <c r="AI42" s="24">
        <v>1.0978778281385975</v>
      </c>
      <c r="AJ42" s="24">
        <v>6.6164011167079773</v>
      </c>
      <c r="AK42" s="24">
        <v>237.00395280368323</v>
      </c>
      <c r="AL42" s="24">
        <v>2.8279757499694824</v>
      </c>
      <c r="AM42" s="24">
        <v>31.322161069845169</v>
      </c>
      <c r="AN42" s="24">
        <v>8.917876108160943</v>
      </c>
      <c r="AO42" s="24">
        <v>8.9014911651611328</v>
      </c>
      <c r="AP42" s="24">
        <v>1.1342025995254517</v>
      </c>
      <c r="AQ42" s="24" t="s">
        <v>255</v>
      </c>
      <c r="AR42" s="24" t="s">
        <v>233</v>
      </c>
      <c r="AS42" s="24"/>
      <c r="AT42" s="24" t="s">
        <v>154</v>
      </c>
      <c r="AU42" s="24" t="s">
        <v>155</v>
      </c>
      <c r="AV42" s="24" t="s">
        <v>156</v>
      </c>
      <c r="AW42" s="24" t="s">
        <v>159</v>
      </c>
      <c r="AX42" s="24" t="s">
        <v>157</v>
      </c>
      <c r="AY42" s="24" t="s">
        <v>279</v>
      </c>
      <c r="AZ42" s="24" t="s">
        <v>160</v>
      </c>
      <c r="BA42" s="24" t="s">
        <v>280</v>
      </c>
      <c r="BB42" s="24" t="s">
        <v>265</v>
      </c>
    </row>
    <row r="43" spans="2:67">
      <c r="B43" s="24">
        <f t="shared" si="33"/>
        <v>2.75</v>
      </c>
      <c r="C43" s="24">
        <v>1.0333059824769641</v>
      </c>
      <c r="D43" s="24">
        <v>6.2707682225515891</v>
      </c>
      <c r="E43" s="24">
        <v>205.06488221586508</v>
      </c>
      <c r="F43" s="24">
        <v>3.0976967811584473</v>
      </c>
      <c r="G43" s="24">
        <v>31.398885123422058</v>
      </c>
      <c r="H43" s="24">
        <v>21.039767803735693</v>
      </c>
      <c r="I43" s="24">
        <v>18.370513916015625</v>
      </c>
      <c r="J43" s="24">
        <v>0.60490483045578003</v>
      </c>
      <c r="K43" s="24">
        <v>1.0561649854744704</v>
      </c>
      <c r="L43" s="24">
        <v>6.394208541893156</v>
      </c>
      <c r="M43" s="24">
        <v>209.57871096301551</v>
      </c>
      <c r="N43" s="24">
        <v>3.0906445980072021</v>
      </c>
      <c r="O43" s="24">
        <v>31.371483675716028</v>
      </c>
      <c r="P43" s="24">
        <v>18.460982431703695</v>
      </c>
      <c r="Q43" s="24">
        <v>15.724501609802246</v>
      </c>
      <c r="R43" s="24">
        <v>0.61753326654434204</v>
      </c>
      <c r="S43" s="24">
        <v>1.0699846364725729</v>
      </c>
      <c r="T43" s="24">
        <v>6.4682727334980967</v>
      </c>
      <c r="U43" s="24">
        <v>212.29658338538127</v>
      </c>
      <c r="V43" s="24">
        <v>3.0864181518554687</v>
      </c>
      <c r="W43" s="24">
        <v>31.355042807092406</v>
      </c>
      <c r="X43" s="24">
        <v>15.455057922271502</v>
      </c>
      <c r="Y43" s="24">
        <v>13.202509880065918</v>
      </c>
      <c r="Z43" s="24">
        <v>0.67488068342208862</v>
      </c>
      <c r="AA43" s="24">
        <v>1.1072529533814897</v>
      </c>
      <c r="AB43" s="24">
        <v>6.6657772444446044</v>
      </c>
      <c r="AC43" s="24">
        <v>219.57952936995952</v>
      </c>
      <c r="AD43" s="24">
        <v>3.075164794921875</v>
      </c>
      <c r="AE43" s="24">
        <v>31.311200490762754</v>
      </c>
      <c r="AF43" s="24">
        <v>12.273127795866746</v>
      </c>
      <c r="AG43" s="24">
        <v>10.942517280578613</v>
      </c>
      <c r="AH43" s="24">
        <v>0.84119135141372681</v>
      </c>
      <c r="AI43" s="24">
        <v>1.1166684977696801</v>
      </c>
      <c r="AJ43" s="24">
        <v>6.7151533721812315</v>
      </c>
      <c r="AK43" s="24">
        <v>221.40831835495698</v>
      </c>
      <c r="AL43" s="24">
        <v>3.0723552703857422</v>
      </c>
      <c r="AM43" s="24">
        <v>31.300239911680343</v>
      </c>
      <c r="AN43" s="24">
        <v>8.5974242626244148</v>
      </c>
      <c r="AO43" s="24">
        <v>8.708500862121582</v>
      </c>
      <c r="AP43" s="24">
        <v>1.1266021728515625</v>
      </c>
      <c r="AQ43" s="24">
        <v>0.5</v>
      </c>
      <c r="AR43" s="24">
        <v>1</v>
      </c>
      <c r="AS43" s="24">
        <v>40</v>
      </c>
      <c r="AT43" s="24">
        <v>1.130249692439542</v>
      </c>
      <c r="AU43" s="24">
        <v>3.6191815960494407</v>
      </c>
      <c r="AV43" s="24">
        <v>244.15665642579737</v>
      </c>
      <c r="AW43" s="24">
        <v>1.5015895984438592</v>
      </c>
      <c r="AX43" s="24">
        <v>24.445309742948879</v>
      </c>
      <c r="AY43" s="24">
        <v>29.523907725177263</v>
      </c>
      <c r="AZ43" s="24">
        <v>23.773319244384766</v>
      </c>
      <c r="BA43" s="24">
        <v>31.987487896357099</v>
      </c>
      <c r="BB43" s="24">
        <v>0.41417744817688129</v>
      </c>
    </row>
    <row r="44" spans="2:67">
      <c r="B44" s="24">
        <f t="shared" si="33"/>
        <v>3</v>
      </c>
      <c r="C44" s="24">
        <v>1.0469958891891562</v>
      </c>
      <c r="D44" s="24">
        <v>6.3448324141565289</v>
      </c>
      <c r="E44" s="24">
        <v>192.23519748065013</v>
      </c>
      <c r="F44" s="24">
        <v>3.3434643745422363</v>
      </c>
      <c r="G44" s="24">
        <v>31.38244425479844</v>
      </c>
      <c r="H44" s="24">
        <v>20.47702658796873</v>
      </c>
      <c r="I44" s="24">
        <v>17.735509872436523</v>
      </c>
      <c r="J44" s="24">
        <v>0.59342259168624878</v>
      </c>
      <c r="K44" s="24">
        <v>1.0699846364725729</v>
      </c>
      <c r="L44" s="24">
        <v>6.4682727334980967</v>
      </c>
      <c r="M44" s="24">
        <v>196.38906116297966</v>
      </c>
      <c r="N44" s="24">
        <v>3.3364181518554687</v>
      </c>
      <c r="O44" s="24">
        <v>31.355042807092406</v>
      </c>
      <c r="P44" s="24">
        <v>17.913295638649839</v>
      </c>
      <c r="Q44" s="24">
        <v>15.216500282287598</v>
      </c>
      <c r="R44" s="24">
        <v>0.63196945190429688</v>
      </c>
      <c r="S44" s="24">
        <v>1.0932050937754676</v>
      </c>
      <c r="T44" s="24">
        <v>6.5917130528396637</v>
      </c>
      <c r="U44" s="24">
        <v>200.55991312082352</v>
      </c>
      <c r="V44" s="24">
        <v>3.3293819427490234</v>
      </c>
      <c r="W44" s="24">
        <v>31.327641359386377</v>
      </c>
      <c r="X44" s="24">
        <v>15.023467653310998</v>
      </c>
      <c r="Y44" s="24">
        <v>12.859501838684082</v>
      </c>
      <c r="Z44" s="24">
        <v>0.71273070573806763</v>
      </c>
      <c r="AA44" s="24">
        <v>1.1072529533814897</v>
      </c>
      <c r="AB44" s="24">
        <v>6.6657772444446044</v>
      </c>
      <c r="AC44" s="24">
        <v>203.07060846095374</v>
      </c>
      <c r="AD44" s="24">
        <v>3.325164794921875</v>
      </c>
      <c r="AE44" s="24">
        <v>31.311200490762754</v>
      </c>
      <c r="AF44" s="24">
        <v>11.761740069141078</v>
      </c>
      <c r="AG44" s="24">
        <v>10.613506317138672</v>
      </c>
      <c r="AH44" s="24">
        <v>0.82774519920349121</v>
      </c>
      <c r="AI44" s="24">
        <v>1.1213917636445527</v>
      </c>
      <c r="AJ44" s="24">
        <v>6.7398414360495451</v>
      </c>
      <c r="AK44" s="24">
        <v>205.58746091085979</v>
      </c>
      <c r="AL44" s="24">
        <v>3.3209512233734131</v>
      </c>
      <c r="AM44" s="24">
        <v>31.294759622139136</v>
      </c>
      <c r="AN44" s="24">
        <v>8.2405897701599642</v>
      </c>
      <c r="AO44" s="24">
        <v>8.5045156478881836</v>
      </c>
      <c r="AP44" s="24">
        <v>1.1188468933105469</v>
      </c>
      <c r="AQ44" s="24">
        <v>0.5</v>
      </c>
      <c r="AR44" s="24">
        <v>1</v>
      </c>
      <c r="AS44" s="24">
        <v>45</v>
      </c>
      <c r="AT44" s="24">
        <v>1.1097850859843092</v>
      </c>
      <c r="AU44" s="24">
        <v>3.512735078518574</v>
      </c>
      <c r="AV44" s="24">
        <v>235.98938424595809</v>
      </c>
      <c r="AW44" s="24">
        <v>1.5078647058253265</v>
      </c>
      <c r="AX44" s="24">
        <v>26.21360261960989</v>
      </c>
      <c r="AY44" s="24">
        <v>31.042279819253476</v>
      </c>
      <c r="AZ44" s="24">
        <v>26.997331619262695</v>
      </c>
      <c r="BA44" s="24">
        <v>32.011117037326748</v>
      </c>
      <c r="BB44" s="24">
        <v>0.42236338032277526</v>
      </c>
    </row>
    <row r="45" spans="2:67">
      <c r="B45" s="24">
        <f t="shared" si="33"/>
        <v>3.25</v>
      </c>
      <c r="C45" s="24">
        <v>1.0607626140251496</v>
      </c>
      <c r="D45" s="24">
        <v>6.4188966057614696</v>
      </c>
      <c r="E45" s="24">
        <v>181.16232226167475</v>
      </c>
      <c r="F45" s="24">
        <v>3.5892355442047119</v>
      </c>
      <c r="G45" s="24">
        <v>31.366003386174821</v>
      </c>
      <c r="H45" s="24">
        <v>19.942518351210737</v>
      </c>
      <c r="I45" s="24">
        <v>17.15850830078125</v>
      </c>
      <c r="J45" s="24">
        <v>0.58449023962020874</v>
      </c>
      <c r="K45" s="24">
        <v>1.0699846364725729</v>
      </c>
      <c r="L45" s="24">
        <v>6.4682727334980967</v>
      </c>
      <c r="M45" s="24">
        <v>182.69928399457041</v>
      </c>
      <c r="N45" s="24">
        <v>3.5864181518554687</v>
      </c>
      <c r="O45" s="24">
        <v>31.355042807092406</v>
      </c>
      <c r="P45" s="24">
        <v>17.282058543978657</v>
      </c>
      <c r="Q45" s="24">
        <v>14.66950511932373</v>
      </c>
      <c r="R45" s="24">
        <v>0.62810802459716797</v>
      </c>
      <c r="S45" s="24">
        <v>1.1025604046495283</v>
      </c>
      <c r="T45" s="24">
        <v>6.6410891805762917</v>
      </c>
      <c r="U45" s="24">
        <v>188.09706520712439</v>
      </c>
      <c r="V45" s="24">
        <v>3.5765700340270996</v>
      </c>
      <c r="W45" s="24">
        <v>31.316680780303962</v>
      </c>
      <c r="X45" s="24">
        <v>14.523844107471124</v>
      </c>
      <c r="Y45" s="24">
        <v>12.486510276794434</v>
      </c>
      <c r="Z45" s="24">
        <v>0.69737744331359863</v>
      </c>
      <c r="AA45" s="24">
        <v>1.1119556063944751</v>
      </c>
      <c r="AB45" s="24">
        <v>6.690465308312918</v>
      </c>
      <c r="AC45" s="24">
        <v>189.64456443819779</v>
      </c>
      <c r="AD45" s="24">
        <v>3.5737597942352295</v>
      </c>
      <c r="AE45" s="24">
        <v>31.305720201221547</v>
      </c>
      <c r="AF45" s="24">
        <v>11.316242174881893</v>
      </c>
      <c r="AG45" s="24">
        <v>10.329505920410156</v>
      </c>
      <c r="AH45" s="24">
        <v>0.86224400997161865</v>
      </c>
      <c r="AI45" s="24">
        <v>1.1308699739390309</v>
      </c>
      <c r="AJ45" s="24">
        <v>6.7892175637861731</v>
      </c>
      <c r="AK45" s="24">
        <v>192.74662061983366</v>
      </c>
      <c r="AL45" s="24">
        <v>3.5681443214416504</v>
      </c>
      <c r="AM45" s="24">
        <v>31.283799043056721</v>
      </c>
      <c r="AN45" s="24">
        <v>7.9341610664801792</v>
      </c>
      <c r="AO45" s="24">
        <v>8.3285207748413086</v>
      </c>
      <c r="AP45" s="24">
        <v>1.2103308439254761</v>
      </c>
      <c r="AQ45" s="24">
        <v>0.5</v>
      </c>
      <c r="AR45" s="24">
        <v>1</v>
      </c>
      <c r="AS45" s="24">
        <v>50</v>
      </c>
      <c r="AT45" s="24">
        <v>1.0895124220171024</v>
      </c>
      <c r="AU45" s="24">
        <v>3.4062885609877065</v>
      </c>
      <c r="AV45" s="24">
        <v>227.88866688008468</v>
      </c>
      <c r="AW45" s="24">
        <v>1.5141473946557602</v>
      </c>
      <c r="AX45" s="24">
        <v>27.707502818221371</v>
      </c>
      <c r="AY45" s="24">
        <v>32.291436876666026</v>
      </c>
      <c r="AZ45" s="24">
        <v>30.294321060180664</v>
      </c>
      <c r="BA45" s="24">
        <v>32.034746178296395</v>
      </c>
      <c r="BB45" s="24">
        <v>0.43113556037930101</v>
      </c>
    </row>
    <row r="46" spans="2:67">
      <c r="B46" s="24">
        <f t="shared" si="33"/>
        <v>3.5</v>
      </c>
      <c r="C46" s="24">
        <v>1.0699846364725729</v>
      </c>
      <c r="D46" s="24">
        <v>6.4682727334980967</v>
      </c>
      <c r="E46" s="24">
        <v>170.79369413802229</v>
      </c>
      <c r="F46" s="24">
        <v>3.8364181518554687</v>
      </c>
      <c r="G46" s="24">
        <v>31.355042807092406</v>
      </c>
      <c r="H46" s="24">
        <v>19.393412973473552</v>
      </c>
      <c r="I46" s="24">
        <v>16.596508026123047</v>
      </c>
      <c r="J46" s="24">
        <v>0.59047824144363403</v>
      </c>
      <c r="K46" s="24">
        <v>1.0978778281385975</v>
      </c>
      <c r="L46" s="24">
        <v>6.6164011167079773</v>
      </c>
      <c r="M46" s="24">
        <v>175.09030241104333</v>
      </c>
      <c r="N46" s="24">
        <v>3.8279757499694824</v>
      </c>
      <c r="O46" s="24">
        <v>31.322161069845169</v>
      </c>
      <c r="P46" s="24">
        <v>16.918809827684974</v>
      </c>
      <c r="Q46" s="24">
        <v>14.339505195617676</v>
      </c>
      <c r="R46" s="24">
        <v>0.63424235582351685</v>
      </c>
      <c r="S46" s="24">
        <v>1.1072529533814897</v>
      </c>
      <c r="T46" s="24">
        <v>6.6657772444446044</v>
      </c>
      <c r="U46" s="24">
        <v>176.52657438602427</v>
      </c>
      <c r="V46" s="24">
        <v>3.825164794921875</v>
      </c>
      <c r="W46" s="24">
        <v>31.311200490762754</v>
      </c>
      <c r="X46" s="24">
        <v>14.022578971696019</v>
      </c>
      <c r="Y46" s="24">
        <v>12.125515937805176</v>
      </c>
      <c r="Z46" s="24">
        <v>0.71097862720489502</v>
      </c>
      <c r="AA46" s="24">
        <v>1.1213917636445527</v>
      </c>
      <c r="AB46" s="24">
        <v>6.7645294999178587</v>
      </c>
      <c r="AC46" s="24">
        <v>179.40523870721015</v>
      </c>
      <c r="AD46" s="24">
        <v>3.8195476531982422</v>
      </c>
      <c r="AE46" s="24">
        <v>31.289279332597928</v>
      </c>
      <c r="AF46" s="24">
        <v>10.959520544364988</v>
      </c>
      <c r="AG46" s="24">
        <v>10.099504470825195</v>
      </c>
      <c r="AH46" s="24">
        <v>0.90389549732208252</v>
      </c>
      <c r="AI46" s="24">
        <v>1.1308699739390309</v>
      </c>
      <c r="AJ46" s="24">
        <v>6.7892175637861731</v>
      </c>
      <c r="AK46" s="24">
        <v>180.1261818807439</v>
      </c>
      <c r="AL46" s="24">
        <v>3.8181443214416504</v>
      </c>
      <c r="AM46" s="24">
        <v>31.283799043056721</v>
      </c>
      <c r="AN46" s="24">
        <v>7.6125463541808394</v>
      </c>
      <c r="AO46" s="24">
        <v>8.1505165100097656</v>
      </c>
      <c r="AP46" s="24">
        <v>1.203707218170166</v>
      </c>
      <c r="AQ46" s="24">
        <v>0.5</v>
      </c>
      <c r="AR46" s="24">
        <v>1</v>
      </c>
      <c r="AS46" s="24">
        <v>55</v>
      </c>
      <c r="AT46" s="24">
        <v>1.0594400459871385</v>
      </c>
      <c r="AU46" s="24">
        <v>3.2466187846914063</v>
      </c>
      <c r="AV46" s="24">
        <v>215.86084119977218</v>
      </c>
      <c r="AW46" s="24">
        <v>1.523585663158189</v>
      </c>
      <c r="AX46" s="24">
        <v>28.855085773088277</v>
      </c>
      <c r="AY46" s="24">
        <v>33.334129713906627</v>
      </c>
      <c r="AZ46" s="24">
        <v>33.334339141845703</v>
      </c>
      <c r="BA46" s="24">
        <v>32.070189889750864</v>
      </c>
      <c r="BB46" s="24">
        <v>0.42979944458864489</v>
      </c>
    </row>
    <row r="47" spans="2:67">
      <c r="B47" s="24">
        <f t="shared" si="33"/>
        <v>3.75</v>
      </c>
      <c r="C47" s="24">
        <v>1.0699846364725729</v>
      </c>
      <c r="D47" s="24">
        <v>6.4682727334980967</v>
      </c>
      <c r="E47" s="24">
        <v>160.34483110467576</v>
      </c>
      <c r="F47" s="24">
        <v>4.0864181518554687</v>
      </c>
      <c r="G47" s="24">
        <v>31.355042807092406</v>
      </c>
      <c r="H47" s="24">
        <v>18.786052819668313</v>
      </c>
      <c r="I47" s="24">
        <v>16.012489318847656</v>
      </c>
      <c r="J47" s="24">
        <v>0.56783491373062134</v>
      </c>
      <c r="K47" s="24">
        <v>1.1072529533814897</v>
      </c>
      <c r="L47" s="24">
        <v>6.6657772444446044</v>
      </c>
      <c r="M47" s="24">
        <v>165.69716110041298</v>
      </c>
      <c r="N47" s="24">
        <v>4.075164794921875</v>
      </c>
      <c r="O47" s="24">
        <v>31.311200490762754</v>
      </c>
      <c r="P47" s="24">
        <v>16.428303361492418</v>
      </c>
      <c r="Q47" s="24">
        <v>13.931513786315918</v>
      </c>
      <c r="R47" s="24">
        <v>0.6378791332244873</v>
      </c>
      <c r="S47" s="24">
        <v>1.1166684977696801</v>
      </c>
      <c r="T47" s="24">
        <v>6.7398414360495451</v>
      </c>
      <c r="U47" s="24">
        <v>167.71164619007814</v>
      </c>
      <c r="V47" s="24">
        <v>4.0709514617919922</v>
      </c>
      <c r="W47" s="24">
        <v>31.294759622139136</v>
      </c>
      <c r="X47" s="24">
        <v>13.622591073851844</v>
      </c>
      <c r="Y47" s="24">
        <v>11.836515426635742</v>
      </c>
      <c r="Z47" s="24">
        <v>0.72956424951553345</v>
      </c>
      <c r="AA47" s="24">
        <v>1.1261255422484671</v>
      </c>
      <c r="AB47" s="24">
        <v>6.7892175637861731</v>
      </c>
      <c r="AC47" s="24">
        <v>169.05687285509808</v>
      </c>
      <c r="AD47" s="24">
        <v>4.0681443214416504</v>
      </c>
      <c r="AE47" s="24">
        <v>31.283799043056721</v>
      </c>
      <c r="AF47" s="24">
        <v>10.575019938854192</v>
      </c>
      <c r="AG47" s="24">
        <v>9.8615131378173828</v>
      </c>
      <c r="AH47" s="24">
        <v>0.89443743228912354</v>
      </c>
      <c r="AI47" s="24">
        <v>1.1308699739390309</v>
      </c>
      <c r="AJ47" s="24">
        <v>6.7892175637861731</v>
      </c>
      <c r="AK47" s="24">
        <v>169.05687285509808</v>
      </c>
      <c r="AL47" s="24">
        <v>4.0681443214416504</v>
      </c>
      <c r="AM47" s="24">
        <v>31.283799043056721</v>
      </c>
      <c r="AN47" s="24">
        <v>7.3153291128460474</v>
      </c>
      <c r="AO47" s="24">
        <v>7.987513542175293</v>
      </c>
      <c r="AP47" s="24">
        <v>1.1977834701538086</v>
      </c>
      <c r="AQ47" s="24">
        <v>0.5</v>
      </c>
      <c r="AR47" s="24">
        <v>1</v>
      </c>
      <c r="AS47" s="24">
        <v>60</v>
      </c>
      <c r="AT47" s="24">
        <v>1.0396023781425443</v>
      </c>
      <c r="AU47" s="24">
        <v>3.1401722671605392</v>
      </c>
      <c r="AV47" s="24">
        <v>207.92344714500402</v>
      </c>
      <c r="AW47" s="24">
        <v>1.5298873457091293</v>
      </c>
      <c r="AX47" s="24">
        <v>29.941431940640243</v>
      </c>
      <c r="AY47" s="24">
        <v>34.215735131675153</v>
      </c>
      <c r="AZ47" s="24">
        <v>36.66131591796875</v>
      </c>
      <c r="BA47" s="24">
        <v>32.09381903072051</v>
      </c>
      <c r="BB47" s="24">
        <v>0.43769301167549629</v>
      </c>
    </row>
    <row r="48" spans="2:67">
      <c r="B48" s="24">
        <f t="shared" si="33"/>
        <v>4</v>
      </c>
      <c r="C48" s="24">
        <v>1.0885420734398328</v>
      </c>
      <c r="D48" s="24">
        <v>6.5670249889713519</v>
      </c>
      <c r="E48" s="24">
        <v>153.60705335729807</v>
      </c>
      <c r="F48" s="24">
        <v>4.3307881355285645</v>
      </c>
      <c r="G48" s="24">
        <v>31.33312164892758</v>
      </c>
      <c r="H48" s="24">
        <v>18.374627650599159</v>
      </c>
      <c r="I48" s="24">
        <v>15.612506866455078</v>
      </c>
      <c r="J48" s="24">
        <v>0.58162790536880493</v>
      </c>
      <c r="K48" s="24">
        <v>1.1119556063944751</v>
      </c>
      <c r="L48" s="24">
        <v>6.7151533721812315</v>
      </c>
      <c r="M48" s="24">
        <v>157.37832219819097</v>
      </c>
      <c r="N48" s="24">
        <v>4.3223552703857422</v>
      </c>
      <c r="O48" s="24">
        <v>31.300239911680343</v>
      </c>
      <c r="P48" s="24">
        <v>15.965796894537275</v>
      </c>
      <c r="Q48" s="24">
        <v>13.557515144348145</v>
      </c>
      <c r="R48" s="24">
        <v>0.6439206600189209</v>
      </c>
      <c r="S48" s="24">
        <v>1.1213917636445527</v>
      </c>
      <c r="T48" s="24">
        <v>6.7645294999178587</v>
      </c>
      <c r="U48" s="24">
        <v>158.63856847086106</v>
      </c>
      <c r="V48" s="24">
        <v>4.3195476531982422</v>
      </c>
      <c r="W48" s="24">
        <v>31.289279332597928</v>
      </c>
      <c r="X48" s="24">
        <v>13.182292000429943</v>
      </c>
      <c r="Y48" s="24">
        <v>11.532515525817871</v>
      </c>
      <c r="Z48" s="24">
        <v>0.74979418516159058</v>
      </c>
      <c r="AA48" s="24">
        <v>1.1308699739390309</v>
      </c>
      <c r="AB48" s="24">
        <v>6.8139056276544858</v>
      </c>
      <c r="AC48" s="24">
        <v>159.90039596636325</v>
      </c>
      <c r="AD48" s="24">
        <v>4.3167414665222168</v>
      </c>
      <c r="AE48" s="24">
        <v>31.278318753515517</v>
      </c>
      <c r="AF48" s="24">
        <v>10.218158077255756</v>
      </c>
      <c r="AG48" s="24">
        <v>9.6435108184814453</v>
      </c>
      <c r="AH48" s="24">
        <v>0.9424700140953064</v>
      </c>
      <c r="AI48" s="24">
        <v>1.1356252012390415</v>
      </c>
      <c r="AJ48" s="24">
        <v>6.8385936915227994</v>
      </c>
      <c r="AK48" s="24">
        <v>160.53190321606351</v>
      </c>
      <c r="AL48" s="24">
        <v>4.3153386116027832</v>
      </c>
      <c r="AM48" s="24">
        <v>31.27283846397431</v>
      </c>
      <c r="AN48" s="24">
        <v>7.079091492025877</v>
      </c>
      <c r="AO48" s="24">
        <v>7.8545145988464355</v>
      </c>
      <c r="AP48" s="24">
        <v>1.1929608583450317</v>
      </c>
      <c r="AQ48" s="24">
        <v>0.5</v>
      </c>
      <c r="AR48" s="24">
        <v>1</v>
      </c>
      <c r="AS48" s="24">
        <v>65</v>
      </c>
      <c r="AT48" s="24">
        <v>1.0199228088852375</v>
      </c>
      <c r="AU48" s="24">
        <v>3.0337257496296721</v>
      </c>
      <c r="AV48" s="24">
        <v>200.05018242591527</v>
      </c>
      <c r="AW48" s="24">
        <v>1.5361966418165827</v>
      </c>
      <c r="AX48" s="24">
        <v>30.873656310205309</v>
      </c>
      <c r="AY48" s="24">
        <v>34.969852694120505</v>
      </c>
      <c r="AZ48" s="24">
        <v>39.987319946289063</v>
      </c>
      <c r="BA48" s="24">
        <v>32.117448171690157</v>
      </c>
      <c r="BB48" s="24">
        <v>0.44758054981006923</v>
      </c>
    </row>
    <row r="49" spans="2:54">
      <c r="B49" s="24">
        <f t="shared" si="33"/>
        <v>4.25</v>
      </c>
      <c r="C49" s="24">
        <v>1.0978778281385975</v>
      </c>
      <c r="D49" s="24">
        <v>6.6410891805762917</v>
      </c>
      <c r="E49" s="24">
        <v>146.99705750251229</v>
      </c>
      <c r="F49" s="24">
        <v>4.5765700340270996</v>
      </c>
      <c r="G49" s="24">
        <v>31.316680780303962</v>
      </c>
      <c r="H49" s="24">
        <v>17.945655207256127</v>
      </c>
      <c r="I49" s="24">
        <v>15.21351432800293</v>
      </c>
      <c r="J49" s="24">
        <v>0.58161646127700806</v>
      </c>
      <c r="K49" s="24">
        <v>1.1119556063944751</v>
      </c>
      <c r="L49" s="24">
        <v>6.690465308312918</v>
      </c>
      <c r="M49" s="24">
        <v>148.18096131091167</v>
      </c>
      <c r="N49" s="24">
        <v>4.5737600326538086</v>
      </c>
      <c r="O49" s="24">
        <v>31.305720201221547</v>
      </c>
      <c r="P49" s="24">
        <v>15.415644276207138</v>
      </c>
      <c r="Q49" s="24">
        <v>13.13850212097168</v>
      </c>
      <c r="R49" s="24">
        <v>0.64918702840805054</v>
      </c>
      <c r="S49" s="24">
        <v>1.1261255422484671</v>
      </c>
      <c r="T49" s="24">
        <v>6.7892175637861731</v>
      </c>
      <c r="U49" s="24">
        <v>150.55298320973023</v>
      </c>
      <c r="V49" s="24">
        <v>4.5681443214416504</v>
      </c>
      <c r="W49" s="24">
        <v>31.283799043056721</v>
      </c>
      <c r="X49" s="24">
        <v>12.770415241971371</v>
      </c>
      <c r="Y49" s="24">
        <v>11.253522872924805</v>
      </c>
      <c r="Z49" s="24">
        <v>0.73875027894973755</v>
      </c>
      <c r="AA49" s="24">
        <v>1.1308699739390309</v>
      </c>
      <c r="AB49" s="24">
        <v>6.8139056276544858</v>
      </c>
      <c r="AC49" s="24">
        <v>151.14686767698643</v>
      </c>
      <c r="AD49" s="24">
        <v>4.5667414665222168</v>
      </c>
      <c r="AE49" s="24">
        <v>31.278318753515517</v>
      </c>
      <c r="AF49" s="24">
        <v>9.8587889440006897</v>
      </c>
      <c r="AG49" s="24">
        <v>9.4295082092285156</v>
      </c>
      <c r="AH49" s="24">
        <v>0.93413406610488892</v>
      </c>
      <c r="AI49" s="24">
        <v>1.1403913688740999</v>
      </c>
      <c r="AJ49" s="24">
        <v>6.8632817553911121</v>
      </c>
      <c r="AK49" s="24">
        <v>152.33569262452053</v>
      </c>
      <c r="AL49" s="24">
        <v>4.563936710357666</v>
      </c>
      <c r="AM49" s="24">
        <v>31.267358174433102</v>
      </c>
      <c r="AN49" s="24">
        <v>6.8406544549620945</v>
      </c>
      <c r="AO49" s="24">
        <v>7.7235150337219238</v>
      </c>
      <c r="AP49" s="24">
        <v>1.3050611019134521</v>
      </c>
      <c r="AQ49" s="24">
        <v>0.5</v>
      </c>
      <c r="AR49" s="24">
        <v>1</v>
      </c>
      <c r="AS49" s="24">
        <v>35</v>
      </c>
      <c r="AT49" s="24">
        <v>1.1648133244908656</v>
      </c>
      <c r="AU49" s="24">
        <v>3.7965924586008861</v>
      </c>
      <c r="AV49" s="24">
        <v>257.91862346094234</v>
      </c>
      <c r="AW49" s="24">
        <v>1.491147908962497</v>
      </c>
      <c r="AX49" s="24">
        <v>22.513375305130573</v>
      </c>
      <c r="AY49" s="24">
        <v>27.64775071088421</v>
      </c>
      <c r="AZ49" s="24">
        <v>20.853328704833984</v>
      </c>
      <c r="BA49" s="24">
        <v>31.94810599474102</v>
      </c>
      <c r="BB49" s="24">
        <v>0.42845123048002043</v>
      </c>
    </row>
    <row r="50" spans="2:54">
      <c r="B50" s="15"/>
      <c r="AQ50" s="24">
        <v>0.5</v>
      </c>
      <c r="AR50" s="24">
        <v>1</v>
      </c>
      <c r="AS50" s="24">
        <v>30</v>
      </c>
      <c r="AT50" s="24">
        <v>1.1999957814953597</v>
      </c>
      <c r="AU50" s="24">
        <v>3.9740033211523316</v>
      </c>
      <c r="AV50" s="24">
        <v>271.87083032080079</v>
      </c>
      <c r="AW50" s="24">
        <v>1.4807272113661945</v>
      </c>
      <c r="AX50" s="24">
        <v>20.175386557019202</v>
      </c>
      <c r="AY50" s="24">
        <v>25.289810450918225</v>
      </c>
      <c r="AZ50" s="24">
        <v>17.973329544067383</v>
      </c>
      <c r="BA50" s="24">
        <v>31.908724093124942</v>
      </c>
      <c r="BB50" s="24">
        <v>0.44534323186655794</v>
      </c>
    </row>
    <row r="51" spans="2:54">
      <c r="B51" s="15"/>
      <c r="AQ51" s="24">
        <v>0.5</v>
      </c>
      <c r="AR51" s="24">
        <v>1</v>
      </c>
      <c r="AS51" s="24">
        <v>25</v>
      </c>
      <c r="AT51" s="24">
        <v>1.2250252457099409</v>
      </c>
      <c r="AU51" s="24">
        <v>4.0981909249383435</v>
      </c>
      <c r="AV51" s="24">
        <v>281.75241491145658</v>
      </c>
      <c r="AW51" s="24">
        <v>1.4734451906178623</v>
      </c>
      <c r="AX51" s="24">
        <v>17.245716817079391</v>
      </c>
      <c r="AY51" s="24">
        <v>22.279331255542363</v>
      </c>
      <c r="AZ51" s="24">
        <v>15.079322814941406</v>
      </c>
      <c r="BA51" s="24">
        <v>31.881156761993687</v>
      </c>
      <c r="BB51" s="24">
        <v>0.49482664985319746</v>
      </c>
    </row>
    <row r="52" spans="2:54">
      <c r="B52" s="15"/>
      <c r="AQ52" s="24">
        <v>0.5</v>
      </c>
      <c r="AR52" s="24">
        <v>1</v>
      </c>
      <c r="AS52" s="24">
        <v>20</v>
      </c>
      <c r="AT52" s="24">
        <v>1.2504128738940823</v>
      </c>
      <c r="AU52" s="24">
        <v>4.2223785287243549</v>
      </c>
      <c r="AV52" s="24">
        <v>291.73011794026399</v>
      </c>
      <c r="AW52" s="24">
        <v>1.4661734207619952</v>
      </c>
      <c r="AX52" s="24">
        <v>13.807789409166521</v>
      </c>
      <c r="AY52" s="24">
        <v>18.409671690008654</v>
      </c>
      <c r="AZ52" s="24">
        <v>12.329334259033203</v>
      </c>
      <c r="BA52" s="24">
        <v>31.853589430862431</v>
      </c>
      <c r="BB52" s="24">
        <v>0.56251176197696551</v>
      </c>
    </row>
    <row r="53" spans="2:54">
      <c r="B53" s="15"/>
      <c r="AQ53" s="24">
        <v>0.5</v>
      </c>
      <c r="AR53" s="24">
        <v>1</v>
      </c>
      <c r="AS53" s="24">
        <v>15</v>
      </c>
      <c r="AT53" s="24">
        <v>1.2650898719947823</v>
      </c>
      <c r="AU53" s="24">
        <v>4.2933428737449324</v>
      </c>
      <c r="AV53" s="24">
        <v>297.47529021654719</v>
      </c>
      <c r="AW53" s="24">
        <v>1.4620227205888756</v>
      </c>
      <c r="AX53" s="24">
        <v>9.7881384166964391</v>
      </c>
      <c r="AY53" s="24">
        <v>13.529003892104253</v>
      </c>
      <c r="AZ53" s="24">
        <v>9.6683149337768555</v>
      </c>
      <c r="BA53" s="24">
        <v>31.837836670216003</v>
      </c>
      <c r="BB53" s="24">
        <v>0.71600516629372302</v>
      </c>
    </row>
    <row r="54" spans="2:54">
      <c r="B54" s="15"/>
      <c r="AQ54" s="24" t="s">
        <v>255</v>
      </c>
      <c r="AR54" s="24" t="s">
        <v>233</v>
      </c>
      <c r="AS54" s="24"/>
      <c r="AT54" s="24" t="s">
        <v>154</v>
      </c>
      <c r="AU54" s="24" t="s">
        <v>155</v>
      </c>
      <c r="AV54" s="24" t="s">
        <v>156</v>
      </c>
      <c r="AW54" s="24" t="s">
        <v>159</v>
      </c>
      <c r="AX54" s="24" t="s">
        <v>157</v>
      </c>
      <c r="AY54" s="24" t="s">
        <v>279</v>
      </c>
      <c r="AZ54" s="24" t="s">
        <v>160</v>
      </c>
      <c r="BA54" s="24" t="s">
        <v>280</v>
      </c>
      <c r="BB54" s="24" t="s">
        <v>265</v>
      </c>
    </row>
    <row r="55" spans="2:54">
      <c r="B55" s="15"/>
      <c r="AQ55">
        <v>1</v>
      </c>
      <c r="AR55" s="24">
        <v>1</v>
      </c>
      <c r="AS55" s="24">
        <v>40</v>
      </c>
      <c r="AT55" s="24">
        <v>1.5249314955537654</v>
      </c>
      <c r="AU55" s="24">
        <v>2.4364794153086384</v>
      </c>
      <c r="AV55" s="24">
        <v>157.03337692591427</v>
      </c>
      <c r="AW55" s="24">
        <v>1.5717382482783164</v>
      </c>
      <c r="AX55" s="24">
        <v>20.543497727473742</v>
      </c>
      <c r="AY55" s="24">
        <v>26.776195823786622</v>
      </c>
      <c r="AZ55" s="24">
        <v>18.798131942749023</v>
      </c>
      <c r="BA55" s="24">
        <v>32.250025715367755</v>
      </c>
      <c r="BB55" s="24">
        <v>0.22103426029258177</v>
      </c>
    </row>
    <row r="56" spans="2:54">
      <c r="B56" s="15"/>
      <c r="AQ56" s="24">
        <v>1</v>
      </c>
      <c r="AR56" s="24">
        <v>1</v>
      </c>
      <c r="AS56" s="24">
        <v>45</v>
      </c>
      <c r="AT56" s="24">
        <v>1.5053418199674222</v>
      </c>
      <c r="AU56" s="24">
        <v>2.3603394335802435</v>
      </c>
      <c r="AV56" s="24">
        <v>151.68712620023848</v>
      </c>
      <c r="AW56" s="24">
        <v>1.5762866013167485</v>
      </c>
      <c r="AX56" s="24">
        <v>22.359042018774261</v>
      </c>
      <c r="AY56" s="24">
        <v>28.58814967424912</v>
      </c>
      <c r="AZ56" s="24">
        <v>21.109128952026367</v>
      </c>
      <c r="BA56" s="24">
        <v>32.26692737080392</v>
      </c>
      <c r="BB56" s="24">
        <v>0.21615057097239937</v>
      </c>
    </row>
    <row r="57" spans="2:54">
      <c r="B57" s="15"/>
      <c r="AQ57" s="24">
        <v>1</v>
      </c>
      <c r="AR57" s="24">
        <v>1</v>
      </c>
      <c r="AS57" s="24">
        <v>50</v>
      </c>
      <c r="AT57" s="24">
        <v>1.4752012176954996</v>
      </c>
      <c r="AU57" s="24">
        <v>2.2406908908641947</v>
      </c>
      <c r="AV57" s="24">
        <v>143.34721052839342</v>
      </c>
      <c r="AW57" s="24">
        <v>1.5834419547325869</v>
      </c>
      <c r="AX57" s="24">
        <v>23.73450237068073</v>
      </c>
      <c r="AY57" s="24">
        <v>30.097642424463562</v>
      </c>
      <c r="AZ57" s="24">
        <v>23.165121078491211</v>
      </c>
      <c r="BA57" s="24">
        <v>32.293487115060756</v>
      </c>
      <c r="BB57" s="24">
        <v>0.19952973410833943</v>
      </c>
    </row>
    <row r="58" spans="2:54">
      <c r="B58" s="15"/>
      <c r="AQ58" s="24">
        <v>1</v>
      </c>
      <c r="AR58" s="24">
        <v>1</v>
      </c>
      <c r="AS58" s="24">
        <v>55</v>
      </c>
      <c r="AT58" s="24">
        <v>1.4752012176954996</v>
      </c>
      <c r="AU58" s="24">
        <v>2.2406908908641947</v>
      </c>
      <c r="AV58" s="24">
        <v>143.34721052839342</v>
      </c>
      <c r="AW58" s="24">
        <v>1.5834419547325869</v>
      </c>
      <c r="AX58" s="24">
        <v>25.48876296001988</v>
      </c>
      <c r="AY58" s="24">
        <v>31.365788300232243</v>
      </c>
      <c r="AZ58" s="24">
        <v>26.181146621704102</v>
      </c>
      <c r="BA58" s="24">
        <v>32.293487115060756</v>
      </c>
      <c r="BB58" s="24">
        <v>0.20879205718626226</v>
      </c>
    </row>
    <row r="59" spans="2:54">
      <c r="B59" s="15"/>
      <c r="AQ59" s="24">
        <v>1</v>
      </c>
      <c r="AR59" s="24">
        <v>1</v>
      </c>
      <c r="AS59" s="24">
        <v>60</v>
      </c>
      <c r="AT59" s="24">
        <v>1.4698029047007863</v>
      </c>
      <c r="AU59" s="24">
        <v>2.2189366103703674</v>
      </c>
      <c r="AV59" s="24">
        <v>141.83886017915984</v>
      </c>
      <c r="AW59" s="24">
        <v>1.5847439717620104</v>
      </c>
      <c r="AX59" s="24">
        <v>26.953363999780589</v>
      </c>
      <c r="AY59" s="24">
        <v>32.440429112390753</v>
      </c>
      <c r="AZ59" s="24">
        <v>29.201128005981445</v>
      </c>
      <c r="BA59" s="24">
        <v>32.298316159471092</v>
      </c>
      <c r="BB59" s="24">
        <v>0.21490539187392818</v>
      </c>
    </row>
    <row r="60" spans="2:54">
      <c r="AQ60" s="24">
        <v>1</v>
      </c>
      <c r="AR60" s="24">
        <v>1</v>
      </c>
      <c r="AS60" s="24">
        <v>65</v>
      </c>
      <c r="AT60" s="24">
        <v>1.4300395552382532</v>
      </c>
      <c r="AU60" s="24">
        <v>2.0557795066666635</v>
      </c>
      <c r="AV60" s="24">
        <v>130.60391168501715</v>
      </c>
      <c r="AW60" s="24">
        <v>1.5945193473804924</v>
      </c>
      <c r="AX60" s="24">
        <v>27.585295763067144</v>
      </c>
      <c r="AY60" s="24">
        <v>33.359741476646697</v>
      </c>
      <c r="AZ60" s="24">
        <v>30.767129898071289</v>
      </c>
      <c r="BA60" s="24">
        <v>32.334533992548586</v>
      </c>
      <c r="BB60" s="24">
        <v>0.19742479047716296</v>
      </c>
    </row>
    <row r="61" spans="2:54">
      <c r="AQ61" s="24">
        <v>1</v>
      </c>
      <c r="AR61" s="24">
        <v>1</v>
      </c>
      <c r="AS61" s="24">
        <v>35</v>
      </c>
      <c r="AT61" s="24">
        <v>1.5448623940229773</v>
      </c>
      <c r="AU61" s="24">
        <v>2.5126193970370334</v>
      </c>
      <c r="AV61" s="24">
        <v>162.41025288171636</v>
      </c>
      <c r="AW61" s="24">
        <v>1.5671938218409456</v>
      </c>
      <c r="AX61" s="24">
        <v>18.474405201175028</v>
      </c>
      <c r="AY61" s="24">
        <v>24.585170974604541</v>
      </c>
      <c r="AZ61" s="24">
        <v>16.56513786315918</v>
      </c>
      <c r="BA61" s="24">
        <v>32.23312405993159</v>
      </c>
      <c r="BB61" s="24">
        <v>0.23505472951609041</v>
      </c>
    </row>
    <row r="62" spans="2:54">
      <c r="B62" s="19" t="s">
        <v>243</v>
      </c>
      <c r="C62">
        <v>50</v>
      </c>
      <c r="J62" s="19" t="s">
        <v>243</v>
      </c>
      <c r="K62">
        <v>150</v>
      </c>
      <c r="AQ62" s="24">
        <v>1</v>
      </c>
      <c r="AR62" s="24">
        <v>1</v>
      </c>
      <c r="AS62" s="24">
        <v>30</v>
      </c>
      <c r="AT62" s="24">
        <v>1.5651552209023152</v>
      </c>
      <c r="AU62" s="24">
        <v>2.5887593787654284</v>
      </c>
      <c r="AV62" s="24">
        <v>167.81798108706556</v>
      </c>
      <c r="AW62" s="24">
        <v>1.5626533186147951</v>
      </c>
      <c r="AX62" s="24">
        <v>16.133363620764683</v>
      </c>
      <c r="AY62" s="24">
        <v>21.926864751588951</v>
      </c>
      <c r="AZ62" s="24">
        <v>14.419133186340332</v>
      </c>
      <c r="BA62" s="24">
        <v>32.216222404495426</v>
      </c>
      <c r="BB62" s="24">
        <v>0.26790616029433906</v>
      </c>
    </row>
    <row r="63" spans="2:54">
      <c r="B63" s="19" t="s">
        <v>232</v>
      </c>
      <c r="C63">
        <v>275</v>
      </c>
      <c r="J63" s="19" t="s">
        <v>232</v>
      </c>
      <c r="K63">
        <v>613</v>
      </c>
      <c r="AQ63" s="24">
        <v>1</v>
      </c>
      <c r="AR63" s="24">
        <v>1</v>
      </c>
      <c r="AS63" s="24">
        <v>25</v>
      </c>
      <c r="AT63" s="24">
        <v>1.5651552209023152</v>
      </c>
      <c r="AU63" s="24">
        <v>2.5887593787654284</v>
      </c>
      <c r="AV63" s="24">
        <v>167.81798108706556</v>
      </c>
      <c r="AW63" s="24">
        <v>1.5626533186147951</v>
      </c>
      <c r="AX63" s="24">
        <v>13.263109018765681</v>
      </c>
      <c r="AY63" s="24">
        <v>18.718468488649059</v>
      </c>
      <c r="AZ63" s="24">
        <v>12.191129684448242</v>
      </c>
      <c r="BA63" s="24">
        <v>32.216222404495426</v>
      </c>
      <c r="BB63" s="24">
        <v>0.30398789834909784</v>
      </c>
    </row>
    <row r="64" spans="2:54">
      <c r="B64" s="19" t="s">
        <v>148</v>
      </c>
      <c r="C64">
        <v>40</v>
      </c>
      <c r="D64">
        <v>15</v>
      </c>
      <c r="E64">
        <v>65</v>
      </c>
      <c r="F64">
        <v>15</v>
      </c>
      <c r="G64">
        <v>40</v>
      </c>
      <c r="H64">
        <v>65</v>
      </c>
      <c r="J64" s="19" t="s">
        <v>148</v>
      </c>
      <c r="K64">
        <v>40</v>
      </c>
      <c r="L64">
        <v>15</v>
      </c>
      <c r="M64">
        <v>65</v>
      </c>
      <c r="N64">
        <v>15</v>
      </c>
      <c r="O64">
        <v>40</v>
      </c>
      <c r="P64">
        <v>65</v>
      </c>
      <c r="AQ64" s="24">
        <v>1</v>
      </c>
      <c r="AR64" s="24">
        <v>1</v>
      </c>
      <c r="AS64" s="24">
        <v>20</v>
      </c>
      <c r="AT64" s="24">
        <v>1.5798845731386042</v>
      </c>
      <c r="AU64" s="24">
        <v>2.6431450799999965</v>
      </c>
      <c r="AV64" s="24">
        <v>171.69966012260542</v>
      </c>
      <c r="AW64" s="24">
        <v>1.55941250211449</v>
      </c>
      <c r="AX64" s="24">
        <v>10.357850003725471</v>
      </c>
      <c r="AY64" s="24">
        <v>14.916799120776602</v>
      </c>
      <c r="AZ64" s="24">
        <v>10.224136352539062</v>
      </c>
      <c r="BA64" s="24">
        <v>32.20414979346959</v>
      </c>
      <c r="BB64" s="24">
        <v>0.37511647131011122</v>
      </c>
    </row>
    <row r="65" spans="2:54">
      <c r="B65" s="2" t="s">
        <v>93</v>
      </c>
      <c r="C65" t="s">
        <v>156</v>
      </c>
      <c r="F65" s="19" t="s">
        <v>244</v>
      </c>
      <c r="J65" s="2" t="s">
        <v>93</v>
      </c>
      <c r="K65" t="s">
        <v>156</v>
      </c>
      <c r="N65" s="19" t="s">
        <v>244</v>
      </c>
      <c r="AQ65" s="24">
        <v>1</v>
      </c>
      <c r="AR65" s="24">
        <v>1</v>
      </c>
      <c r="AS65" s="24">
        <v>15</v>
      </c>
      <c r="AT65" s="24">
        <v>1.5948200917924518</v>
      </c>
      <c r="AU65" s="24">
        <v>2.6975307812345641</v>
      </c>
      <c r="AV65" s="24">
        <v>175.59728126590349</v>
      </c>
      <c r="AW65" s="24">
        <v>1.5561736842910985</v>
      </c>
      <c r="AX65" s="24">
        <v>7.2244355427732563</v>
      </c>
      <c r="AY65" s="24">
        <v>10.562695754750777</v>
      </c>
      <c r="AZ65" s="24">
        <v>8.3341302871704102</v>
      </c>
      <c r="BA65" s="24">
        <v>32.192077182443754</v>
      </c>
      <c r="BB65" s="24">
        <v>0.51250794853451931</v>
      </c>
    </row>
    <row r="66" spans="2:54">
      <c r="B66">
        <v>0.25</v>
      </c>
      <c r="C66">
        <v>291.38168858466173</v>
      </c>
      <c r="D66">
        <v>417.87948453912799</v>
      </c>
      <c r="E66">
        <v>225.98225789776956</v>
      </c>
      <c r="F66">
        <f>100*(D66/C66-1)</f>
        <v>43.413090427510511</v>
      </c>
      <c r="G66">
        <f>100*(C66/C66-1)</f>
        <v>0</v>
      </c>
      <c r="H66">
        <f>100*(E66/C66-1)</f>
        <v>-22.444591835732396</v>
      </c>
      <c r="J66">
        <v>0.25</v>
      </c>
      <c r="K66">
        <v>980.67738598985011</v>
      </c>
      <c r="L66">
        <v>1930.5774223087099</v>
      </c>
      <c r="M66">
        <v>673.15320995982529</v>
      </c>
      <c r="N66">
        <f>100*(L66/K66-1)</f>
        <v>96.861623393107493</v>
      </c>
      <c r="O66">
        <f>100*(K66/K66-1)</f>
        <v>0</v>
      </c>
      <c r="P66">
        <f>100*(M66/K66-1)</f>
        <v>-31.358342756076119</v>
      </c>
      <c r="AQ66" s="24" t="s">
        <v>255</v>
      </c>
      <c r="AR66" s="24" t="s">
        <v>233</v>
      </c>
      <c r="AS66" s="24"/>
      <c r="AT66" s="24" t="s">
        <v>154</v>
      </c>
      <c r="AU66" s="24" t="s">
        <v>155</v>
      </c>
      <c r="AV66" s="24" t="s">
        <v>156</v>
      </c>
      <c r="AW66" s="24" t="s">
        <v>159</v>
      </c>
      <c r="AX66" s="24" t="s">
        <v>157</v>
      </c>
      <c r="AY66" s="24" t="s">
        <v>279</v>
      </c>
      <c r="AZ66" s="24" t="s">
        <v>160</v>
      </c>
      <c r="BA66" s="24" t="s">
        <v>280</v>
      </c>
      <c r="BB66" s="24" t="s">
        <v>265</v>
      </c>
    </row>
    <row r="67" spans="2:54">
      <c r="B67">
        <v>0.5</v>
      </c>
      <c r="C67">
        <v>235.87404448832609</v>
      </c>
      <c r="D67">
        <v>320.01506854502401</v>
      </c>
      <c r="E67">
        <v>188.53414721732349</v>
      </c>
      <c r="F67">
        <f t="shared" ref="F67:F80" si="34">100*(D67/C67-1)</f>
        <v>35.6720147989247</v>
      </c>
      <c r="G67">
        <f t="shared" ref="G67:G80" si="35">100*(C67/C67-1)</f>
        <v>0</v>
      </c>
      <c r="H67">
        <f t="shared" ref="H67:H80" si="36">100*(E67/C67-1)</f>
        <v>-20.069990054944576</v>
      </c>
      <c r="J67">
        <v>0.5</v>
      </c>
      <c r="K67">
        <v>738.67348546501739</v>
      </c>
      <c r="L67">
        <v>1195.5006430397088</v>
      </c>
      <c r="M67">
        <v>531.07885536727883</v>
      </c>
      <c r="N67">
        <f t="shared" ref="N67:N80" si="37">100*(L67/K67-1)</f>
        <v>61.844260903327928</v>
      </c>
      <c r="O67">
        <f t="shared" ref="O67:O80" si="38">100*(K67/K67-1)</f>
        <v>0</v>
      </c>
      <c r="P67">
        <f t="shared" ref="P67:P80" si="39">100*(M67/K67-1)</f>
        <v>-28.103706736820456</v>
      </c>
      <c r="AQ67" s="24">
        <v>1.5</v>
      </c>
      <c r="AR67" s="24">
        <v>1</v>
      </c>
      <c r="AS67" s="24">
        <v>40</v>
      </c>
      <c r="AT67" s="24">
        <v>1.9398664787619193</v>
      </c>
      <c r="AU67" s="24">
        <v>1.3193998796707849</v>
      </c>
      <c r="AV67" s="24">
        <v>81.553543937526172</v>
      </c>
      <c r="AW67" s="24">
        <v>1.638864497575196</v>
      </c>
      <c r="AX67" s="24">
        <v>13.719451213009009</v>
      </c>
      <c r="AY67" s="24">
        <v>20.444485398898973</v>
      </c>
      <c r="AZ67" s="24">
        <v>12.735754013061523</v>
      </c>
      <c r="BA67" s="24">
        <v>32.497996531456131</v>
      </c>
      <c r="BB67" s="24">
        <v>0.12557559865406925</v>
      </c>
    </row>
    <row r="68" spans="2:54">
      <c r="B68" s="15">
        <v>0.75</v>
      </c>
      <c r="C68">
        <v>199.94545346060303</v>
      </c>
      <c r="D68">
        <v>254.64261107032971</v>
      </c>
      <c r="E68">
        <v>160.30870921761004</v>
      </c>
      <c r="F68">
        <f t="shared" si="34"/>
        <v>27.356039691347188</v>
      </c>
      <c r="G68">
        <f t="shared" si="35"/>
        <v>0</v>
      </c>
      <c r="H68">
        <f t="shared" si="36"/>
        <v>-19.823778714129624</v>
      </c>
      <c r="J68" s="15">
        <v>0.75</v>
      </c>
      <c r="K68">
        <v>590.51557378456675</v>
      </c>
      <c r="L68">
        <v>888.51520817152436</v>
      </c>
      <c r="M68">
        <v>443.01543263975202</v>
      </c>
      <c r="N68">
        <f t="shared" si="37"/>
        <v>50.464314171614809</v>
      </c>
      <c r="O68">
        <f t="shared" si="38"/>
        <v>0</v>
      </c>
      <c r="P68">
        <f t="shared" si="39"/>
        <v>-24.978196629006444</v>
      </c>
      <c r="AQ68" s="24">
        <v>1.5</v>
      </c>
      <c r="AR68" s="24">
        <v>1</v>
      </c>
      <c r="AS68" s="24">
        <v>45</v>
      </c>
      <c r="AT68" s="24">
        <v>1.9398664787619193</v>
      </c>
      <c r="AU68" s="24">
        <v>1.3193998796707849</v>
      </c>
      <c r="AV68" s="24">
        <v>81.553543937526172</v>
      </c>
      <c r="AW68" s="24">
        <v>1.638864497575196</v>
      </c>
      <c r="AX68" s="24">
        <v>15.521031798994603</v>
      </c>
      <c r="AY68" s="24">
        <v>22.607207994879449</v>
      </c>
      <c r="AZ68" s="24">
        <v>14.156802177429199</v>
      </c>
      <c r="BA68" s="24">
        <v>32.497996531456131</v>
      </c>
      <c r="BB68" s="24">
        <v>0.11333282749434709</v>
      </c>
    </row>
    <row r="69" spans="2:54">
      <c r="B69" s="15">
        <v>1</v>
      </c>
      <c r="C69">
        <v>171.48100914825662</v>
      </c>
      <c r="D69">
        <v>217.91955216752899</v>
      </c>
      <c r="E69">
        <v>139.25956669650512</v>
      </c>
      <c r="F69">
        <f t="shared" si="34"/>
        <v>27.080866417763616</v>
      </c>
      <c r="G69">
        <f t="shared" si="35"/>
        <v>0</v>
      </c>
      <c r="H69">
        <f t="shared" si="36"/>
        <v>-18.790093790440633</v>
      </c>
      <c r="J69" s="15">
        <v>1</v>
      </c>
      <c r="K69">
        <v>493.2139045378384</v>
      </c>
      <c r="L69">
        <v>689.77918219147728</v>
      </c>
      <c r="M69">
        <v>380.4326215099793</v>
      </c>
      <c r="N69">
        <f t="shared" si="37"/>
        <v>39.8539610998657</v>
      </c>
      <c r="O69">
        <f t="shared" si="38"/>
        <v>0</v>
      </c>
      <c r="P69">
        <f t="shared" si="39"/>
        <v>-22.866606555534918</v>
      </c>
      <c r="AQ69" s="24">
        <v>1.5</v>
      </c>
      <c r="AR69" s="24">
        <v>1</v>
      </c>
      <c r="AS69" s="24">
        <v>50</v>
      </c>
      <c r="AT69" s="24">
        <v>1.9398664787619193</v>
      </c>
      <c r="AU69" s="24">
        <v>1.3193998796707849</v>
      </c>
      <c r="AV69" s="24">
        <v>81.553543937526172</v>
      </c>
      <c r="AW69" s="24">
        <v>1.638864497575196</v>
      </c>
      <c r="AX69" s="24">
        <v>17.266573037811735</v>
      </c>
      <c r="AY69" s="24">
        <v>24.544406057808118</v>
      </c>
      <c r="AZ69" s="24">
        <v>15.686776161193848</v>
      </c>
      <c r="BA69" s="24">
        <v>32.497996531456131</v>
      </c>
      <c r="BB69" s="24">
        <v>0.10474901606506534</v>
      </c>
    </row>
    <row r="70" spans="2:54">
      <c r="B70" s="15">
        <v>1.25</v>
      </c>
      <c r="C70">
        <v>153.39390313679183</v>
      </c>
      <c r="D70">
        <v>188.06152743192573</v>
      </c>
      <c r="E70">
        <v>126.18044447255744</v>
      </c>
      <c r="F70">
        <f t="shared" si="34"/>
        <v>22.600392575067609</v>
      </c>
      <c r="G70">
        <f t="shared" si="35"/>
        <v>0</v>
      </c>
      <c r="H70">
        <f t="shared" si="36"/>
        <v>-17.740899806145684</v>
      </c>
      <c r="J70" s="15">
        <v>1.25</v>
      </c>
      <c r="K70">
        <v>428.73466654210017</v>
      </c>
      <c r="L70">
        <v>574.93906242505318</v>
      </c>
      <c r="M70">
        <v>337.7134468165425</v>
      </c>
      <c r="N70">
        <f t="shared" si="37"/>
        <v>34.101370216256186</v>
      </c>
      <c r="O70">
        <f t="shared" si="38"/>
        <v>0</v>
      </c>
      <c r="P70">
        <f t="shared" si="39"/>
        <v>-21.230198262173815</v>
      </c>
      <c r="AQ70" s="24">
        <v>1.5</v>
      </c>
      <c r="AR70" s="24">
        <v>1</v>
      </c>
      <c r="AS70" s="24">
        <v>55</v>
      </c>
      <c r="AT70" s="24">
        <v>1.9398664787619193</v>
      </c>
      <c r="AU70" s="24">
        <v>1.3193998796707849</v>
      </c>
      <c r="AV70" s="24">
        <v>81.553543937526172</v>
      </c>
      <c r="AW70" s="24">
        <v>1.638864497575196</v>
      </c>
      <c r="AX70" s="24">
        <v>18.947919645746765</v>
      </c>
      <c r="AY70" s="24">
        <v>26.264029439423165</v>
      </c>
      <c r="AZ70" s="24">
        <v>17.342803955078125</v>
      </c>
      <c r="BA70" s="24">
        <v>32.497996531456131</v>
      </c>
      <c r="BB70" s="24">
        <v>0.10079560669739332</v>
      </c>
    </row>
    <row r="71" spans="2:54">
      <c r="B71" s="15">
        <v>1.5</v>
      </c>
      <c r="C71">
        <v>138.20578609461347</v>
      </c>
      <c r="D71">
        <v>166.14735054980946</v>
      </c>
      <c r="E71">
        <v>114.72178294002438</v>
      </c>
      <c r="F71">
        <f t="shared" si="34"/>
        <v>20.217362271697969</v>
      </c>
      <c r="G71">
        <f t="shared" si="35"/>
        <v>0</v>
      </c>
      <c r="H71">
        <f t="shared" si="36"/>
        <v>-16.992054976998084</v>
      </c>
      <c r="J71" s="15">
        <v>1.5</v>
      </c>
      <c r="K71">
        <v>377.5560958672022</v>
      </c>
      <c r="L71">
        <v>490.51032594244043</v>
      </c>
      <c r="M71">
        <v>301.86668532620979</v>
      </c>
      <c r="N71">
        <f t="shared" si="37"/>
        <v>29.917204704587164</v>
      </c>
      <c r="O71">
        <f t="shared" si="38"/>
        <v>0</v>
      </c>
      <c r="P71">
        <f t="shared" si="39"/>
        <v>-20.047195998025856</v>
      </c>
      <c r="AQ71" s="24">
        <v>1.5</v>
      </c>
      <c r="AR71" s="24">
        <v>1</v>
      </c>
      <c r="AS71" s="24">
        <v>60</v>
      </c>
      <c r="AT71" s="24">
        <v>1.9351796133743004</v>
      </c>
      <c r="AU71" s="24">
        <v>1.3087164798353943</v>
      </c>
      <c r="AV71" s="24">
        <v>80.861313399431907</v>
      </c>
      <c r="AW71" s="24">
        <v>1.6395105871265361</v>
      </c>
      <c r="AX71" s="24">
        <v>20.448391085905349</v>
      </c>
      <c r="AY71" s="24">
        <v>27.782909640115452</v>
      </c>
      <c r="AZ71" s="24">
        <v>19.014760971069336</v>
      </c>
      <c r="BA71" s="24">
        <v>32.500368046904462</v>
      </c>
      <c r="BB71" s="24">
        <v>9.6049037897275383E-2</v>
      </c>
    </row>
    <row r="72" spans="2:54">
      <c r="B72" s="15">
        <v>2</v>
      </c>
      <c r="C72">
        <v>115.821501528696</v>
      </c>
      <c r="D72">
        <v>137.51166482386139</v>
      </c>
      <c r="E72">
        <v>97.436798794969562</v>
      </c>
      <c r="F72">
        <f t="shared" si="34"/>
        <v>18.727233725070835</v>
      </c>
      <c r="G72">
        <f t="shared" si="35"/>
        <v>0</v>
      </c>
      <c r="H72">
        <f t="shared" si="36"/>
        <v>-15.873307193458752</v>
      </c>
      <c r="J72" s="15">
        <v>2</v>
      </c>
      <c r="K72">
        <v>306.24579377624838</v>
      </c>
      <c r="L72">
        <v>375.08197645796798</v>
      </c>
      <c r="M72">
        <v>253.6841277888594</v>
      </c>
      <c r="N72">
        <f t="shared" si="37"/>
        <v>22.477429594351662</v>
      </c>
      <c r="O72">
        <f t="shared" si="38"/>
        <v>0</v>
      </c>
      <c r="P72">
        <f t="shared" si="39"/>
        <v>-17.163228705695133</v>
      </c>
      <c r="AQ72" s="24">
        <v>1.5</v>
      </c>
      <c r="AR72" s="24">
        <v>1</v>
      </c>
      <c r="AS72" s="24">
        <v>65</v>
      </c>
      <c r="AT72" s="24">
        <v>1.909934332678366</v>
      </c>
      <c r="AU72" s="24">
        <v>1.2499577807407436</v>
      </c>
      <c r="AV72" s="24">
        <v>77.063710951160914</v>
      </c>
      <c r="AW72" s="24">
        <v>1.6430654795391715</v>
      </c>
      <c r="AX72" s="24">
        <v>21.337286894784331</v>
      </c>
      <c r="AY72" s="24">
        <v>29.120739251402462</v>
      </c>
      <c r="AZ72" s="24">
        <v>20.125785827636719</v>
      </c>
      <c r="BA72" s="24">
        <v>32.513411381870284</v>
      </c>
      <c r="BB72" s="24">
        <v>8.8768939426226337E-2</v>
      </c>
    </row>
    <row r="73" spans="2:54">
      <c r="B73" s="15">
        <v>2.5</v>
      </c>
      <c r="C73">
        <v>98.890998641009887</v>
      </c>
      <c r="D73">
        <v>115.42693356357465</v>
      </c>
      <c r="E73">
        <v>85.97109594641212</v>
      </c>
      <c r="F73">
        <f t="shared" si="34"/>
        <v>16.721375200783296</v>
      </c>
      <c r="G73">
        <f t="shared" si="35"/>
        <v>0</v>
      </c>
      <c r="H73">
        <f t="shared" si="36"/>
        <v>-13.064791408871379</v>
      </c>
      <c r="J73" s="15">
        <v>2.5</v>
      </c>
      <c r="K73">
        <v>261.56951619709156</v>
      </c>
      <c r="L73">
        <v>308.83877709890214</v>
      </c>
      <c r="M73">
        <v>219.88333913191624</v>
      </c>
      <c r="N73">
        <f t="shared" si="37"/>
        <v>18.071395164485992</v>
      </c>
      <c r="O73">
        <f t="shared" si="38"/>
        <v>0</v>
      </c>
      <c r="P73">
        <f t="shared" si="39"/>
        <v>-15.936940080496598</v>
      </c>
      <c r="AQ73" s="24">
        <v>1.5</v>
      </c>
      <c r="AR73" s="24">
        <v>1</v>
      </c>
      <c r="AS73" s="24">
        <v>35</v>
      </c>
      <c r="AT73" s="24">
        <v>1.9398664787619193</v>
      </c>
      <c r="AU73" s="24">
        <v>1.3193998796707849</v>
      </c>
      <c r="AV73" s="24">
        <v>81.553543937526172</v>
      </c>
      <c r="AW73" s="24">
        <v>1.638864497575196</v>
      </c>
      <c r="AX73" s="24">
        <v>11.871034086877115</v>
      </c>
      <c r="AY73" s="24">
        <v>18.054562624007509</v>
      </c>
      <c r="AZ73" s="24">
        <v>11.40778636932373</v>
      </c>
      <c r="BA73" s="24">
        <v>32.497996531456131</v>
      </c>
      <c r="BB73" s="24">
        <v>0.14238811309323776</v>
      </c>
    </row>
    <row r="74" spans="2:54">
      <c r="B74" s="15">
        <v>3</v>
      </c>
      <c r="C74">
        <v>87.850368791368112</v>
      </c>
      <c r="D74">
        <v>98.99337256295091</v>
      </c>
      <c r="E74">
        <v>76.904490968923682</v>
      </c>
      <c r="F74">
        <f t="shared" si="34"/>
        <v>12.684071706114075</v>
      </c>
      <c r="G74">
        <f t="shared" si="35"/>
        <v>0</v>
      </c>
      <c r="H74">
        <f t="shared" si="36"/>
        <v>-12.459683406041588</v>
      </c>
      <c r="J74" s="15">
        <v>3</v>
      </c>
      <c r="K74">
        <v>228.43495751439306</v>
      </c>
      <c r="L74">
        <v>267.06199718158183</v>
      </c>
      <c r="M74">
        <v>196.44986797331896</v>
      </c>
      <c r="N74">
        <f t="shared" si="37"/>
        <v>16.909425810957579</v>
      </c>
      <c r="O74">
        <f t="shared" si="38"/>
        <v>0</v>
      </c>
      <c r="P74">
        <f t="shared" si="39"/>
        <v>-14.001836623039098</v>
      </c>
      <c r="AQ74" s="24">
        <v>1.5</v>
      </c>
      <c r="AR74" s="24">
        <v>1</v>
      </c>
      <c r="AS74" s="24">
        <v>30</v>
      </c>
      <c r="AT74" s="24">
        <v>1.9398664787619193</v>
      </c>
      <c r="AU74" s="24">
        <v>1.3193998796707849</v>
      </c>
      <c r="AV74" s="24">
        <v>81.553543937526172</v>
      </c>
      <c r="AW74" s="24">
        <v>1.638864497575196</v>
      </c>
      <c r="AX74" s="24">
        <v>9.9847413314722306</v>
      </c>
      <c r="AY74" s="24">
        <v>15.454316185510237</v>
      </c>
      <c r="AZ74" s="24">
        <v>10.158785820007324</v>
      </c>
      <c r="BA74" s="24">
        <v>32.497996531456131</v>
      </c>
      <c r="BB74" s="24">
        <v>0.16452077613420266</v>
      </c>
    </row>
    <row r="75" spans="2:54">
      <c r="B75" s="15">
        <v>3.5</v>
      </c>
      <c r="C75">
        <v>78.032155097698435</v>
      </c>
      <c r="D75">
        <v>87.649719637675204</v>
      </c>
      <c r="E75">
        <v>69.346196549263141</v>
      </c>
      <c r="F75">
        <f t="shared" si="34"/>
        <v>12.325129977424453</v>
      </c>
      <c r="G75">
        <f t="shared" si="35"/>
        <v>0</v>
      </c>
      <c r="H75">
        <f t="shared" si="36"/>
        <v>-11.131255490201742</v>
      </c>
      <c r="J75" s="15">
        <v>3.5</v>
      </c>
      <c r="K75">
        <v>204.38565892367541</v>
      </c>
      <c r="L75">
        <v>223.79837212442774</v>
      </c>
      <c r="M75">
        <v>177.18966061343485</v>
      </c>
      <c r="N75">
        <f t="shared" si="37"/>
        <v>9.4980799058909113</v>
      </c>
      <c r="O75">
        <f t="shared" si="38"/>
        <v>0</v>
      </c>
      <c r="P75">
        <f t="shared" si="39"/>
        <v>-13.306216519034963</v>
      </c>
      <c r="AQ75" s="24">
        <v>1.5</v>
      </c>
      <c r="AR75" s="24">
        <v>1</v>
      </c>
      <c r="AS75" s="24">
        <v>25</v>
      </c>
      <c r="AT75" s="24">
        <v>1.9398664787619193</v>
      </c>
      <c r="AU75" s="24">
        <v>1.3193998796707849</v>
      </c>
      <c r="AV75" s="24">
        <v>81.553543937526172</v>
      </c>
      <c r="AW75" s="24">
        <v>1.638864497575196</v>
      </c>
      <c r="AX75" s="24">
        <v>8.0651687276550525</v>
      </c>
      <c r="AY75" s="24">
        <v>12.668313361001935</v>
      </c>
      <c r="AZ75" s="24">
        <v>8.9748039245605469</v>
      </c>
      <c r="BA75" s="24">
        <v>32.497996531456131</v>
      </c>
      <c r="BB75" s="24">
        <v>0.19193754490644965</v>
      </c>
    </row>
    <row r="76" spans="2:54">
      <c r="B76" s="15">
        <v>4</v>
      </c>
      <c r="C76">
        <v>70.452560991353735</v>
      </c>
      <c r="D76">
        <v>79.621223211154643</v>
      </c>
      <c r="E76">
        <v>64.184348423496473</v>
      </c>
      <c r="F76">
        <f t="shared" si="34"/>
        <v>13.013951644605415</v>
      </c>
      <c r="G76">
        <f t="shared" si="35"/>
        <v>0</v>
      </c>
      <c r="H76">
        <f t="shared" si="36"/>
        <v>-8.897068438188537</v>
      </c>
      <c r="J76" s="15">
        <v>4</v>
      </c>
      <c r="K76">
        <v>176.95243721739658</v>
      </c>
      <c r="L76">
        <v>201.06001630619014</v>
      </c>
      <c r="M76">
        <v>160.70289903070537</v>
      </c>
      <c r="N76">
        <f t="shared" si="37"/>
        <v>13.623762106862625</v>
      </c>
      <c r="O76">
        <f t="shared" si="38"/>
        <v>0</v>
      </c>
      <c r="P76">
        <f t="shared" si="39"/>
        <v>-9.1829976700053546</v>
      </c>
      <c r="AQ76" s="24">
        <v>1.5</v>
      </c>
      <c r="AR76" s="24">
        <v>1</v>
      </c>
      <c r="AS76" s="24">
        <v>20</v>
      </c>
      <c r="AT76" s="24">
        <v>1.9398664787619193</v>
      </c>
      <c r="AU76" s="24">
        <v>1.3193998796707849</v>
      </c>
      <c r="AV76" s="24">
        <v>81.553543937526172</v>
      </c>
      <c r="AW76" s="24">
        <v>1.638864497575196</v>
      </c>
      <c r="AX76" s="24">
        <v>6.117694414048346</v>
      </c>
      <c r="AY76" s="24">
        <v>9.7305321054847642</v>
      </c>
      <c r="AZ76" s="24">
        <v>7.8457980155944824</v>
      </c>
      <c r="BA76" s="24">
        <v>32.497996531456131</v>
      </c>
      <c r="BB76" s="24">
        <v>0.26099121066121378</v>
      </c>
    </row>
    <row r="77" spans="2:54">
      <c r="B77" s="15">
        <v>4.5</v>
      </c>
      <c r="C77">
        <v>65.049796592527997</v>
      </c>
      <c r="D77">
        <v>73.239655223081058</v>
      </c>
      <c r="E77">
        <v>59.443371938932508</v>
      </c>
      <c r="F77">
        <f t="shared" si="34"/>
        <v>12.590137186522421</v>
      </c>
      <c r="G77">
        <f t="shared" si="35"/>
        <v>0</v>
      </c>
      <c r="H77">
        <f t="shared" si="36"/>
        <v>-8.6186659256048728</v>
      </c>
      <c r="J77" s="15">
        <v>4.5</v>
      </c>
      <c r="K77">
        <v>160.48061784684532</v>
      </c>
      <c r="L77">
        <v>186.62975847577133</v>
      </c>
      <c r="M77">
        <v>147.73944424925472</v>
      </c>
      <c r="N77">
        <f t="shared" si="37"/>
        <v>16.294267170557287</v>
      </c>
      <c r="O77">
        <f t="shared" si="38"/>
        <v>0</v>
      </c>
      <c r="P77">
        <f t="shared" si="39"/>
        <v>-7.9393846861619988</v>
      </c>
      <c r="AQ77" s="24">
        <v>1.5</v>
      </c>
      <c r="AR77" s="24">
        <v>1</v>
      </c>
      <c r="AS77" s="24">
        <v>15</v>
      </c>
      <c r="AT77" s="24">
        <v>1.9398664787619193</v>
      </c>
      <c r="AU77" s="24">
        <v>1.3193998796707849</v>
      </c>
      <c r="AV77" s="24">
        <v>81.553543937526172</v>
      </c>
      <c r="AW77" s="24">
        <v>1.638864497575196</v>
      </c>
      <c r="AX77" s="24">
        <v>4.1463143751387541</v>
      </c>
      <c r="AY77" s="24">
        <v>6.6693275911985479</v>
      </c>
      <c r="AZ77" s="24">
        <v>6.7637653350830078</v>
      </c>
      <c r="BA77" s="24">
        <v>32.497996531456131</v>
      </c>
      <c r="BB77" s="24">
        <v>0.38347312520834392</v>
      </c>
    </row>
    <row r="78" spans="2:54">
      <c r="B78" s="15">
        <v>5</v>
      </c>
      <c r="C78">
        <v>60.080315094492256</v>
      </c>
      <c r="D78">
        <v>65.188886186753678</v>
      </c>
      <c r="E78">
        <v>55.014174510150596</v>
      </c>
      <c r="F78">
        <f t="shared" si="34"/>
        <v>8.5029032957414366</v>
      </c>
      <c r="G78">
        <f t="shared" si="35"/>
        <v>0</v>
      </c>
      <c r="H78">
        <f t="shared" si="36"/>
        <v>-8.4322803173948238</v>
      </c>
      <c r="J78" s="15">
        <v>5</v>
      </c>
      <c r="K78">
        <v>147.24952337115747</v>
      </c>
      <c r="L78">
        <v>167.59937034409671</v>
      </c>
      <c r="M78">
        <v>137.27875656023784</v>
      </c>
      <c r="N78">
        <f t="shared" si="37"/>
        <v>13.819974765993216</v>
      </c>
      <c r="O78">
        <f t="shared" si="38"/>
        <v>0</v>
      </c>
      <c r="P78">
        <f t="shared" si="39"/>
        <v>-6.7713406350302989</v>
      </c>
    </row>
    <row r="79" spans="2:54">
      <c r="B79" s="15">
        <v>5.5</v>
      </c>
      <c r="C79">
        <v>54.411359002380429</v>
      </c>
      <c r="D79">
        <v>61.651025773599159</v>
      </c>
      <c r="E79">
        <v>51.334808480823213</v>
      </c>
      <c r="F79">
        <f t="shared" si="34"/>
        <v>13.305432733084288</v>
      </c>
      <c r="G79">
        <f t="shared" si="35"/>
        <v>0</v>
      </c>
      <c r="H79">
        <f t="shared" si="36"/>
        <v>-5.6542431175494512</v>
      </c>
      <c r="J79" s="15">
        <v>5.5</v>
      </c>
      <c r="K79">
        <v>136.38838539835692</v>
      </c>
      <c r="L79">
        <v>148.13450516262571</v>
      </c>
      <c r="M79">
        <v>127.37953587655699</v>
      </c>
      <c r="N79">
        <f t="shared" si="37"/>
        <v>8.6122580965829911</v>
      </c>
      <c r="O79">
        <f t="shared" si="38"/>
        <v>0</v>
      </c>
      <c r="P79">
        <f t="shared" si="39"/>
        <v>-6.6052908357902336</v>
      </c>
    </row>
    <row r="80" spans="2:54">
      <c r="B80" s="15">
        <v>6</v>
      </c>
      <c r="C80">
        <v>50.113672931093575</v>
      </c>
      <c r="D80">
        <v>57.231007077477393</v>
      </c>
      <c r="E80">
        <v>48.22971929013098</v>
      </c>
      <c r="F80">
        <f t="shared" si="34"/>
        <v>14.202379770028362</v>
      </c>
      <c r="G80">
        <f t="shared" si="35"/>
        <v>0</v>
      </c>
      <c r="H80">
        <f t="shared" si="36"/>
        <v>-3.75936053131255</v>
      </c>
      <c r="J80" s="15">
        <v>6</v>
      </c>
      <c r="K80">
        <v>126.13348338521564</v>
      </c>
      <c r="L80">
        <v>140.40945035867941</v>
      </c>
      <c r="M80">
        <v>119.0974557896556</v>
      </c>
      <c r="N80">
        <f t="shared" si="37"/>
        <v>11.318142169961742</v>
      </c>
      <c r="O80">
        <f t="shared" si="38"/>
        <v>0</v>
      </c>
      <c r="P80">
        <f t="shared" si="39"/>
        <v>-5.5782393435308446</v>
      </c>
    </row>
    <row r="83" spans="2:37">
      <c r="B83" t="s">
        <v>245</v>
      </c>
    </row>
    <row r="84" spans="2:37">
      <c r="B84" s="24" t="s">
        <v>258</v>
      </c>
      <c r="C84" s="24" t="s">
        <v>232</v>
      </c>
      <c r="D84">
        <v>820</v>
      </c>
      <c r="P84" s="20"/>
    </row>
    <row r="85" spans="2:37">
      <c r="B85" t="s">
        <v>246</v>
      </c>
      <c r="C85" s="24" t="s">
        <v>257</v>
      </c>
      <c r="D85">
        <v>977.7</v>
      </c>
      <c r="E85">
        <v>95028.7</v>
      </c>
      <c r="U85" s="24" t="s">
        <v>253</v>
      </c>
      <c r="X85" s="20"/>
      <c r="AC85" s="24" t="s">
        <v>253</v>
      </c>
      <c r="AH85" s="20"/>
    </row>
    <row r="86" spans="2:37">
      <c r="B86" t="s">
        <v>247</v>
      </c>
      <c r="L86" t="s">
        <v>248</v>
      </c>
      <c r="U86" s="24" t="s">
        <v>254</v>
      </c>
      <c r="AB86" s="26"/>
      <c r="AC86" s="24" t="s">
        <v>248</v>
      </c>
    </row>
    <row r="87" spans="2:37">
      <c r="B87" s="2" t="s">
        <v>93</v>
      </c>
      <c r="C87" s="24" t="s">
        <v>154</v>
      </c>
      <c r="D87" s="24" t="s">
        <v>155</v>
      </c>
      <c r="E87" s="24" t="s">
        <v>156</v>
      </c>
      <c r="F87" s="24" t="s">
        <v>159</v>
      </c>
      <c r="G87" s="24" t="s">
        <v>238</v>
      </c>
      <c r="H87" s="24" t="s">
        <v>157</v>
      </c>
      <c r="I87" s="24" t="s">
        <v>160</v>
      </c>
      <c r="J87" s="24"/>
      <c r="L87" s="24" t="s">
        <v>154</v>
      </c>
      <c r="M87" s="24" t="s">
        <v>155</v>
      </c>
      <c r="N87" s="24" t="s">
        <v>156</v>
      </c>
      <c r="O87" s="24" t="s">
        <v>159</v>
      </c>
      <c r="P87" s="24" t="s">
        <v>238</v>
      </c>
      <c r="Q87" s="24" t="s">
        <v>157</v>
      </c>
      <c r="R87" s="24" t="s">
        <v>160</v>
      </c>
      <c r="S87" s="24"/>
      <c r="T87" s="21"/>
      <c r="U87" s="24" t="s">
        <v>154</v>
      </c>
      <c r="V87" s="24" t="s">
        <v>155</v>
      </c>
      <c r="W87" s="24" t="s">
        <v>156</v>
      </c>
      <c r="X87" s="24" t="s">
        <v>159</v>
      </c>
      <c r="Y87" s="24" t="s">
        <v>238</v>
      </c>
      <c r="Z87" s="24" t="s">
        <v>157</v>
      </c>
      <c r="AA87" s="24" t="s">
        <v>160</v>
      </c>
      <c r="AB87" s="24"/>
      <c r="AC87" s="24" t="s">
        <v>154</v>
      </c>
      <c r="AD87" s="24" t="s">
        <v>155</v>
      </c>
      <c r="AE87" s="24" t="s">
        <v>156</v>
      </c>
      <c r="AF87" s="24" t="s">
        <v>159</v>
      </c>
      <c r="AG87" s="24" t="s">
        <v>238</v>
      </c>
      <c r="AH87" s="24" t="s">
        <v>157</v>
      </c>
      <c r="AI87" s="24" t="s">
        <v>160</v>
      </c>
      <c r="AJ87" s="24"/>
    </row>
    <row r="88" spans="2:37">
      <c r="B88" s="26">
        <v>0.1</v>
      </c>
      <c r="C88" s="24">
        <v>0.60272193705145249</v>
      </c>
      <c r="D88" s="24">
        <v>5.0360396510288874</v>
      </c>
      <c r="E88" s="24">
        <v>983.36201849780718</v>
      </c>
      <c r="F88" s="24">
        <v>0.51878231763839722</v>
      </c>
      <c r="G88" s="24">
        <v>31.672971828351141</v>
      </c>
      <c r="H88" s="24">
        <v>42.457380825956953</v>
      </c>
      <c r="I88" s="24">
        <v>33.002490997314453</v>
      </c>
      <c r="L88" s="24">
        <v>0.5216394820374024</v>
      </c>
      <c r="M88" s="24">
        <v>1.0070045688888676</v>
      </c>
      <c r="N88" s="24">
        <v>134.61468101302438</v>
      </c>
      <c r="O88" s="24">
        <v>0.75778931379318237</v>
      </c>
      <c r="P88" s="24">
        <v>32.567342441599017</v>
      </c>
      <c r="Q88" s="24">
        <v>7.0983173482912996</v>
      </c>
      <c r="R88" s="24">
        <v>31.454517364501953</v>
      </c>
      <c r="T88" s="20"/>
      <c r="U88" s="24">
        <v>0.5874651196774322</v>
      </c>
      <c r="V88" s="24">
        <v>4.9226453807407955</v>
      </c>
      <c r="W88" s="24">
        <v>949.18406043595405</v>
      </c>
      <c r="X88" s="24">
        <v>0.52536064386367798</v>
      </c>
      <c r="Y88" s="24">
        <v>31.698143240609603</v>
      </c>
      <c r="Z88" s="24">
        <v>42.30469159624964</v>
      </c>
      <c r="AA88" s="24">
        <v>32.776340484619141</v>
      </c>
      <c r="AB88" s="24"/>
      <c r="AC88" s="24">
        <v>0.51415005588452922</v>
      </c>
      <c r="AD88" s="24">
        <v>0.99624268799997717</v>
      </c>
      <c r="AE88" s="24">
        <v>133.06136386606573</v>
      </c>
      <c r="AF88" s="24">
        <v>0.75844240188598633</v>
      </c>
      <c r="AG88" s="24">
        <v>32.569731378357837</v>
      </c>
      <c r="AH88" s="24">
        <v>7.0884504002826576</v>
      </c>
      <c r="AI88" s="24">
        <v>31.366786956787109</v>
      </c>
      <c r="AJ88" s="24"/>
      <c r="AK88" s="24"/>
    </row>
    <row r="89" spans="2:37">
      <c r="B89" s="26">
        <v>0.15</v>
      </c>
      <c r="C89" s="24">
        <v>0.6394873186862482</v>
      </c>
      <c r="D89" s="24">
        <v>5.3695522106996743</v>
      </c>
      <c r="E89" s="24">
        <v>989.9041462854799</v>
      </c>
      <c r="F89" s="24">
        <v>0.54948312044143677</v>
      </c>
      <c r="G89" s="24">
        <v>31.598938262885092</v>
      </c>
      <c r="H89" s="24">
        <v>42.568899556066214</v>
      </c>
      <c r="I89" s="24">
        <v>33.030494689941406</v>
      </c>
      <c r="J89" s="24"/>
      <c r="L89" s="24">
        <v>0.55397794456736393</v>
      </c>
      <c r="M89" s="24">
        <v>1.0761880888888662</v>
      </c>
      <c r="N89" s="24">
        <v>135.66312329498945</v>
      </c>
      <c r="O89" s="24">
        <v>0.80359238386154175</v>
      </c>
      <c r="P89" s="24">
        <v>32.551984991006606</v>
      </c>
      <c r="Q89" s="24">
        <v>7.1084423289276097</v>
      </c>
      <c r="R89" s="24">
        <v>31.507501602172852</v>
      </c>
      <c r="S89" s="24"/>
      <c r="T89" s="20"/>
      <c r="U89" s="24">
        <v>0.62001310887791106</v>
      </c>
      <c r="V89" s="24">
        <v>5.2228066844445014</v>
      </c>
      <c r="W89" s="24">
        <v>948.21284141251033</v>
      </c>
      <c r="X89" s="24">
        <v>0.55796575546264648</v>
      </c>
      <c r="Y89" s="24">
        <v>31.631513031690158</v>
      </c>
      <c r="Z89" s="24">
        <v>42.382109726381763</v>
      </c>
      <c r="AA89" s="24">
        <v>32.756351470947266</v>
      </c>
      <c r="AB89" s="24"/>
      <c r="AC89" s="24">
        <v>0.54777207000482064</v>
      </c>
      <c r="AD89" s="24">
        <v>1.0654262079999757</v>
      </c>
      <c r="AE89" s="24">
        <v>134.19750414168226</v>
      </c>
      <c r="AF89" s="24">
        <v>0.8042449951171875</v>
      </c>
      <c r="AG89" s="24">
        <v>32.554373927765425</v>
      </c>
      <c r="AH89" s="24">
        <v>7.0992300163115232</v>
      </c>
      <c r="AI89" s="24">
        <v>31.425786972045898</v>
      </c>
      <c r="AJ89" s="24"/>
      <c r="AK89" s="24"/>
    </row>
    <row r="90" spans="2:37">
      <c r="B90" s="26">
        <v>0.2</v>
      </c>
      <c r="C90" s="24">
        <v>0.67646183264348014</v>
      </c>
      <c r="D90" s="24">
        <v>5.6697135144033846</v>
      </c>
      <c r="E90" s="24">
        <v>986.54320544364589</v>
      </c>
      <c r="F90" s="24">
        <v>0.58217620849609375</v>
      </c>
      <c r="G90" s="24">
        <v>31.532308053965643</v>
      </c>
      <c r="H90" s="24">
        <v>42.636078782631394</v>
      </c>
      <c r="I90" s="24">
        <v>32.995487213134766</v>
      </c>
      <c r="J90" s="24"/>
      <c r="L90" s="24">
        <v>0.58643743864194964</v>
      </c>
      <c r="M90" s="24">
        <v>1.1376845511110871</v>
      </c>
      <c r="N90" s="24">
        <v>135.60683402951952</v>
      </c>
      <c r="O90" s="24">
        <v>0.84986460208892822</v>
      </c>
      <c r="P90" s="24">
        <v>32.538333923813354</v>
      </c>
      <c r="Q90" s="24">
        <v>7.1118117479654108</v>
      </c>
      <c r="R90" s="24">
        <v>31.500505447387695</v>
      </c>
      <c r="S90" s="24"/>
      <c r="T90" s="20"/>
      <c r="U90" s="24">
        <v>0.65185788203377748</v>
      </c>
      <c r="V90" s="24">
        <v>5.4629357274074666</v>
      </c>
      <c r="W90" s="24">
        <v>931.49710021577448</v>
      </c>
      <c r="X90" s="24">
        <v>0.59409242868423462</v>
      </c>
      <c r="Y90" s="24">
        <v>31.578208864554604</v>
      </c>
      <c r="Z90" s="24">
        <v>42.382279408929094</v>
      </c>
      <c r="AA90" s="24">
        <v>32.626331329345703</v>
      </c>
      <c r="AB90" s="24"/>
      <c r="AC90" s="24">
        <v>0.57431110360736637</v>
      </c>
      <c r="AD90" s="24">
        <v>1.1207730239999742</v>
      </c>
      <c r="AE90" s="24">
        <v>133.43014758696893</v>
      </c>
      <c r="AF90" s="24">
        <v>0.85088944435119629</v>
      </c>
      <c r="AG90" s="24">
        <v>32.542087967291501</v>
      </c>
      <c r="AH90" s="24">
        <v>7.0980177131905364</v>
      </c>
      <c r="AI90" s="24">
        <v>31.378791809082031</v>
      </c>
      <c r="AJ90" s="24"/>
      <c r="AK90" s="24"/>
    </row>
    <row r="91" spans="2:37">
      <c r="B91" s="24">
        <v>0.25</v>
      </c>
      <c r="C91" s="24">
        <v>0.71782285085237829</v>
      </c>
      <c r="D91" s="24">
        <v>6.0032260740741732</v>
      </c>
      <c r="E91" s="24">
        <v>992.02554920927366</v>
      </c>
      <c r="F91" s="24">
        <v>0.61301523447036743</v>
      </c>
      <c r="G91" s="24">
        <v>31.458274488499594</v>
      </c>
      <c r="H91" s="24">
        <v>42.740684930216005</v>
      </c>
      <c r="I91" s="24">
        <v>33.017482757568359</v>
      </c>
      <c r="J91" s="24"/>
      <c r="L91" s="24">
        <v>0.61903332095717056</v>
      </c>
      <c r="M91" s="24">
        <v>1.1991810133333083</v>
      </c>
      <c r="N91" s="24">
        <v>135.55596455900366</v>
      </c>
      <c r="O91" s="24">
        <v>0.89613938331604004</v>
      </c>
      <c r="P91" s="24">
        <v>32.524682856620103</v>
      </c>
      <c r="Q91" s="24">
        <v>7.1151699347818029</v>
      </c>
      <c r="R91" s="24">
        <v>31.493513107299805</v>
      </c>
      <c r="S91" s="24"/>
      <c r="T91" s="20"/>
      <c r="U91" s="24">
        <v>0.68317218483932218</v>
      </c>
      <c r="V91" s="24">
        <v>5.7030647703704318</v>
      </c>
      <c r="W91" s="24">
        <v>916.64289615043026</v>
      </c>
      <c r="X91" s="24">
        <v>0.63025683164596558</v>
      </c>
      <c r="Y91" s="24">
        <v>31.524904697419046</v>
      </c>
      <c r="Z91" s="24">
        <v>42.38650374140051</v>
      </c>
      <c r="AA91" s="24">
        <v>32.50634765625</v>
      </c>
      <c r="AB91" s="24"/>
      <c r="AC91" s="24">
        <v>0.60052549255348464</v>
      </c>
      <c r="AD91" s="24">
        <v>1.1622831359999735</v>
      </c>
      <c r="AE91" s="24">
        <v>131.05817573055873</v>
      </c>
      <c r="AF91" s="24">
        <v>0.89837419986724854</v>
      </c>
      <c r="AG91" s="24">
        <v>32.532873496936055</v>
      </c>
      <c r="AH91" s="24">
        <v>7.0860034284192279</v>
      </c>
      <c r="AI91" s="24">
        <v>31.23779296875</v>
      </c>
      <c r="AJ91" s="24"/>
      <c r="AK91" s="24"/>
    </row>
    <row r="92" spans="2:37">
      <c r="B92" s="24">
        <f t="shared" ref="B92:B107" si="40">B91+0.25</f>
        <v>0.5</v>
      </c>
      <c r="C92" s="24">
        <v>0.78050338031692723</v>
      </c>
      <c r="D92" s="24">
        <v>6.503494913580357</v>
      </c>
      <c r="E92" s="24">
        <v>789.54529927321664</v>
      </c>
      <c r="F92" s="24">
        <v>0.83440941572189331</v>
      </c>
      <c r="G92" s="24">
        <v>31.347224140300515</v>
      </c>
      <c r="H92" s="24">
        <v>41.988578486856021</v>
      </c>
      <c r="I92" s="24">
        <v>31.380481719970703</v>
      </c>
      <c r="J92" s="24"/>
      <c r="L92" s="24">
        <v>0.70537575157603949</v>
      </c>
      <c r="M92" s="24">
        <v>1.3606092266666376</v>
      </c>
      <c r="N92" s="24">
        <v>121.28914435585548</v>
      </c>
      <c r="O92" s="24">
        <v>1.1363730430603027</v>
      </c>
      <c r="P92" s="24">
        <v>32.488848805237815</v>
      </c>
      <c r="Q92" s="24">
        <v>7.031439736414133</v>
      </c>
      <c r="R92" s="24">
        <v>30.604515075683594</v>
      </c>
      <c r="S92" s="24"/>
      <c r="T92" s="20"/>
      <c r="U92" s="24">
        <v>0.83118474327173064</v>
      </c>
      <c r="V92" s="24">
        <v>6.9037099851852561</v>
      </c>
      <c r="W92" s="24">
        <v>861.64391932990065</v>
      </c>
      <c r="X92" s="24">
        <v>0.81164133548736572</v>
      </c>
      <c r="Y92" s="24">
        <v>31.258383861741265</v>
      </c>
      <c r="Z92" s="24">
        <v>42.448218061633398</v>
      </c>
      <c r="AA92" s="24">
        <v>32.015338897705078</v>
      </c>
      <c r="AB92" s="24"/>
      <c r="AC92" s="24">
        <v>0.74331138086873738</v>
      </c>
      <c r="AD92" s="24">
        <v>1.4251805119999674</v>
      </c>
      <c r="AE92" s="24">
        <v>127.48292811176096</v>
      </c>
      <c r="AF92" s="24">
        <v>1.1324715614318848</v>
      </c>
      <c r="AG92" s="24">
        <v>32.474515184684904</v>
      </c>
      <c r="AH92" s="24">
        <v>7.0783020653840687</v>
      </c>
      <c r="AI92" s="24">
        <v>31.000785827636719</v>
      </c>
      <c r="AJ92" s="24"/>
      <c r="AK92" s="24"/>
    </row>
    <row r="93" spans="2:37">
      <c r="B93" s="24">
        <f t="shared" si="40"/>
        <v>0.75</v>
      </c>
      <c r="C93" s="24">
        <v>0.81005561094858725</v>
      </c>
      <c r="D93" s="24">
        <v>6.736953705349908</v>
      </c>
      <c r="E93" s="24">
        <v>637.14270279494065</v>
      </c>
      <c r="F93" s="24">
        <v>1.0711154937744141</v>
      </c>
      <c r="G93" s="24">
        <v>31.295400644474281</v>
      </c>
      <c r="H93" s="24">
        <v>40.982640226874068</v>
      </c>
      <c r="I93" s="24">
        <v>29.57548713684082</v>
      </c>
      <c r="J93" s="24"/>
      <c r="L93" s="24">
        <v>0.75532525453349519</v>
      </c>
      <c r="M93" s="24">
        <v>1.452853919999967</v>
      </c>
      <c r="N93" s="24">
        <v>106.58608657395335</v>
      </c>
      <c r="O93" s="24">
        <v>1.3808003664016724</v>
      </c>
      <c r="P93" s="24">
        <v>32.468372204447938</v>
      </c>
      <c r="Q93" s="24">
        <v>6.9126177064769125</v>
      </c>
      <c r="R93" s="24">
        <v>29.488506317138672</v>
      </c>
      <c r="S93" s="24"/>
      <c r="T93" s="20"/>
      <c r="U93" s="24">
        <v>0.94366556470486729</v>
      </c>
      <c r="V93" s="24">
        <v>7.8041938962963755</v>
      </c>
      <c r="W93" s="24">
        <v>782.126097380906</v>
      </c>
      <c r="X93" s="24">
        <v>1.0107895135879517</v>
      </c>
      <c r="Y93" s="24">
        <v>31.058493234982926</v>
      </c>
      <c r="Z93" s="24">
        <v>42.25037504894977</v>
      </c>
      <c r="AA93" s="24">
        <v>31.245349884033203</v>
      </c>
      <c r="AB93" s="24"/>
      <c r="AC93" s="24">
        <v>0.86109134536772336</v>
      </c>
      <c r="AD93" s="24">
        <v>1.6465677759999624</v>
      </c>
      <c r="AE93" s="24">
        <v>121.82842758260693</v>
      </c>
      <c r="AF93" s="24">
        <v>1.3691165447235107</v>
      </c>
      <c r="AG93" s="24">
        <v>32.425371342789198</v>
      </c>
      <c r="AH93" s="24">
        <v>7.0517265626148626</v>
      </c>
      <c r="AI93" s="24">
        <v>30.618797302246094</v>
      </c>
      <c r="AJ93" s="24"/>
      <c r="AK93" s="24"/>
    </row>
    <row r="94" spans="2:37">
      <c r="B94" s="24">
        <f t="shared" si="40"/>
        <v>1</v>
      </c>
      <c r="C94" s="24">
        <v>0.83982470355905747</v>
      </c>
      <c r="D94" s="24">
        <v>6.970412497119459</v>
      </c>
      <c r="E94" s="24">
        <v>539.89308559951701</v>
      </c>
      <c r="F94" s="24">
        <v>1.3078566789627075</v>
      </c>
      <c r="G94" s="24">
        <v>31.243577148648043</v>
      </c>
      <c r="H94" s="24">
        <v>40.016457105802552</v>
      </c>
      <c r="I94" s="24">
        <v>27.987478256225586</v>
      </c>
      <c r="J94" s="24"/>
      <c r="L94" s="24">
        <v>0.78049736083325005</v>
      </c>
      <c r="M94" s="24">
        <v>1.498976266666632</v>
      </c>
      <c r="N94" s="24">
        <v>93.270755965066783</v>
      </c>
      <c r="O94" s="24">
        <v>1.6280161142349243</v>
      </c>
      <c r="P94" s="24">
        <v>32.458133904053</v>
      </c>
      <c r="Q94" s="24">
        <v>6.7668964257484285</v>
      </c>
      <c r="R94" s="24">
        <v>28.241514205932617</v>
      </c>
      <c r="S94" s="24"/>
      <c r="T94" s="20"/>
      <c r="U94" s="24">
        <v>0.99650551156561062</v>
      </c>
      <c r="V94" s="24">
        <v>8.1643874607408229</v>
      </c>
      <c r="W94" s="24">
        <v>666.65856578319801</v>
      </c>
      <c r="X94" s="24">
        <v>1.2405937910079956</v>
      </c>
      <c r="Y94" s="24">
        <v>30.978536984279593</v>
      </c>
      <c r="Z94" s="24">
        <v>41.550670027439772</v>
      </c>
      <c r="AA94" s="24">
        <v>29.898344039916992</v>
      </c>
      <c r="AB94" s="24"/>
      <c r="AC94" s="24">
        <v>0.95006096217610814</v>
      </c>
      <c r="AD94" s="24">
        <v>1.8126082239999586</v>
      </c>
      <c r="AE94" s="24">
        <v>114.11016656612435</v>
      </c>
      <c r="AF94" s="24">
        <v>1.6091222763061523</v>
      </c>
      <c r="AG94" s="24">
        <v>32.388513461367417</v>
      </c>
      <c r="AH94" s="24">
        <v>7.0005999955058629</v>
      </c>
      <c r="AI94" s="24">
        <v>30.056781768798828</v>
      </c>
      <c r="AJ94" s="24"/>
      <c r="AK94" s="24"/>
    </row>
    <row r="95" spans="2:37">
      <c r="B95" s="24">
        <f t="shared" si="40"/>
        <v>1.25</v>
      </c>
      <c r="C95" s="24">
        <v>0.86983005765607624</v>
      </c>
      <c r="D95" s="24">
        <v>7.2038712888890117</v>
      </c>
      <c r="E95" s="24">
        <v>472.44372818970913</v>
      </c>
      <c r="F95" s="24">
        <v>1.5446330308914185</v>
      </c>
      <c r="G95" s="24">
        <v>31.191753652821806</v>
      </c>
      <c r="H95" s="24">
        <v>39.094200952609761</v>
      </c>
      <c r="I95" s="24">
        <v>26.58848762512207</v>
      </c>
      <c r="J95" s="24"/>
      <c r="L95" s="24">
        <v>0.81004932947768826</v>
      </c>
      <c r="M95" s="24">
        <v>1.5527856711110741</v>
      </c>
      <c r="N95" s="24">
        <v>83.902136250574188</v>
      </c>
      <c r="O95" s="24">
        <v>1.8747698068618774</v>
      </c>
      <c r="P95" s="24">
        <v>32.446189220258908</v>
      </c>
      <c r="Q95" s="24">
        <v>6.6357257491785671</v>
      </c>
      <c r="R95" s="24">
        <v>27.182518005371094</v>
      </c>
      <c r="S95" s="24"/>
      <c r="T95" s="20"/>
      <c r="U95" s="24">
        <v>0.9971989057899372</v>
      </c>
      <c r="V95" s="24">
        <v>8.2244197214815653</v>
      </c>
      <c r="W95" s="24">
        <v>560.18938875458139</v>
      </c>
      <c r="X95" s="24">
        <v>1.4872357845306396</v>
      </c>
      <c r="Y95" s="24">
        <v>30.965210942495702</v>
      </c>
      <c r="Z95" s="24">
        <v>40.534921001402175</v>
      </c>
      <c r="AA95" s="24">
        <v>28.2723388671875</v>
      </c>
      <c r="AB95" s="24"/>
      <c r="AC95" s="24">
        <v>0.99530059270973337</v>
      </c>
      <c r="AD95" s="24">
        <v>1.8817917439999572</v>
      </c>
      <c r="AE95" s="24">
        <v>102.7650925596663</v>
      </c>
      <c r="AF95" s="24">
        <v>1.8549635410308838</v>
      </c>
      <c r="AG95" s="24">
        <v>32.373156010775006</v>
      </c>
      <c r="AH95" s="24">
        <v>6.8979053241424166</v>
      </c>
      <c r="AI95" s="24">
        <v>29.121789932250977</v>
      </c>
      <c r="AJ95" s="24"/>
      <c r="AK95" s="24"/>
    </row>
    <row r="96" spans="2:37">
      <c r="B96" s="24">
        <f t="shared" si="40"/>
        <v>1.5</v>
      </c>
      <c r="C96" s="24">
        <v>0.90009309123531756</v>
      </c>
      <c r="D96" s="24">
        <v>7.4373300806585645</v>
      </c>
      <c r="E96" s="24">
        <v>422.91615126480377</v>
      </c>
      <c r="F96" s="24">
        <v>1.7814441919326782</v>
      </c>
      <c r="G96" s="24">
        <v>31.139930156995572</v>
      </c>
      <c r="H96" s="24">
        <v>38.218320437099827</v>
      </c>
      <c r="I96" s="24">
        <v>25.353471755981445</v>
      </c>
      <c r="J96" s="24"/>
      <c r="L96" s="24">
        <v>0.83555169926114004</v>
      </c>
      <c r="M96" s="24">
        <v>1.5989080177777388</v>
      </c>
      <c r="N96" s="24">
        <v>76.329048777707911</v>
      </c>
      <c r="O96" s="24">
        <v>2.1219887733459473</v>
      </c>
      <c r="P96" s="24">
        <v>32.43595091986397</v>
      </c>
      <c r="Q96" s="24">
        <v>6.5046246681117168</v>
      </c>
      <c r="R96" s="24">
        <v>26.188512802124023</v>
      </c>
      <c r="S96" s="24"/>
      <c r="T96" s="20"/>
      <c r="U96" s="24">
        <v>0.9971989057899372</v>
      </c>
      <c r="V96" s="24">
        <v>8.1643874607408229</v>
      </c>
      <c r="W96" s="24">
        <v>475.15536006160551</v>
      </c>
      <c r="X96" s="24">
        <v>1.7405937910079956</v>
      </c>
      <c r="Y96" s="24">
        <v>30.978536984279593</v>
      </c>
      <c r="Z96" s="24">
        <v>39.342192397447235</v>
      </c>
      <c r="AA96" s="24">
        <v>26.580343246459961</v>
      </c>
      <c r="AB96" s="24"/>
      <c r="AC96" s="24">
        <v>0.9971989365206354</v>
      </c>
      <c r="AD96" s="24">
        <v>1.895628447999957</v>
      </c>
      <c r="AE96" s="24">
        <v>91.261927135956284</v>
      </c>
      <c r="AF96" s="24">
        <v>2.1041321754455566</v>
      </c>
      <c r="AG96" s="24">
        <v>32.370084520656526</v>
      </c>
      <c r="AH96" s="24">
        <v>6.7617529345728027</v>
      </c>
      <c r="AI96" s="24">
        <v>27.991785049438477</v>
      </c>
      <c r="AJ96" s="24"/>
      <c r="AK96" s="24"/>
    </row>
    <row r="97" spans="2:51">
      <c r="B97" s="24">
        <f t="shared" si="40"/>
        <v>1.75</v>
      </c>
      <c r="C97" s="24">
        <v>0.93502485900937826</v>
      </c>
      <c r="D97" s="24">
        <v>7.7041401283951956</v>
      </c>
      <c r="E97" s="24">
        <v>387.03825872932072</v>
      </c>
      <c r="F97" s="24">
        <v>2.0164141654968262</v>
      </c>
      <c r="G97" s="24">
        <v>31.08070330462273</v>
      </c>
      <c r="H97" s="24">
        <v>37.447841131227939</v>
      </c>
      <c r="I97" s="24">
        <v>24.318490982055664</v>
      </c>
      <c r="J97" s="24"/>
      <c r="L97" s="24">
        <v>0.86552174835091045</v>
      </c>
      <c r="M97" s="24">
        <v>1.6527174222221814</v>
      </c>
      <c r="N97" s="24">
        <v>70.678861849396597</v>
      </c>
      <c r="O97" s="24">
        <v>2.3687460422515869</v>
      </c>
      <c r="P97" s="24">
        <v>32.424006236069872</v>
      </c>
      <c r="Q97" s="24">
        <v>6.388785970379967</v>
      </c>
      <c r="R97" s="24">
        <v>25.350509643554688</v>
      </c>
      <c r="S97" s="24"/>
      <c r="T97" s="20"/>
      <c r="U97" s="24">
        <v>0.9971989057899372</v>
      </c>
      <c r="V97" s="24">
        <v>8.1643874607408229</v>
      </c>
      <c r="W97" s="24">
        <v>415.48028068180503</v>
      </c>
      <c r="X97" s="24">
        <v>1.9905937910079956</v>
      </c>
      <c r="Y97" s="24">
        <v>30.978536984279593</v>
      </c>
      <c r="Z97" s="24">
        <v>38.207132485076201</v>
      </c>
      <c r="AA97" s="24">
        <v>25.095335006713867</v>
      </c>
      <c r="AB97" s="24"/>
      <c r="AC97" s="24">
        <v>0.9971989365206354</v>
      </c>
      <c r="AD97" s="24">
        <v>1.8817917439999572</v>
      </c>
      <c r="AE97" s="24">
        <v>80.946264113446603</v>
      </c>
      <c r="AF97" s="24">
        <v>2.3549635410308838</v>
      </c>
      <c r="AG97" s="24">
        <v>32.373156010775006</v>
      </c>
      <c r="AH97" s="24">
        <v>6.6035532982336953</v>
      </c>
      <c r="AI97" s="24">
        <v>26.777788162231445</v>
      </c>
      <c r="AJ97" s="24"/>
      <c r="AK97" s="24"/>
    </row>
    <row r="98" spans="2:51">
      <c r="B98" s="24">
        <f t="shared" si="40"/>
        <v>2</v>
      </c>
      <c r="C98" s="24">
        <v>0.96592157671211565</v>
      </c>
      <c r="D98" s="24">
        <v>7.9709501761318258</v>
      </c>
      <c r="E98" s="24">
        <v>358.64205622877921</v>
      </c>
      <c r="F98" s="24">
        <v>2.2514293193817139</v>
      </c>
      <c r="G98" s="24">
        <v>31.021476452249889</v>
      </c>
      <c r="H98" s="24">
        <v>36.727303614855813</v>
      </c>
      <c r="I98" s="24">
        <v>23.402492523193359</v>
      </c>
      <c r="J98" s="24"/>
      <c r="L98" s="24">
        <v>0.89141254281352456</v>
      </c>
      <c r="M98" s="24">
        <v>1.6988397688888461</v>
      </c>
      <c r="N98" s="24">
        <v>65.78538308814565</v>
      </c>
      <c r="O98" s="24">
        <v>2.6159682273864746</v>
      </c>
      <c r="P98" s="24">
        <v>32.413767935674933</v>
      </c>
      <c r="Q98" s="24">
        <v>6.2717397449678529</v>
      </c>
      <c r="R98" s="24">
        <v>24.548505783081055</v>
      </c>
      <c r="S98" s="24"/>
      <c r="T98" s="20"/>
      <c r="U98" s="24">
        <v>0.9971989057899372</v>
      </c>
      <c r="V98" s="24">
        <v>8.1643874607408229</v>
      </c>
      <c r="W98" s="24">
        <v>369.1220016797273</v>
      </c>
      <c r="X98" s="24">
        <v>2.2405936717987061</v>
      </c>
      <c r="Y98" s="24">
        <v>30.978536984279593</v>
      </c>
      <c r="Z98" s="24">
        <v>37.06439204664018</v>
      </c>
      <c r="AA98" s="24">
        <v>23.726354598999023</v>
      </c>
      <c r="AB98" s="24"/>
      <c r="AC98" s="24">
        <v>0.9971989365206354</v>
      </c>
      <c r="AD98" s="24">
        <v>1.8817917439999572</v>
      </c>
      <c r="AE98" s="24">
        <v>73.177800013449783</v>
      </c>
      <c r="AF98" s="24">
        <v>2.6049635410308838</v>
      </c>
      <c r="AG98" s="24">
        <v>32.373156010775006</v>
      </c>
      <c r="AH98" s="24">
        <v>6.4548040013090811</v>
      </c>
      <c r="AI98" s="24">
        <v>25.703790664672852</v>
      </c>
      <c r="AJ98" s="24"/>
      <c r="AK98" s="24"/>
    </row>
    <row r="99" spans="2:51">
      <c r="B99" s="24">
        <f t="shared" si="40"/>
        <v>2.25</v>
      </c>
      <c r="C99" s="24">
        <v>0.97480928937674505</v>
      </c>
      <c r="D99" s="24">
        <v>8.0376526880659842</v>
      </c>
      <c r="E99" s="24">
        <v>325.9868658710609</v>
      </c>
      <c r="F99" s="24">
        <v>2.4976902008056641</v>
      </c>
      <c r="G99" s="24">
        <v>31.006669739156678</v>
      </c>
      <c r="H99" s="24">
        <v>35.686140349326166</v>
      </c>
      <c r="I99" s="24">
        <v>22.257484436035156</v>
      </c>
      <c r="J99" s="24"/>
      <c r="L99" s="24">
        <v>0.90008597900366838</v>
      </c>
      <c r="M99" s="24">
        <v>1.7142138844444013</v>
      </c>
      <c r="N99" s="24">
        <v>60.609873692158111</v>
      </c>
      <c r="O99" s="24">
        <v>2.8650424480438232</v>
      </c>
      <c r="P99" s="24">
        <v>32.41035516887662</v>
      </c>
      <c r="Q99" s="24">
        <v>6.125967720732528</v>
      </c>
      <c r="R99" s="24">
        <v>23.619510650634766</v>
      </c>
      <c r="S99" s="24"/>
      <c r="T99" s="20"/>
      <c r="U99" s="24">
        <v>0.9971989057899372</v>
      </c>
      <c r="V99" s="24">
        <v>8.1643874607408229</v>
      </c>
      <c r="W99" s="24">
        <v>332.07039483384841</v>
      </c>
      <c r="X99" s="24">
        <v>2.4905936717987061</v>
      </c>
      <c r="Y99" s="24">
        <v>30.978536984279593</v>
      </c>
      <c r="Z99" s="24">
        <v>35.921554816966164</v>
      </c>
      <c r="AA99" s="24">
        <v>22.468351364135742</v>
      </c>
      <c r="AB99" s="24"/>
      <c r="AC99" s="24">
        <v>0.9971989365206354</v>
      </c>
      <c r="AD99" s="24">
        <v>1.8817917439999572</v>
      </c>
      <c r="AE99" s="24">
        <v>66.76985486421259</v>
      </c>
      <c r="AF99" s="24">
        <v>2.8549635410308838</v>
      </c>
      <c r="AG99" s="24">
        <v>32.373156010775006</v>
      </c>
      <c r="AH99" s="24">
        <v>6.3058771869352519</v>
      </c>
      <c r="AI99" s="24">
        <v>24.69378662109375</v>
      </c>
      <c r="AJ99" s="24"/>
      <c r="AK99" s="24"/>
    </row>
    <row r="100" spans="2:51">
      <c r="B100" s="24">
        <f t="shared" si="40"/>
        <v>2.5</v>
      </c>
      <c r="C100" s="24">
        <v>1.006145763989422</v>
      </c>
      <c r="D100" s="24">
        <v>8.2711114798355361</v>
      </c>
      <c r="E100" s="24">
        <v>306.39059918466324</v>
      </c>
      <c r="F100" s="24">
        <v>2.7346255779266357</v>
      </c>
      <c r="G100" s="24">
        <v>30.954846243330444</v>
      </c>
      <c r="H100" s="24">
        <v>34.992219606496853</v>
      </c>
      <c r="I100" s="24">
        <v>21.489471435546875</v>
      </c>
      <c r="J100" s="24"/>
      <c r="L100" s="24">
        <v>0.93501740815763912</v>
      </c>
      <c r="M100" s="24">
        <v>1.7757103466666209</v>
      </c>
      <c r="N100" s="24">
        <v>57.814113817499369</v>
      </c>
      <c r="O100" s="24">
        <v>3.1113417148590088</v>
      </c>
      <c r="P100" s="24">
        <v>32.396704101683369</v>
      </c>
      <c r="Q100" s="24">
        <v>6.0390869260892037</v>
      </c>
      <c r="R100" s="24">
        <v>23.070512771606445</v>
      </c>
      <c r="S100" s="24"/>
      <c r="T100" s="20"/>
      <c r="U100" s="24">
        <v>0.9971989057899372</v>
      </c>
      <c r="V100" s="24">
        <v>8.1643874607408229</v>
      </c>
      <c r="W100" s="24">
        <v>301.77856529031499</v>
      </c>
      <c r="X100" s="24">
        <v>2.7405936717987061</v>
      </c>
      <c r="Y100" s="24">
        <v>30.978536984279593</v>
      </c>
      <c r="Z100" s="24">
        <v>34.787982395434426</v>
      </c>
      <c r="AA100" s="24">
        <v>21.317350387573242</v>
      </c>
      <c r="AB100" s="24"/>
      <c r="AC100" s="24">
        <v>0.9971989365206354</v>
      </c>
      <c r="AD100" s="24">
        <v>1.8817917439999572</v>
      </c>
      <c r="AE100" s="24">
        <v>61.393797044840689</v>
      </c>
      <c r="AF100" s="24">
        <v>3.1049635410308838</v>
      </c>
      <c r="AG100" s="24">
        <v>32.373156010775006</v>
      </c>
      <c r="AH100" s="24">
        <v>6.1573669895219103</v>
      </c>
      <c r="AI100" s="24">
        <v>23.745792388916016</v>
      </c>
      <c r="AJ100" s="24"/>
      <c r="AK100" s="24"/>
    </row>
    <row r="101" spans="2:51">
      <c r="B101" s="24">
        <f t="shared" si="40"/>
        <v>2.75</v>
      </c>
      <c r="C101" s="24">
        <v>1.0151660433627467</v>
      </c>
      <c r="D101" s="24">
        <v>8.3378139917696927</v>
      </c>
      <c r="E101" s="24">
        <v>283.34421357630981</v>
      </c>
      <c r="F101" s="24">
        <v>2.9808993339538574</v>
      </c>
      <c r="G101" s="24">
        <v>30.940039530237232</v>
      </c>
      <c r="H101" s="24">
        <v>34.018639041728356</v>
      </c>
      <c r="I101" s="24">
        <v>20.541479110717773</v>
      </c>
      <c r="J101" s="24"/>
      <c r="L101" s="24">
        <v>0.93501740815763912</v>
      </c>
      <c r="M101" s="24">
        <v>1.7757103466666209</v>
      </c>
      <c r="N101" s="24">
        <v>53.514185360333535</v>
      </c>
      <c r="O101" s="24">
        <v>3.3613417148590088</v>
      </c>
      <c r="P101" s="24">
        <v>32.396704101683369</v>
      </c>
      <c r="Q101" s="24">
        <v>5.8843028724235094</v>
      </c>
      <c r="R101" s="24">
        <v>22.17851448059082</v>
      </c>
      <c r="S101" s="24"/>
      <c r="T101" s="20"/>
      <c r="U101" s="24">
        <v>0.9971989057899372</v>
      </c>
      <c r="V101" s="24">
        <v>8.1643874607408229</v>
      </c>
      <c r="W101" s="24">
        <v>276.55125337784051</v>
      </c>
      <c r="X101" s="24">
        <v>2.9905936717987061</v>
      </c>
      <c r="Y101" s="24">
        <v>30.978536984279593</v>
      </c>
      <c r="Z101" s="24">
        <v>33.671647641265643</v>
      </c>
      <c r="AA101" s="24">
        <v>20.267353057861328</v>
      </c>
      <c r="AB101" s="24"/>
      <c r="AC101" s="24">
        <v>0.9971989365206354</v>
      </c>
      <c r="AD101" s="24">
        <v>1.8817917439999572</v>
      </c>
      <c r="AE101" s="24">
        <v>56.818948790977707</v>
      </c>
      <c r="AF101" s="24">
        <v>3.3549635410308838</v>
      </c>
      <c r="AG101" s="24">
        <v>32.373156010775006</v>
      </c>
      <c r="AH101" s="24">
        <v>6.0099013152678022</v>
      </c>
      <c r="AI101" s="24">
        <v>22.857789993286133</v>
      </c>
      <c r="AJ101" s="24"/>
      <c r="AK101" s="24"/>
    </row>
    <row r="102" spans="2:51">
      <c r="B102" s="24">
        <f t="shared" si="40"/>
        <v>3</v>
      </c>
      <c r="C102" s="24">
        <v>1.0424226056780639</v>
      </c>
      <c r="D102" s="24">
        <v>8.5379215275721663</v>
      </c>
      <c r="E102" s="24">
        <v>268.62177058168822</v>
      </c>
      <c r="F102" s="24">
        <v>3.2197370529174805</v>
      </c>
      <c r="G102" s="24">
        <v>30.895619390957602</v>
      </c>
      <c r="H102" s="24">
        <v>33.343451455632383</v>
      </c>
      <c r="I102" s="24">
        <v>19.882497787475586</v>
      </c>
      <c r="J102" s="24"/>
      <c r="L102" s="24">
        <v>0.96591382032479389</v>
      </c>
      <c r="M102" s="24">
        <v>1.8372068088888407</v>
      </c>
      <c r="N102" s="24">
        <v>51.587431471737929</v>
      </c>
      <c r="O102" s="24">
        <v>3.6076433658599854</v>
      </c>
      <c r="P102" s="24">
        <v>32.383053034490118</v>
      </c>
      <c r="Q102" s="24">
        <v>5.8100027746801972</v>
      </c>
      <c r="R102" s="24">
        <v>21.746511459350586</v>
      </c>
      <c r="S102" s="24"/>
      <c r="T102" s="20"/>
      <c r="U102" s="24">
        <v>0.9971989057899372</v>
      </c>
      <c r="V102" s="24">
        <v>8.1643874607408229</v>
      </c>
      <c r="W102" s="24">
        <v>255.21633185157671</v>
      </c>
      <c r="X102" s="24">
        <v>3.2405936717987061</v>
      </c>
      <c r="Y102" s="24">
        <v>30.978536984279593</v>
      </c>
      <c r="Z102" s="24">
        <v>32.579302987294362</v>
      </c>
      <c r="AA102" s="24">
        <v>19.311342239379883</v>
      </c>
      <c r="AB102" s="24"/>
      <c r="AC102" s="24">
        <v>0.9971989365206354</v>
      </c>
      <c r="AD102" s="24">
        <v>1.8817917439999572</v>
      </c>
      <c r="AE102" s="24">
        <v>52.878621268929265</v>
      </c>
      <c r="AF102" s="24">
        <v>3.6049635410308838</v>
      </c>
      <c r="AG102" s="24">
        <v>32.373156010775006</v>
      </c>
      <c r="AH102" s="24">
        <v>5.8639612432749226</v>
      </c>
      <c r="AI102" s="24">
        <v>22.026788711547852</v>
      </c>
      <c r="AJ102" s="24"/>
      <c r="AK102" s="24"/>
    </row>
    <row r="103" spans="2:51" s="24" customFormat="1">
      <c r="B103" s="24">
        <f t="shared" si="40"/>
        <v>3.25</v>
      </c>
      <c r="C103" s="24">
        <v>1.0607609832306664</v>
      </c>
      <c r="D103" s="24">
        <v>8.6713265514404831</v>
      </c>
      <c r="E103" s="24">
        <v>253.70504006318896</v>
      </c>
      <c r="F103" s="24">
        <v>3.4623095989227295</v>
      </c>
      <c r="G103" s="24">
        <v>30.86600596477118</v>
      </c>
      <c r="H103" s="24">
        <v>32.575118107255115</v>
      </c>
      <c r="I103" s="24">
        <v>19.190483093261719</v>
      </c>
      <c r="L103" s="24">
        <v>0.97035402943741078</v>
      </c>
      <c r="M103" s="24">
        <v>1.8448938666666184</v>
      </c>
      <c r="N103" s="24">
        <v>48.451898225567398</v>
      </c>
      <c r="O103" s="24">
        <v>3.8571810722351074</v>
      </c>
      <c r="P103" s="24">
        <v>32.381346651090958</v>
      </c>
      <c r="Q103" s="24">
        <v>5.6738684452120678</v>
      </c>
      <c r="R103" s="24">
        <v>21.021509170532227</v>
      </c>
      <c r="U103" s="24">
        <v>0.9971989057899372</v>
      </c>
      <c r="V103" s="24">
        <v>8.1643874607408229</v>
      </c>
      <c r="W103" s="24">
        <v>236.93746941686612</v>
      </c>
      <c r="X103" s="24">
        <v>3.4905936717987061</v>
      </c>
      <c r="Y103" s="24">
        <v>30.978536984279593</v>
      </c>
      <c r="Z103" s="24">
        <v>31.515841698216075</v>
      </c>
      <c r="AA103" s="24">
        <v>18.441341400146484</v>
      </c>
      <c r="AC103" s="24">
        <v>0.9971989365206354</v>
      </c>
      <c r="AD103" s="24">
        <v>1.8817917439999572</v>
      </c>
      <c r="AE103" s="24">
        <v>49.449365699121422</v>
      </c>
      <c r="AF103" s="24">
        <v>3.8549635410308838</v>
      </c>
      <c r="AG103" s="24">
        <v>32.373156010775006</v>
      </c>
      <c r="AH103" s="24">
        <v>5.7203889374368648</v>
      </c>
      <c r="AI103" s="24">
        <v>21.251787185668945</v>
      </c>
    </row>
    <row r="104" spans="2:51" s="24" customFormat="1">
      <c r="B104" s="24">
        <f t="shared" si="40"/>
        <v>3.5</v>
      </c>
      <c r="C104" s="24">
        <v>1.0699829895374957</v>
      </c>
      <c r="D104" s="24">
        <v>8.7380290633746398</v>
      </c>
      <c r="E104" s="24">
        <v>238.6782987188937</v>
      </c>
      <c r="F104" s="24">
        <v>3.7086000442504883</v>
      </c>
      <c r="G104" s="24">
        <v>30.851199251677972</v>
      </c>
      <c r="H104" s="24">
        <v>31.708668541898209</v>
      </c>
      <c r="I104" s="24">
        <v>18.468500137329102</v>
      </c>
      <c r="L104" s="24">
        <v>0.99266409643903297</v>
      </c>
      <c r="M104" s="24">
        <v>1.8833291555555056</v>
      </c>
      <c r="N104" s="24">
        <v>46.476791660090086</v>
      </c>
      <c r="O104" s="24">
        <v>4.1048712730407715</v>
      </c>
      <c r="P104" s="24">
        <v>32.372814734095179</v>
      </c>
      <c r="Q104" s="24">
        <v>5.5813163913518977</v>
      </c>
      <c r="R104" s="24">
        <v>20.537511825561523</v>
      </c>
      <c r="U104" s="24">
        <v>0.9971989057899372</v>
      </c>
      <c r="V104" s="24">
        <v>8.1643874607408229</v>
      </c>
      <c r="W104" s="24">
        <v>221.10191727708764</v>
      </c>
      <c r="X104" s="24">
        <v>3.7405936717987061</v>
      </c>
      <c r="Y104" s="24">
        <v>30.978536984279593</v>
      </c>
      <c r="Z104" s="24">
        <v>30.487558904159084</v>
      </c>
      <c r="AA104" s="24">
        <v>17.651346206665039</v>
      </c>
      <c r="AC104" s="24">
        <v>0.9971989365206354</v>
      </c>
      <c r="AD104" s="24">
        <v>1.8817917439999572</v>
      </c>
      <c r="AE104" s="24">
        <v>46.437806353120337</v>
      </c>
      <c r="AF104" s="24">
        <v>4.1049637794494629</v>
      </c>
      <c r="AG104" s="24">
        <v>32.373156010775006</v>
      </c>
      <c r="AH104" s="24">
        <v>5.5792759511463572</v>
      </c>
      <c r="AI104" s="24">
        <v>20.527791976928711</v>
      </c>
    </row>
    <row r="105" spans="2:51" s="24" customFormat="1">
      <c r="B105" s="24">
        <f t="shared" si="40"/>
        <v>3.75</v>
      </c>
      <c r="C105" s="24">
        <v>1.0699829895374957</v>
      </c>
      <c r="D105" s="24">
        <v>8.7380290633746398</v>
      </c>
      <c r="E105" s="24">
        <v>223.60489541142408</v>
      </c>
      <c r="F105" s="24">
        <v>3.9586000442504883</v>
      </c>
      <c r="G105" s="24">
        <v>30.851199251677972</v>
      </c>
      <c r="H105" s="24">
        <v>30.738273073716044</v>
      </c>
      <c r="I105" s="24">
        <v>17.719503402709961</v>
      </c>
      <c r="L105" s="24">
        <v>1.0061375944100259</v>
      </c>
      <c r="M105" s="24">
        <v>1.906390328888838</v>
      </c>
      <c r="N105" s="24">
        <v>44.359245275257052</v>
      </c>
      <c r="O105" s="24">
        <v>4.3534855842590332</v>
      </c>
      <c r="P105" s="24">
        <v>32.367695583897707</v>
      </c>
      <c r="Q105" s="24">
        <v>5.473781590905296</v>
      </c>
      <c r="R105" s="24">
        <v>20.001516342163086</v>
      </c>
      <c r="U105" s="24">
        <v>0.9971989057899372</v>
      </c>
      <c r="V105" s="24">
        <v>8.1643874607408229</v>
      </c>
      <c r="W105" s="24">
        <v>207.25047491316548</v>
      </c>
      <c r="X105" s="24">
        <v>3.9905936717987061</v>
      </c>
      <c r="Y105" s="24">
        <v>30.978536984279593</v>
      </c>
      <c r="Z105" s="24">
        <v>29.496971047950275</v>
      </c>
      <c r="AA105" s="24">
        <v>16.93333625793457</v>
      </c>
      <c r="AC105" s="24">
        <v>0.9971989365206354</v>
      </c>
      <c r="AD105" s="24">
        <v>1.8817917439999572</v>
      </c>
      <c r="AE105" s="24">
        <v>43.77200872164051</v>
      </c>
      <c r="AF105" s="24">
        <v>4.3549637794494629</v>
      </c>
      <c r="AG105" s="24">
        <v>32.373156010775006</v>
      </c>
      <c r="AH105" s="24">
        <v>5.4412156440926562</v>
      </c>
      <c r="AI105" s="24">
        <v>19.852781295776367</v>
      </c>
    </row>
    <row r="106" spans="2:51" s="24" customFormat="1">
      <c r="B106" s="24">
        <f t="shared" si="40"/>
        <v>4</v>
      </c>
      <c r="C106" s="24">
        <v>1.0932033967114383</v>
      </c>
      <c r="D106" s="24">
        <v>8.904785343210035</v>
      </c>
      <c r="E106" s="24">
        <v>214.80877363187753</v>
      </c>
      <c r="F106" s="24">
        <v>4.199338436126709</v>
      </c>
      <c r="G106" s="24">
        <v>30.814182468944946</v>
      </c>
      <c r="H106" s="24">
        <v>30.149881871022036</v>
      </c>
      <c r="I106" s="24">
        <v>17.252473831176758</v>
      </c>
      <c r="L106" s="24">
        <v>1.0151577756408421</v>
      </c>
      <c r="M106" s="24">
        <v>1.9217644444443931</v>
      </c>
      <c r="N106" s="24">
        <v>42.297035365443307</v>
      </c>
      <c r="O106" s="24">
        <v>4.602562427520752</v>
      </c>
      <c r="P106" s="24">
        <v>32.364282817099394</v>
      </c>
      <c r="Q106" s="24">
        <v>5.3605188811326441</v>
      </c>
      <c r="R106" s="24">
        <v>19.46051025390625</v>
      </c>
      <c r="U106" s="24">
        <v>0.9971989057899372</v>
      </c>
      <c r="V106" s="24">
        <v>8.1643874607408229</v>
      </c>
      <c r="W106" s="24">
        <v>195.03222865126295</v>
      </c>
      <c r="X106" s="24">
        <v>4.2405939102172852</v>
      </c>
      <c r="Y106" s="24">
        <v>30.978536984279593</v>
      </c>
      <c r="Z106" s="24">
        <v>28.544887860479747</v>
      </c>
      <c r="AA106" s="24">
        <v>16.279346466064453</v>
      </c>
      <c r="AC106" s="24">
        <v>0.9971989365206354</v>
      </c>
      <c r="AD106" s="24">
        <v>1.8817917439999572</v>
      </c>
      <c r="AE106" s="24">
        <v>41.395659376450716</v>
      </c>
      <c r="AF106" s="24">
        <v>4.6049637794494629</v>
      </c>
      <c r="AG106" s="24">
        <v>32.373156010775006</v>
      </c>
      <c r="AH106" s="24">
        <v>5.3065770324169357</v>
      </c>
      <c r="AI106" s="24">
        <v>19.223785400390625</v>
      </c>
    </row>
    <row r="107" spans="2:51" s="24" customFormat="1">
      <c r="B107" s="24">
        <f t="shared" si="40"/>
        <v>4.25</v>
      </c>
      <c r="C107" s="24">
        <v>1.1072512253839846</v>
      </c>
      <c r="D107" s="24">
        <v>9.0381903670783501</v>
      </c>
      <c r="E107" s="24">
        <v>206.11901381499689</v>
      </c>
      <c r="F107" s="24">
        <v>4.4419417381286621</v>
      </c>
      <c r="G107" s="24">
        <v>30.784569042758523</v>
      </c>
      <c r="H107" s="24">
        <v>29.525936403029718</v>
      </c>
      <c r="I107" s="24">
        <v>16.783470153808594</v>
      </c>
      <c r="U107" s="24">
        <v>0.9971989057899372</v>
      </c>
      <c r="V107" s="24">
        <v>8.1643874607408229</v>
      </c>
      <c r="W107" s="24">
        <v>184.17440897695977</v>
      </c>
      <c r="X107" s="24">
        <v>4.4905939102172852</v>
      </c>
      <c r="Y107" s="24">
        <v>30.978536984279593</v>
      </c>
      <c r="Z107" s="24">
        <v>27.633225346515086</v>
      </c>
      <c r="AA107" s="24">
        <v>15.683357238769531</v>
      </c>
      <c r="AC107" s="24">
        <v>0.9971989365206354</v>
      </c>
      <c r="AD107" s="24">
        <v>1.8817917439999572</v>
      </c>
      <c r="AE107" s="24">
        <v>39.264044034676864</v>
      </c>
      <c r="AF107" s="24">
        <v>4.8549637794494629</v>
      </c>
      <c r="AG107" s="24">
        <v>32.373156010775006</v>
      </c>
      <c r="AH107" s="24">
        <v>5.1754235939383708</v>
      </c>
      <c r="AI107" s="24">
        <v>18.636785507202148</v>
      </c>
    </row>
    <row r="108" spans="2:51" s="24" customFormat="1">
      <c r="B108" s="15"/>
    </row>
    <row r="109" spans="2:51" s="24" customFormat="1">
      <c r="B109" s="24" t="s">
        <v>246</v>
      </c>
      <c r="K109" s="24" t="s">
        <v>246</v>
      </c>
      <c r="L109"/>
      <c r="M109"/>
      <c r="N109"/>
      <c r="O109"/>
      <c r="P109"/>
      <c r="Q109"/>
      <c r="T109" s="24" t="s">
        <v>261</v>
      </c>
      <c r="AC109" s="24" t="s">
        <v>261</v>
      </c>
      <c r="AK109" s="24" t="s">
        <v>263</v>
      </c>
      <c r="AS109" s="24" t="s">
        <v>263</v>
      </c>
    </row>
    <row r="110" spans="2:51" s="24" customFormat="1">
      <c r="B110" s="24" t="s">
        <v>259</v>
      </c>
      <c r="K110" s="24" t="s">
        <v>260</v>
      </c>
      <c r="L110"/>
      <c r="M110"/>
      <c r="N110"/>
      <c r="O110"/>
      <c r="P110"/>
      <c r="Q110"/>
      <c r="T110" s="24" t="s">
        <v>259</v>
      </c>
      <c r="AC110" s="24" t="s">
        <v>262</v>
      </c>
      <c r="AK110" s="24" t="s">
        <v>264</v>
      </c>
      <c r="AS110" s="24" t="s">
        <v>262</v>
      </c>
    </row>
    <row r="111" spans="2:51" s="24" customFormat="1">
      <c r="B111" s="26">
        <v>0.1</v>
      </c>
      <c r="C111" s="24">
        <v>0.57425428589725802</v>
      </c>
      <c r="D111" s="24">
        <v>3.6546468977778463</v>
      </c>
      <c r="E111" s="24">
        <v>617.54024967172882</v>
      </c>
      <c r="F111" s="24">
        <v>0.59950059652328491</v>
      </c>
      <c r="G111" s="24">
        <v>31.979615245118087</v>
      </c>
      <c r="H111" s="24">
        <v>28.634430093257077</v>
      </c>
      <c r="I111" s="24">
        <v>32.485439300537109</v>
      </c>
      <c r="K111" s="24" t="s">
        <v>154</v>
      </c>
      <c r="L111" s="24" t="s">
        <v>155</v>
      </c>
      <c r="M111" s="24" t="s">
        <v>156</v>
      </c>
      <c r="N111" s="24" t="s">
        <v>159</v>
      </c>
      <c r="O111" s="24" t="s">
        <v>238</v>
      </c>
      <c r="P111" s="24" t="s">
        <v>157</v>
      </c>
      <c r="Q111" s="24" t="s">
        <v>160</v>
      </c>
      <c r="T111" s="24" t="s">
        <v>154</v>
      </c>
      <c r="U111" s="24" t="s">
        <v>155</v>
      </c>
      <c r="V111" s="24" t="s">
        <v>156</v>
      </c>
      <c r="W111" s="24" t="s">
        <v>159</v>
      </c>
      <c r="X111" s="24" t="s">
        <v>238</v>
      </c>
      <c r="Y111" s="24" t="s">
        <v>157</v>
      </c>
      <c r="Z111" s="24" t="s">
        <v>160</v>
      </c>
      <c r="AA111" s="24" t="s">
        <v>239</v>
      </c>
      <c r="AC111" s="24" t="s">
        <v>154</v>
      </c>
      <c r="AD111" s="24" t="s">
        <v>155</v>
      </c>
      <c r="AE111" s="24" t="s">
        <v>156</v>
      </c>
      <c r="AF111" s="24" t="s">
        <v>159</v>
      </c>
      <c r="AG111" s="24" t="s">
        <v>238</v>
      </c>
      <c r="AH111" s="24" t="s">
        <v>157</v>
      </c>
      <c r="AI111" s="24" t="s">
        <v>160</v>
      </c>
      <c r="AK111" s="24" t="s">
        <v>154</v>
      </c>
      <c r="AL111" s="24" t="s">
        <v>155</v>
      </c>
      <c r="AM111" s="24" t="s">
        <v>156</v>
      </c>
      <c r="AN111" s="24" t="s">
        <v>159</v>
      </c>
      <c r="AO111" s="24" t="s">
        <v>238</v>
      </c>
      <c r="AP111" s="24" t="s">
        <v>157</v>
      </c>
      <c r="AQ111" s="24" t="s">
        <v>160</v>
      </c>
      <c r="AS111" s="24" t="s">
        <v>154</v>
      </c>
      <c r="AT111" s="24" t="s">
        <v>155</v>
      </c>
      <c r="AU111" s="24" t="s">
        <v>156</v>
      </c>
      <c r="AV111" s="24" t="s">
        <v>159</v>
      </c>
      <c r="AW111" s="24" t="s">
        <v>238</v>
      </c>
      <c r="AX111" s="24" t="s">
        <v>157</v>
      </c>
      <c r="AY111" s="24" t="s">
        <v>160</v>
      </c>
    </row>
    <row r="112" spans="2:51" s="24" customFormat="1">
      <c r="B112" s="26">
        <v>0.15</v>
      </c>
      <c r="C112" s="24">
        <v>0.61087529305120891</v>
      </c>
      <c r="D112" s="24">
        <v>3.9084418212346432</v>
      </c>
      <c r="E112" s="24">
        <v>623.92108733782209</v>
      </c>
      <c r="F112" s="24">
        <v>0.63457566499710083</v>
      </c>
      <c r="G112" s="24">
        <v>31.92327750749514</v>
      </c>
      <c r="H112" s="24">
        <v>28.711608789113804</v>
      </c>
      <c r="I112" s="24">
        <v>32.541427612304687</v>
      </c>
      <c r="K112" s="24">
        <v>0.56108421319615676</v>
      </c>
      <c r="L112" s="24">
        <v>3.6089638115556251</v>
      </c>
      <c r="M112" s="24">
        <v>607.09585915482216</v>
      </c>
      <c r="N112" s="24">
        <v>0.60219162702560425</v>
      </c>
      <c r="O112" s="24">
        <v>31.989756037890217</v>
      </c>
      <c r="P112" s="24">
        <v>28.580751576037915</v>
      </c>
      <c r="Q112" s="24">
        <v>32.370037078857422</v>
      </c>
      <c r="T112" s="24">
        <v>0.44015865134865667</v>
      </c>
      <c r="U112" s="24">
        <v>3.5328648395061291</v>
      </c>
      <c r="V112" s="24">
        <v>589.90029262873111</v>
      </c>
      <c r="W112" s="24">
        <v>0.60667747259140015</v>
      </c>
      <c r="X112" s="24">
        <v>32.006648589806964</v>
      </c>
      <c r="Y112" s="24">
        <v>28.488721053030478</v>
      </c>
      <c r="Z112" s="24">
        <v>32.172634124755859</v>
      </c>
      <c r="AA112" s="24">
        <v>5.1661142794226738</v>
      </c>
      <c r="AC112" s="24">
        <v>0.41899692928008286</v>
      </c>
      <c r="AD112" s="24">
        <v>3.4108204177777433</v>
      </c>
      <c r="AE112" s="24">
        <v>562.84004280669774</v>
      </c>
      <c r="AF112" s="24">
        <v>0.6138797402381897</v>
      </c>
      <c r="AG112" s="24">
        <v>32.033740174287956</v>
      </c>
      <c r="AH112" s="24">
        <v>28.333739446548684</v>
      </c>
      <c r="AI112" s="24">
        <v>31.841608047485352</v>
      </c>
      <c r="AK112" s="24">
        <v>0.25972426379538233</v>
      </c>
      <c r="AL112" s="24">
        <v>3.1009637037036994</v>
      </c>
      <c r="AM112" s="24">
        <v>496.87194503576478</v>
      </c>
      <c r="AN112" s="24">
        <v>0.63221043348312378</v>
      </c>
      <c r="AO112" s="24">
        <v>32.102522583409645</v>
      </c>
      <c r="AP112" s="24">
        <v>27.889548408429693</v>
      </c>
      <c r="AQ112" s="24">
        <v>30.903532028198242</v>
      </c>
      <c r="AS112" s="24">
        <v>0.24306307043284203</v>
      </c>
      <c r="AT112" s="24">
        <v>2.9300444444444405</v>
      </c>
      <c r="AU112" s="24">
        <v>462.07487671980448</v>
      </c>
      <c r="AV112" s="24">
        <v>0.64234936237335205</v>
      </c>
      <c r="AW112" s="24">
        <v>32.140463469900602</v>
      </c>
      <c r="AX112" s="24">
        <v>27.606713644789782</v>
      </c>
      <c r="AY112" s="24">
        <v>30.316534042358398</v>
      </c>
    </row>
    <row r="113" spans="2:51" s="24" customFormat="1">
      <c r="B113" s="26">
        <v>0.2</v>
      </c>
      <c r="C113" s="24">
        <v>0.64768525853925285</v>
      </c>
      <c r="D113" s="24">
        <v>4.1368572523457603</v>
      </c>
      <c r="E113" s="24">
        <v>624.36849178575812</v>
      </c>
      <c r="F113" s="24">
        <v>0.67118000984191895</v>
      </c>
      <c r="G113" s="24">
        <v>31.872573543634488</v>
      </c>
      <c r="H113" s="24">
        <v>28.759239165980869</v>
      </c>
      <c r="I113" s="24">
        <v>32.535419464111328</v>
      </c>
      <c r="K113" s="24">
        <v>0.59402455489401473</v>
      </c>
      <c r="L113" s="24">
        <v>3.7916961564445177</v>
      </c>
      <c r="M113" s="24">
        <v>598.81101257348348</v>
      </c>
      <c r="N113" s="24">
        <v>0.64143580198287964</v>
      </c>
      <c r="O113" s="24">
        <v>31.949192866801695</v>
      </c>
      <c r="P113" s="24">
        <v>28.581282720147705</v>
      </c>
      <c r="Q113" s="24">
        <v>32.264034271240234</v>
      </c>
      <c r="T113" s="24">
        <v>0.46918581293328654</v>
      </c>
      <c r="U113" s="24">
        <v>3.7898004641974836</v>
      </c>
      <c r="V113" s="24">
        <v>598.40764108326289</v>
      </c>
      <c r="W113" s="24">
        <v>0.64154726266860962</v>
      </c>
      <c r="X113" s="24">
        <v>31.949613675110122</v>
      </c>
      <c r="Y113" s="24">
        <v>28.579188736655777</v>
      </c>
      <c r="Z113" s="24">
        <v>32.259624481201172</v>
      </c>
      <c r="AA113" s="24">
        <v>5.1505536700182946</v>
      </c>
      <c r="AC113" s="24">
        <v>0.44446773668405881</v>
      </c>
      <c r="AD113" s="24">
        <v>3.5842519644444071</v>
      </c>
      <c r="AE113" s="24">
        <v>555.4744844179271</v>
      </c>
      <c r="AF113" s="24">
        <v>0.65364789962768555</v>
      </c>
      <c r="AG113" s="24">
        <v>31.995241606867591</v>
      </c>
      <c r="AH113" s="24">
        <v>28.330844779201282</v>
      </c>
      <c r="AI113" s="24">
        <v>31.733600616455078</v>
      </c>
      <c r="AK113" s="24">
        <v>0.27476091992529472</v>
      </c>
      <c r="AL113" s="24">
        <v>3.2962999999999951</v>
      </c>
      <c r="AM113" s="24">
        <v>497.89998988468818</v>
      </c>
      <c r="AN113" s="24">
        <v>0.67064708471298218</v>
      </c>
      <c r="AO113" s="24">
        <v>32.059161570277112</v>
      </c>
      <c r="AP113" s="24">
        <v>27.935752766055625</v>
      </c>
      <c r="AQ113" s="24">
        <v>30.906543731689453</v>
      </c>
      <c r="AS113" s="24">
        <v>0.25647604973858223</v>
      </c>
      <c r="AT113" s="24">
        <v>3.0765466666666623</v>
      </c>
      <c r="AU113" s="24">
        <v>455.86293309526121</v>
      </c>
      <c r="AV113" s="24">
        <v>0.68365764617919922</v>
      </c>
      <c r="AW113" s="24">
        <v>32.107942710051212</v>
      </c>
      <c r="AX113" s="24">
        <v>27.588155597261554</v>
      </c>
      <c r="AY113" s="24">
        <v>30.191543579101563</v>
      </c>
    </row>
    <row r="114" spans="2:51" s="24" customFormat="1">
      <c r="B114" s="24">
        <v>0.25</v>
      </c>
      <c r="C114" s="24">
        <v>0.68058401151670977</v>
      </c>
      <c r="D114" s="24">
        <v>4.3398931911111971</v>
      </c>
      <c r="E114" s="24">
        <v>619.80834780800524</v>
      </c>
      <c r="F114" s="24">
        <v>0.70930182933807373</v>
      </c>
      <c r="G114" s="24">
        <v>31.82750335353613</v>
      </c>
      <c r="H114" s="24">
        <v>28.780195219654605</v>
      </c>
      <c r="I114" s="24">
        <v>32.47442626953125</v>
      </c>
      <c r="K114" s="24">
        <v>0.62638604123691743</v>
      </c>
      <c r="L114" s="24">
        <v>4.0201115875556335</v>
      </c>
      <c r="M114" s="24">
        <v>600.62519364048285</v>
      </c>
      <c r="N114" s="24">
        <v>0.67802232503890991</v>
      </c>
      <c r="O114" s="24">
        <v>31.898488902941043</v>
      </c>
      <c r="P114" s="24">
        <v>28.634982205057636</v>
      </c>
      <c r="Q114" s="24">
        <v>32.273036956787109</v>
      </c>
      <c r="T114" s="24">
        <v>0.4900398732474644</v>
      </c>
      <c r="U114" s="24">
        <v>3.9503852296295809</v>
      </c>
      <c r="V114" s="24">
        <v>586.66799499245019</v>
      </c>
      <c r="W114" s="24">
        <v>0.68211328983306885</v>
      </c>
      <c r="X114" s="24">
        <v>31.913966853424597</v>
      </c>
      <c r="Y114" s="24">
        <v>28.557851511772927</v>
      </c>
      <c r="Z114" s="24">
        <v>32.110630035400391</v>
      </c>
      <c r="AA114" s="24">
        <v>5.1395414717228949</v>
      </c>
      <c r="AC114" s="24">
        <v>0.46328346730571379</v>
      </c>
      <c r="AD114" s="24">
        <v>3.7576835111110709</v>
      </c>
      <c r="AE114" s="24">
        <v>548.93785170063654</v>
      </c>
      <c r="AF114" s="24">
        <v>0.6934361457824707</v>
      </c>
      <c r="AG114" s="24">
        <v>31.956743039447225</v>
      </c>
      <c r="AH114" s="24">
        <v>28.331321591109543</v>
      </c>
      <c r="AI114" s="24">
        <v>31.635604858398438</v>
      </c>
      <c r="AK114" s="24">
        <v>0.28992269776002333</v>
      </c>
      <c r="AL114" s="24">
        <v>3.4672192592592546</v>
      </c>
      <c r="AM114" s="24">
        <v>494.30611174339492</v>
      </c>
      <c r="AN114" s="24">
        <v>0.71055018901824951</v>
      </c>
      <c r="AO114" s="24">
        <v>32.021220683786154</v>
      </c>
      <c r="AP114" s="24">
        <v>27.946589097219231</v>
      </c>
      <c r="AQ114" s="24">
        <v>30.837551116943359</v>
      </c>
      <c r="AS114" s="24">
        <v>0.27015110913206686</v>
      </c>
      <c r="AT114" s="24">
        <v>3.2474659259259213</v>
      </c>
      <c r="AU114" s="24">
        <v>454.66778199507172</v>
      </c>
      <c r="AV114" s="24">
        <v>0.72353553771972656</v>
      </c>
      <c r="AW114" s="24">
        <v>32.070001823560247</v>
      </c>
      <c r="AX114" s="24">
        <v>27.613321849996808</v>
      </c>
      <c r="AY114" s="24">
        <v>30.157550811767578</v>
      </c>
    </row>
    <row r="115" spans="2:51" s="24" customFormat="1">
      <c r="B115" s="24">
        <f t="shared" ref="B115:B130" si="41">B114+0.25</f>
        <v>0.5</v>
      </c>
      <c r="C115" s="24">
        <v>0.75533116289453572</v>
      </c>
      <c r="D115" s="24">
        <v>4.7967240533334312</v>
      </c>
      <c r="E115" s="24">
        <v>520.98296163565863</v>
      </c>
      <c r="F115" s="24">
        <v>0.93267571926116943</v>
      </c>
      <c r="G115" s="24">
        <v>31.726095425814826</v>
      </c>
      <c r="H115" s="24">
        <v>28.37342693467648</v>
      </c>
      <c r="I115" s="24">
        <v>31.173431396484375</v>
      </c>
      <c r="K115" s="24">
        <v>0.65824118214410254</v>
      </c>
      <c r="L115" s="24">
        <v>4.2028439324445248</v>
      </c>
      <c r="M115" s="24">
        <v>593.52885711748434</v>
      </c>
      <c r="N115" s="24">
        <v>0.71731656789779663</v>
      </c>
      <c r="O115" s="24">
        <v>31.857925731852522</v>
      </c>
      <c r="P115" s="24">
        <v>28.639417783023227</v>
      </c>
      <c r="Q115" s="24">
        <v>32.180038452148438</v>
      </c>
      <c r="T115" s="24">
        <v>0.51520719358307332</v>
      </c>
      <c r="U115" s="24">
        <v>4.1430869481480963</v>
      </c>
      <c r="V115" s="24">
        <v>582.25013615316504</v>
      </c>
      <c r="W115" s="24">
        <v>0.72081512212753296</v>
      </c>
      <c r="X115" s="24">
        <v>31.871190667401965</v>
      </c>
      <c r="Y115" s="24">
        <v>28.575098107400098</v>
      </c>
      <c r="Z115" s="24">
        <v>32.045639038085938</v>
      </c>
      <c r="AA115" s="24">
        <v>5.1276444809116306</v>
      </c>
      <c r="AC115" s="24">
        <v>0.48803780735893193</v>
      </c>
      <c r="AD115" s="24">
        <v>3.9311150577777356</v>
      </c>
      <c r="AE115" s="24">
        <v>543.09577107916743</v>
      </c>
      <c r="AF115" s="24">
        <v>0.73324441909790039</v>
      </c>
      <c r="AG115" s="24">
        <v>31.918244472026856</v>
      </c>
      <c r="AH115" s="24">
        <v>28.33403360837918</v>
      </c>
      <c r="AI115" s="24">
        <v>31.544605255126953</v>
      </c>
      <c r="AK115" s="24">
        <v>0.28992269776002333</v>
      </c>
      <c r="AL115" s="24">
        <v>3.4672192592592546</v>
      </c>
      <c r="AM115" s="24">
        <v>461.80949903098877</v>
      </c>
      <c r="AN115" s="24">
        <v>0.76055020093917847</v>
      </c>
      <c r="AO115" s="24">
        <v>32.021220683786154</v>
      </c>
      <c r="AP115" s="24">
        <v>27.713078255192531</v>
      </c>
      <c r="AQ115" s="24">
        <v>30.274539947509766</v>
      </c>
      <c r="AS115" s="24">
        <v>0.2829634088684494</v>
      </c>
      <c r="AT115" s="24">
        <v>3.3939681481481432</v>
      </c>
      <c r="AU115" s="24">
        <v>449.49690898961654</v>
      </c>
      <c r="AV115" s="24">
        <v>0.76487505435943604</v>
      </c>
      <c r="AW115" s="24">
        <v>32.03748106371085</v>
      </c>
      <c r="AX115" s="24">
        <v>27.600648894426516</v>
      </c>
      <c r="AY115" s="24">
        <v>30.048538208007813</v>
      </c>
    </row>
    <row r="116" spans="2:51" s="24" customFormat="1">
      <c r="B116" s="24">
        <f t="shared" si="41"/>
        <v>0.75</v>
      </c>
      <c r="C116" s="24">
        <v>0.78050349174585876</v>
      </c>
      <c r="D116" s="24">
        <v>4.9490010074075093</v>
      </c>
      <c r="E116" s="24">
        <v>427.09199711046426</v>
      </c>
      <c r="F116" s="24">
        <v>1.1738309860229492</v>
      </c>
      <c r="G116" s="24">
        <v>31.692292783241058</v>
      </c>
      <c r="H116" s="24">
        <v>27.700981279059</v>
      </c>
      <c r="I116" s="24">
        <v>29.488420486450195</v>
      </c>
      <c r="K116" s="24">
        <v>0.79960663036226232</v>
      </c>
      <c r="L116" s="24">
        <v>5.070822570666766</v>
      </c>
      <c r="M116" s="24">
        <v>560.31119359927254</v>
      </c>
      <c r="N116" s="24">
        <v>0.91676610708236694</v>
      </c>
      <c r="O116" s="24">
        <v>31.665250669182043</v>
      </c>
      <c r="P116" s="24">
        <v>28.644124843476131</v>
      </c>
      <c r="Q116" s="24">
        <v>31.715042114257813</v>
      </c>
      <c r="T116" s="24">
        <v>0.57031357759698331</v>
      </c>
      <c r="U116" s="24">
        <v>4.5606073382715477</v>
      </c>
      <c r="V116" s="24">
        <v>488.14409457348296</v>
      </c>
      <c r="W116" s="24">
        <v>0.94642037153244019</v>
      </c>
      <c r="X116" s="24">
        <v>31.778508931019601</v>
      </c>
      <c r="Y116" s="24">
        <v>28.116971436145832</v>
      </c>
      <c r="Z116" s="24">
        <v>30.664632797241211</v>
      </c>
      <c r="AA116" s="24">
        <v>5.0916712885746982</v>
      </c>
      <c r="AC116" s="24">
        <v>0.59909965903943896</v>
      </c>
      <c r="AD116" s="24">
        <v>4.7982727911110574</v>
      </c>
      <c r="AE116" s="24">
        <v>521.2014859864563</v>
      </c>
      <c r="AF116" s="24">
        <v>0.93258565664291382</v>
      </c>
      <c r="AG116" s="24">
        <v>31.725751634925022</v>
      </c>
      <c r="AH116" s="24">
        <v>28.375024419678404</v>
      </c>
      <c r="AI116" s="24">
        <v>31.176610946655273</v>
      </c>
      <c r="AK116" s="24">
        <v>0.32509942032885303</v>
      </c>
      <c r="AL116" s="24">
        <v>3.8578918518518455</v>
      </c>
      <c r="AM116" s="24">
        <v>395.73332251097401</v>
      </c>
      <c r="AN116" s="24">
        <v>0.9875449538230896</v>
      </c>
      <c r="AO116" s="24">
        <v>31.9344986575211</v>
      </c>
      <c r="AP116" s="24">
        <v>27.185813977119864</v>
      </c>
      <c r="AQ116" s="24">
        <v>28.86553955078125</v>
      </c>
      <c r="AS116" s="24">
        <v>0.34165121073374871</v>
      </c>
      <c r="AT116" s="24">
        <v>4.0288111111111045</v>
      </c>
      <c r="AU116" s="24">
        <v>417.50740353656744</v>
      </c>
      <c r="AV116" s="24">
        <v>0.9775121808052063</v>
      </c>
      <c r="AW116" s="24">
        <v>31.896557771030139</v>
      </c>
      <c r="AX116" s="24">
        <v>27.440184941248383</v>
      </c>
      <c r="AY116" s="24">
        <v>29.348539352416992</v>
      </c>
    </row>
    <row r="117" spans="2:51">
      <c r="B117" s="24">
        <f t="shared" si="41"/>
        <v>1</v>
      </c>
      <c r="C117" s="24">
        <v>0.83555833016782288</v>
      </c>
      <c r="D117" s="24">
        <v>5.2789344079013443</v>
      </c>
      <c r="E117" s="24">
        <v>380.68525489386928</v>
      </c>
      <c r="F117" s="24">
        <v>1.4047195911407471</v>
      </c>
      <c r="G117" s="24">
        <v>31.619053724331227</v>
      </c>
      <c r="H117" s="24">
        <v>27.274899767888304</v>
      </c>
      <c r="I117" s="24">
        <v>28.388418197631836</v>
      </c>
      <c r="K117" s="24">
        <v>0.91798867325481348</v>
      </c>
      <c r="L117" s="24">
        <v>5.7560688640001114</v>
      </c>
      <c r="M117" s="24">
        <v>517.28677736533371</v>
      </c>
      <c r="N117" s="24">
        <v>1.1272079944610596</v>
      </c>
      <c r="O117" s="24">
        <v>31.513138777600087</v>
      </c>
      <c r="P117" s="24">
        <v>28.525602919066621</v>
      </c>
      <c r="Q117" s="24">
        <v>31.063032150268555</v>
      </c>
      <c r="T117" s="24">
        <v>0.62196018279097309</v>
      </c>
      <c r="U117" s="24">
        <v>4.9460107753085785</v>
      </c>
      <c r="V117" s="24">
        <v>426.77085166802425</v>
      </c>
      <c r="W117" s="24">
        <v>1.1740044355392456</v>
      </c>
      <c r="X117" s="24">
        <v>31.692956558974341</v>
      </c>
      <c r="Y117" s="24">
        <v>27.697382803322508</v>
      </c>
      <c r="Z117" s="24">
        <v>29.481632232666016</v>
      </c>
      <c r="AA117" s="24">
        <v>5.0603666355327874</v>
      </c>
      <c r="AC117" s="24">
        <v>0.69655389408910851</v>
      </c>
      <c r="AD117" s="24">
        <v>5.4919989777777172</v>
      </c>
      <c r="AE117" s="24">
        <v>486.98508173941678</v>
      </c>
      <c r="AF117" s="24">
        <v>1.1424158811569214</v>
      </c>
      <c r="AG117" s="24">
        <v>31.571757365243553</v>
      </c>
      <c r="AH117" s="24">
        <v>28.279899616355578</v>
      </c>
      <c r="AI117" s="24">
        <v>30.588605880737305</v>
      </c>
      <c r="AK117" s="24">
        <v>0.34524024884592924</v>
      </c>
      <c r="AL117" s="24">
        <v>4.0776451851851796</v>
      </c>
      <c r="AM117" s="24">
        <v>337.2928745795565</v>
      </c>
      <c r="AN117" s="24">
        <v>1.22464919090271</v>
      </c>
      <c r="AO117" s="24">
        <v>31.885717517747008</v>
      </c>
      <c r="AP117" s="24">
        <v>26.481171953612552</v>
      </c>
      <c r="AQ117" s="24">
        <v>27.275541305541992</v>
      </c>
      <c r="AS117" s="24">
        <v>0.38841543472567613</v>
      </c>
      <c r="AT117" s="24">
        <v>4.5415688888888823</v>
      </c>
      <c r="AU117" s="24">
        <v>384.17478742842167</v>
      </c>
      <c r="AV117" s="24">
        <v>1.1975302696228027</v>
      </c>
      <c r="AW117" s="24">
        <v>31.782735111557255</v>
      </c>
      <c r="AX117" s="24">
        <v>27.184107962118535</v>
      </c>
      <c r="AY117" s="24">
        <v>28.531539916992188</v>
      </c>
    </row>
    <row r="118" spans="2:51">
      <c r="B118" s="24">
        <f t="shared" si="41"/>
        <v>1.25</v>
      </c>
      <c r="C118" s="24">
        <v>0.86123242504018527</v>
      </c>
      <c r="D118" s="24">
        <v>5.4312113619754223</v>
      </c>
      <c r="E118" s="24">
        <v>334.26938249756819</v>
      </c>
      <c r="F118" s="24">
        <v>1.6459231376647949</v>
      </c>
      <c r="G118" s="24">
        <v>31.585251081757459</v>
      </c>
      <c r="H118" s="24">
        <v>26.67102415861444</v>
      </c>
      <c r="I118" s="24">
        <v>27.068428039550781</v>
      </c>
      <c r="K118" s="24">
        <v>0.98696373753098254</v>
      </c>
      <c r="L118" s="24">
        <v>6.1672166400001212</v>
      </c>
      <c r="M118" s="24">
        <v>461.53199308122691</v>
      </c>
      <c r="N118" s="24">
        <v>1.3536202907562256</v>
      </c>
      <c r="O118" s="24">
        <v>31.421871642650913</v>
      </c>
      <c r="P118" s="24">
        <v>28.208403102375264</v>
      </c>
      <c r="Q118" s="24">
        <v>30.094039916992188</v>
      </c>
      <c r="T118" s="24">
        <v>0.65685317971371937</v>
      </c>
      <c r="U118" s="24">
        <v>5.2029463999999335</v>
      </c>
      <c r="V118" s="24">
        <v>374.03512940375674</v>
      </c>
      <c r="W118" s="24">
        <v>1.4091148376464844</v>
      </c>
      <c r="X118" s="24">
        <v>31.635921644277502</v>
      </c>
      <c r="Y118" s="24">
        <v>27.181258598239456</v>
      </c>
      <c r="Z118" s="24">
        <v>28.221628189086914</v>
      </c>
      <c r="AA118" s="24">
        <v>5.0180468527385909</v>
      </c>
      <c r="AC118" s="24">
        <v>0.77276812928072203</v>
      </c>
      <c r="AD118" s="24">
        <v>6.0701041333332695</v>
      </c>
      <c r="AE118" s="24">
        <v>452.40569863816165</v>
      </c>
      <c r="AF118" s="24">
        <v>1.3591817617416382</v>
      </c>
      <c r="AG118" s="24">
        <v>31.443428807175664</v>
      </c>
      <c r="AH118" s="24">
        <v>28.118505908417283</v>
      </c>
      <c r="AI118" s="24">
        <v>29.926603317260742</v>
      </c>
      <c r="AK118" s="24">
        <v>0.37024492257535213</v>
      </c>
      <c r="AL118" s="24">
        <v>4.3706496296296224</v>
      </c>
      <c r="AM118" s="24">
        <v>303.77038363336317</v>
      </c>
      <c r="AN118" s="24">
        <v>1.4575048685073853</v>
      </c>
      <c r="AO118" s="24">
        <v>31.820675998048216</v>
      </c>
      <c r="AP118" s="24">
        <v>25.967745366479697</v>
      </c>
      <c r="AQ118" s="24">
        <v>26.145536422729492</v>
      </c>
      <c r="AS118" s="24">
        <v>0.41964706306018096</v>
      </c>
      <c r="AT118" s="24">
        <v>4.8834074074073994</v>
      </c>
      <c r="AU118" s="24">
        <v>346.5085937743857</v>
      </c>
      <c r="AV118" s="24">
        <v>1.4276390075683594</v>
      </c>
      <c r="AW118" s="24">
        <v>31.706853338575332</v>
      </c>
      <c r="AX118" s="24">
        <v>26.760285928778146</v>
      </c>
      <c r="AY118" s="24">
        <v>27.483537673950195</v>
      </c>
    </row>
    <row r="119" spans="2:51">
      <c r="B119" s="24">
        <f t="shared" si="41"/>
        <v>1.5</v>
      </c>
      <c r="C119" s="24">
        <v>0.89141969979045654</v>
      </c>
      <c r="D119" s="24">
        <v>5.6088678083951793</v>
      </c>
      <c r="E119" s="24">
        <v>301.31219995139924</v>
      </c>
      <c r="F119" s="24">
        <v>1.8856797218322754</v>
      </c>
      <c r="G119" s="24">
        <v>31.545814665421396</v>
      </c>
      <c r="H119" s="24">
        <v>26.128399261139865</v>
      </c>
      <c r="I119" s="24">
        <v>25.946428298950195</v>
      </c>
      <c r="K119" s="24">
        <v>0.99719890522230115</v>
      </c>
      <c r="L119" s="24">
        <v>6.2585828124445673</v>
      </c>
      <c r="M119" s="24">
        <v>396.64479499442501</v>
      </c>
      <c r="N119" s="24">
        <v>1.598393440246582</v>
      </c>
      <c r="O119" s="24">
        <v>31.401590057106656</v>
      </c>
      <c r="P119" s="24">
        <v>27.622312981630397</v>
      </c>
      <c r="Q119" s="24">
        <v>28.713039398193359</v>
      </c>
      <c r="T119" s="24">
        <v>0.69215081583384586</v>
      </c>
      <c r="U119" s="24">
        <v>5.4598820246912911</v>
      </c>
      <c r="V119" s="24">
        <v>336.37207319380815</v>
      </c>
      <c r="W119" s="24">
        <v>1.6442686319351196</v>
      </c>
      <c r="X119" s="24">
        <v>31.57888672958066</v>
      </c>
      <c r="Y119" s="24">
        <v>26.708538812580876</v>
      </c>
      <c r="Z119" s="24">
        <v>27.131626129150391</v>
      </c>
      <c r="AA119" s="24">
        <v>4.985385057842878</v>
      </c>
      <c r="AC119" s="24">
        <v>0.83095497351554815</v>
      </c>
      <c r="AD119" s="24">
        <v>6.4747777422221571</v>
      </c>
      <c r="AE119" s="24">
        <v>413.54067146973927</v>
      </c>
      <c r="AF119" s="24">
        <v>1.5860470533370972</v>
      </c>
      <c r="AG119" s="24">
        <v>31.353598816528137</v>
      </c>
      <c r="AH119" s="24">
        <v>27.834452702773355</v>
      </c>
      <c r="AI119" s="24">
        <v>29.091608047485352</v>
      </c>
      <c r="AK119" s="24">
        <v>0.37484030838663318</v>
      </c>
      <c r="AL119" s="24">
        <v>4.4194837037036958</v>
      </c>
      <c r="AM119" s="24">
        <v>262.63040146790235</v>
      </c>
      <c r="AN119" s="24">
        <v>1.7046530246734619</v>
      </c>
      <c r="AO119" s="24">
        <v>31.809835744765085</v>
      </c>
      <c r="AP119" s="24">
        <v>25.077340236642367</v>
      </c>
      <c r="AQ119" s="24">
        <v>24.524539947509766</v>
      </c>
      <c r="AS119" s="24">
        <v>0.43025886916711759</v>
      </c>
      <c r="AT119" s="24">
        <v>5.0054925925925842</v>
      </c>
      <c r="AU119" s="24">
        <v>303.52596728273693</v>
      </c>
      <c r="AV119" s="24">
        <v>1.6705535650253296</v>
      </c>
      <c r="AW119" s="24">
        <v>31.679752705367502</v>
      </c>
      <c r="AX119" s="24">
        <v>26.070986330717112</v>
      </c>
      <c r="AY119" s="24">
        <v>26.078540802001953</v>
      </c>
    </row>
    <row r="120" spans="2:51">
      <c r="B120" s="24">
        <f t="shared" si="41"/>
        <v>1.75</v>
      </c>
      <c r="C120" s="24">
        <v>0.9000932228925187</v>
      </c>
      <c r="D120" s="24">
        <v>5.6596267930865389</v>
      </c>
      <c r="E120" s="24">
        <v>268.81648407661282</v>
      </c>
      <c r="F120" s="24">
        <v>2.1327569484710693</v>
      </c>
      <c r="G120" s="24">
        <v>31.534547117896807</v>
      </c>
      <c r="H120" s="24">
        <v>25.429406716944943</v>
      </c>
      <c r="I120" s="24">
        <v>24.668418884277344</v>
      </c>
      <c r="K120" s="24">
        <v>0.99719890522230115</v>
      </c>
      <c r="L120" s="24">
        <v>6.2128997262223438</v>
      </c>
      <c r="M120" s="24">
        <v>340.01331558870908</v>
      </c>
      <c r="N120" s="24">
        <v>1.8510061502456665</v>
      </c>
      <c r="O120" s="24">
        <v>31.411730849878786</v>
      </c>
      <c r="P120" s="24">
        <v>26.887618010126896</v>
      </c>
      <c r="Q120" s="24">
        <v>27.183029174804688</v>
      </c>
      <c r="T120" s="24">
        <v>0.70996018836232144</v>
      </c>
      <c r="U120" s="24">
        <v>5.5883498370369704</v>
      </c>
      <c r="V120" s="24">
        <v>300.02190088814473</v>
      </c>
      <c r="W120" s="24">
        <v>1.8868616819381714</v>
      </c>
      <c r="X120" s="24">
        <v>31.550369272232238</v>
      </c>
      <c r="Y120" s="24">
        <v>26.099631774509472</v>
      </c>
      <c r="Z120" s="24">
        <v>25.900627136230469</v>
      </c>
      <c r="AA120" s="24">
        <v>4.9626365647813504</v>
      </c>
      <c r="AC120" s="24">
        <v>0.85985732948378657</v>
      </c>
      <c r="AD120" s="24">
        <v>6.6482092888888227</v>
      </c>
      <c r="AE120" s="24">
        <v>368.78578690859587</v>
      </c>
      <c r="AF120" s="24">
        <v>1.826164722442627</v>
      </c>
      <c r="AG120" s="24">
        <v>31.315100249107772</v>
      </c>
      <c r="AH120" s="24">
        <v>27.357487156178056</v>
      </c>
      <c r="AI120" s="24">
        <v>27.977603912353516</v>
      </c>
      <c r="AK120" s="24">
        <v>0.40511249867293819</v>
      </c>
      <c r="AL120" s="24">
        <v>4.7369051851851776</v>
      </c>
      <c r="AM120" s="24">
        <v>247.83586776078116</v>
      </c>
      <c r="AN120" s="24">
        <v>1.9361543655395508</v>
      </c>
      <c r="AO120" s="24">
        <v>31.739374098424726</v>
      </c>
      <c r="AP120" s="24">
        <v>24.731117604187443</v>
      </c>
      <c r="AQ120" s="24">
        <v>23.826536178588867</v>
      </c>
      <c r="AS120" s="24">
        <v>0.43025886916711759</v>
      </c>
      <c r="AT120" s="24">
        <v>4.981075555555547</v>
      </c>
      <c r="AU120" s="24">
        <v>262.53426511855264</v>
      </c>
      <c r="AV120" s="24">
        <v>1.9219698905944824</v>
      </c>
      <c r="AW120" s="24">
        <v>31.685172832009069</v>
      </c>
      <c r="AX120" s="24">
        <v>25.16597720254131</v>
      </c>
      <c r="AY120" s="24">
        <v>24.464534759521484</v>
      </c>
    </row>
    <row r="121" spans="2:51">
      <c r="B121" s="24">
        <f t="shared" si="41"/>
        <v>2</v>
      </c>
      <c r="C121" s="24">
        <v>0.93502499693490349</v>
      </c>
      <c r="D121" s="24">
        <v>5.8626627318519757</v>
      </c>
      <c r="E121" s="24">
        <v>250.47118546487781</v>
      </c>
      <c r="F121" s="24">
        <v>2.371082067489624</v>
      </c>
      <c r="G121" s="24">
        <v>31.489476927798449</v>
      </c>
      <c r="H121" s="24">
        <v>24.978771200965298</v>
      </c>
      <c r="I121" s="24">
        <v>23.836420059204102</v>
      </c>
      <c r="J121" s="24"/>
      <c r="K121" s="24">
        <v>0.99719890522230115</v>
      </c>
      <c r="L121" s="24">
        <v>6.2128997262223438</v>
      </c>
      <c r="M121" s="24">
        <v>299.55492453750873</v>
      </c>
      <c r="N121" s="24">
        <v>2.1010062694549561</v>
      </c>
      <c r="O121" s="24">
        <v>31.411730849878786</v>
      </c>
      <c r="P121" s="24">
        <v>26.189911884581697</v>
      </c>
      <c r="Q121" s="24">
        <v>25.83003044128418</v>
      </c>
      <c r="R121" s="20"/>
      <c r="S121" s="20"/>
      <c r="T121" s="24">
        <v>0.74592599606155241</v>
      </c>
      <c r="U121" s="24">
        <v>5.8774024148147488</v>
      </c>
      <c r="V121" s="24">
        <v>280.80882880541117</v>
      </c>
      <c r="W121" s="24">
        <v>2.1202354431152344</v>
      </c>
      <c r="X121" s="24">
        <v>31.486204993198292</v>
      </c>
      <c r="Y121" s="24">
        <v>25.743887506750653</v>
      </c>
      <c r="Z121" s="24">
        <v>25.141630172729492</v>
      </c>
      <c r="AA121" s="24">
        <v>4.9220283638501288</v>
      </c>
      <c r="AC121" s="24">
        <v>0.86136030714531531</v>
      </c>
      <c r="AD121" s="24">
        <v>6.7060198044443791</v>
      </c>
      <c r="AE121" s="24">
        <v>327.71866458596247</v>
      </c>
      <c r="AF121" s="24">
        <v>2.0728750228881836</v>
      </c>
      <c r="AG121" s="24">
        <v>31.30226739330098</v>
      </c>
      <c r="AH121" s="24">
        <v>26.772507533454089</v>
      </c>
      <c r="AI121" s="24">
        <v>26.759609222412109</v>
      </c>
      <c r="AK121" s="24">
        <v>0.40983506584883944</v>
      </c>
      <c r="AL121" s="24">
        <v>4.7857392592592518</v>
      </c>
      <c r="AM121" s="24">
        <v>222.04562225464102</v>
      </c>
      <c r="AN121" s="24">
        <v>2.183314323425293</v>
      </c>
      <c r="AO121" s="24">
        <v>31.728533845141595</v>
      </c>
      <c r="AP121" s="24">
        <v>23.922466211648075</v>
      </c>
      <c r="AQ121" s="24">
        <v>22.538536071777344</v>
      </c>
      <c r="AS121" s="24">
        <v>0.43025886916711759</v>
      </c>
      <c r="AT121" s="24">
        <v>4.981075555555547</v>
      </c>
      <c r="AU121" s="24">
        <v>232.3158139088269</v>
      </c>
      <c r="AV121" s="24">
        <v>2.1719698905944824</v>
      </c>
      <c r="AW121" s="24">
        <v>31.685172832009069</v>
      </c>
      <c r="AX121" s="24">
        <v>24.298139962959105</v>
      </c>
      <c r="AY121" s="24">
        <v>23.048534393310547</v>
      </c>
    </row>
    <row r="122" spans="2:51">
      <c r="B122" s="24">
        <f t="shared" si="41"/>
        <v>2.25</v>
      </c>
      <c r="C122" s="24">
        <v>0.96148823894954349</v>
      </c>
      <c r="D122" s="24">
        <v>6.0403191782717336</v>
      </c>
      <c r="E122" s="24">
        <v>234.35864600817877</v>
      </c>
      <c r="F122" s="24">
        <v>2.6108887195587158</v>
      </c>
      <c r="G122" s="24">
        <v>31.450040511462387</v>
      </c>
      <c r="H122" s="24">
        <v>24.520229897968424</v>
      </c>
      <c r="I122" s="24">
        <v>23.042442321777344</v>
      </c>
      <c r="J122" s="24"/>
      <c r="K122" s="24">
        <v>0.99719890522230115</v>
      </c>
      <c r="L122" s="24">
        <v>6.2128997262223438</v>
      </c>
      <c r="M122" s="24">
        <v>267.7010177508954</v>
      </c>
      <c r="N122" s="24">
        <v>2.3510062694549561</v>
      </c>
      <c r="O122" s="24">
        <v>31.411730849878786</v>
      </c>
      <c r="P122" s="24">
        <v>25.486780657194458</v>
      </c>
      <c r="Q122" s="24">
        <v>24.570030212402344</v>
      </c>
      <c r="R122" s="20"/>
      <c r="S122" s="20"/>
      <c r="T122" s="24">
        <v>0.77779589354671386</v>
      </c>
      <c r="U122" s="24">
        <v>6.1022210864196884</v>
      </c>
      <c r="V122" s="24">
        <v>262.22544855757712</v>
      </c>
      <c r="W122" s="24">
        <v>2.3573417663574219</v>
      </c>
      <c r="X122" s="24">
        <v>31.436299442838557</v>
      </c>
      <c r="Y122" s="24">
        <v>25.331856194770889</v>
      </c>
      <c r="Z122" s="24">
        <v>24.343633651733398</v>
      </c>
      <c r="AA122" s="24">
        <v>4.9111073182641949</v>
      </c>
      <c r="AC122" s="24">
        <v>0.86136030714531531</v>
      </c>
      <c r="AD122" s="24">
        <v>6.7060198044443791</v>
      </c>
      <c r="AE122" s="24">
        <v>292.44786078877343</v>
      </c>
      <c r="AF122" s="24">
        <v>2.3228750228881836</v>
      </c>
      <c r="AG122" s="24">
        <v>31.30226739330098</v>
      </c>
      <c r="AH122" s="24">
        <v>26.122178909853641</v>
      </c>
      <c r="AI122" s="24">
        <v>25.523616790771484</v>
      </c>
      <c r="AK122" s="24">
        <v>0.41933628507128134</v>
      </c>
      <c r="AL122" s="24">
        <v>4.8834074074073994</v>
      </c>
      <c r="AM122" s="24">
        <v>203.77378077642743</v>
      </c>
      <c r="AN122" s="24">
        <v>2.4276390075683594</v>
      </c>
      <c r="AO122" s="24">
        <v>31.706853338575332</v>
      </c>
      <c r="AP122" s="24">
        <v>23.240925876965715</v>
      </c>
      <c r="AQ122" s="24">
        <v>21.51453971862793</v>
      </c>
      <c r="AS122" s="24">
        <v>0.43025886916711759</v>
      </c>
      <c r="AT122" s="24">
        <v>4.981075555555547</v>
      </c>
      <c r="AU122" s="24">
        <v>208.33576625666612</v>
      </c>
      <c r="AV122" s="24">
        <v>2.4219698905944824</v>
      </c>
      <c r="AW122" s="24">
        <v>31.685172832009069</v>
      </c>
      <c r="AX122" s="24">
        <v>23.439351529916458</v>
      </c>
      <c r="AY122" s="24">
        <v>21.765539169311523</v>
      </c>
    </row>
    <row r="123" spans="2:51">
      <c r="B123" s="24">
        <f t="shared" si="41"/>
        <v>2.5</v>
      </c>
      <c r="C123" s="24">
        <v>0.97036197674757441</v>
      </c>
      <c r="D123" s="24">
        <v>6.0910781629630932</v>
      </c>
      <c r="E123" s="24">
        <v>215.89591582078404</v>
      </c>
      <c r="F123" s="24">
        <v>2.8579800128936768</v>
      </c>
      <c r="G123" s="24">
        <v>31.438772963937797</v>
      </c>
      <c r="H123" s="24">
        <v>23.88657216285154</v>
      </c>
      <c r="I123" s="24">
        <v>22.068428039550781</v>
      </c>
      <c r="J123" s="24"/>
      <c r="K123" s="24">
        <v>0.99719890522230115</v>
      </c>
      <c r="L123" s="24">
        <v>6.2128997262223438</v>
      </c>
      <c r="M123" s="24">
        <v>241.97049261054784</v>
      </c>
      <c r="N123" s="24">
        <v>2.6010062694549561</v>
      </c>
      <c r="O123" s="24">
        <v>31.411730849878786</v>
      </c>
      <c r="P123" s="24">
        <v>24.782758661234048</v>
      </c>
      <c r="Q123" s="24">
        <v>23.401039123535156</v>
      </c>
      <c r="R123" s="20"/>
      <c r="S123" s="20"/>
      <c r="T123" s="24">
        <v>0.80080256648837578</v>
      </c>
      <c r="U123" s="24">
        <v>6.2628058518517884</v>
      </c>
      <c r="V123" s="24">
        <v>244.18210966061454</v>
      </c>
      <c r="W123" s="24">
        <v>2.5981519222259521</v>
      </c>
      <c r="X123" s="24">
        <v>31.400652621153032</v>
      </c>
      <c r="Y123" s="24">
        <v>24.855671107695418</v>
      </c>
      <c r="Z123" s="24">
        <v>23.501632690429688</v>
      </c>
      <c r="AA123" s="24">
        <v>4.8921665527103073</v>
      </c>
      <c r="AC123" s="24">
        <v>0.86136030714531531</v>
      </c>
      <c r="AD123" s="24">
        <v>6.7060198044443791</v>
      </c>
      <c r="AE123" s="24">
        <v>264.03141343361028</v>
      </c>
      <c r="AF123" s="24">
        <v>2.5728750228881836</v>
      </c>
      <c r="AG123" s="24">
        <v>31.30226739330098</v>
      </c>
      <c r="AH123" s="24">
        <v>25.467221556607019</v>
      </c>
      <c r="AI123" s="24">
        <v>24.366613388061523</v>
      </c>
      <c r="AK123" s="24">
        <v>0.44586523702346098</v>
      </c>
      <c r="AL123" s="24">
        <v>5.1764118518518432</v>
      </c>
      <c r="AM123" s="24">
        <v>197.08357244492683</v>
      </c>
      <c r="AN123" s="24">
        <v>2.6606504917144775</v>
      </c>
      <c r="AO123" s="24">
        <v>31.64181181887654</v>
      </c>
      <c r="AP123" s="24">
        <v>22.997467664105923</v>
      </c>
      <c r="AQ123" s="24">
        <v>21.08753776550293</v>
      </c>
      <c r="AS123" s="24">
        <v>0.43025886916711759</v>
      </c>
      <c r="AT123" s="24">
        <v>4.981075555555547</v>
      </c>
      <c r="AU123" s="24">
        <v>188.84305352983395</v>
      </c>
      <c r="AV123" s="24">
        <v>2.6719698905944824</v>
      </c>
      <c r="AW123" s="24">
        <v>31.685172832009069</v>
      </c>
      <c r="AX123" s="24">
        <v>22.596555785294683</v>
      </c>
      <c r="AY123" s="24">
        <v>20.606536865234375</v>
      </c>
    </row>
    <row r="124" spans="2:51">
      <c r="B124" s="24">
        <f t="shared" si="41"/>
        <v>2.75</v>
      </c>
      <c r="C124" s="24">
        <v>0.9971560425809759</v>
      </c>
      <c r="D124" s="24">
        <v>6.2433551170371704</v>
      </c>
      <c r="E124" s="24">
        <v>204.06516933975175</v>
      </c>
      <c r="F124" s="24">
        <v>3.0992641448974609</v>
      </c>
      <c r="G124" s="24">
        <v>31.404970321364029</v>
      </c>
      <c r="H124" s="24">
        <v>23.439222343518658</v>
      </c>
      <c r="I124" s="24">
        <v>21.383430480957031</v>
      </c>
      <c r="J124" s="24"/>
      <c r="K124" s="24">
        <v>0.99719890522230115</v>
      </c>
      <c r="L124" s="24">
        <v>6.2128997262223438</v>
      </c>
      <c r="M124" s="24">
        <v>220.75250158616231</v>
      </c>
      <c r="N124" s="24">
        <v>2.8510062694549561</v>
      </c>
      <c r="O124" s="24">
        <v>31.411730849878786</v>
      </c>
      <c r="P124" s="24">
        <v>24.081633440641543</v>
      </c>
      <c r="Q124" s="24">
        <v>22.319038391113281</v>
      </c>
      <c r="R124" s="20"/>
      <c r="S124" s="20"/>
      <c r="T124" s="24">
        <v>0.81006416436277728</v>
      </c>
      <c r="U124" s="24">
        <v>6.327039758024628</v>
      </c>
      <c r="V124" s="24">
        <v>225.32376919712553</v>
      </c>
      <c r="W124" s="24">
        <v>2.8444807529449463</v>
      </c>
      <c r="X124" s="24">
        <v>31.386393892478821</v>
      </c>
      <c r="Y124" s="24">
        <v>24.259478103028616</v>
      </c>
      <c r="Z124" s="24">
        <v>22.550630569458008</v>
      </c>
      <c r="AA124" s="24">
        <v>4.8747184281631233</v>
      </c>
      <c r="AC124" s="24">
        <v>0.86136030714531531</v>
      </c>
      <c r="AD124" s="24">
        <v>6.7060198044443791</v>
      </c>
      <c r="AE124" s="24">
        <v>240.64821196958269</v>
      </c>
      <c r="AF124" s="24">
        <v>2.8228750228881836</v>
      </c>
      <c r="AG124" s="24">
        <v>31.30226739330098</v>
      </c>
      <c r="AH124" s="24">
        <v>24.812250922887834</v>
      </c>
      <c r="AI124" s="24">
        <v>23.288610458374023</v>
      </c>
      <c r="AK124" s="24">
        <v>0.4556674424742575</v>
      </c>
      <c r="AL124" s="24">
        <v>5.2740799999999917</v>
      </c>
      <c r="AM124" s="24">
        <v>183.91196074581666</v>
      </c>
      <c r="AN124" s="24">
        <v>2.9050002098083496</v>
      </c>
      <c r="AO124" s="24">
        <v>31.620131312310278</v>
      </c>
      <c r="AP124" s="24">
        <v>22.397429821627775</v>
      </c>
      <c r="AQ124" s="24">
        <v>20.262537002563477</v>
      </c>
      <c r="AS124" s="24">
        <v>0.43025886916711759</v>
      </c>
      <c r="AT124" s="24">
        <v>4.981075555555547</v>
      </c>
      <c r="AU124" s="24">
        <v>172.68588384964895</v>
      </c>
      <c r="AV124" s="24">
        <v>2.9219698905944824</v>
      </c>
      <c r="AW124" s="24">
        <v>31.685172832009069</v>
      </c>
      <c r="AX124" s="24">
        <v>21.776453730730758</v>
      </c>
      <c r="AY124" s="24">
        <v>19.562534332275391</v>
      </c>
    </row>
    <row r="125" spans="2:51">
      <c r="B125" s="24">
        <f t="shared" si="41"/>
        <v>3</v>
      </c>
      <c r="C125" s="24">
        <v>1.0151661964096637</v>
      </c>
      <c r="D125" s="24">
        <v>6.3448730864198906</v>
      </c>
      <c r="E125" s="24">
        <v>192.23656334428205</v>
      </c>
      <c r="F125" s="24">
        <v>3.3434619903564453</v>
      </c>
      <c r="G125" s="24">
        <v>31.38243522631485</v>
      </c>
      <c r="H125" s="24">
        <v>22.933324467787411</v>
      </c>
      <c r="I125" s="24">
        <v>20.665431976318359</v>
      </c>
      <c r="J125" s="24"/>
      <c r="K125" s="24">
        <v>0.99719890522230115</v>
      </c>
      <c r="L125" s="24">
        <v>6.2128997262223438</v>
      </c>
      <c r="M125" s="24">
        <v>202.95565678286582</v>
      </c>
      <c r="N125" s="24">
        <v>3.1010062694549561</v>
      </c>
      <c r="O125" s="24">
        <v>31.411730849878786</v>
      </c>
      <c r="P125" s="24">
        <v>23.388845507977084</v>
      </c>
      <c r="Q125" s="24">
        <v>21.322032928466797</v>
      </c>
      <c r="R125" s="20"/>
      <c r="S125" s="20"/>
      <c r="T125" s="24">
        <v>0.84746979780015819</v>
      </c>
      <c r="U125" s="24">
        <v>6.5839753827159875</v>
      </c>
      <c r="V125" s="24">
        <v>216.55685759584716</v>
      </c>
      <c r="W125" s="24">
        <v>3.0798225402832031</v>
      </c>
      <c r="X125" s="24">
        <v>31.329358977781979</v>
      </c>
      <c r="Y125" s="24">
        <v>23.978652523042296</v>
      </c>
      <c r="Z125" s="24">
        <v>22.054637908935547</v>
      </c>
      <c r="AA125" s="24">
        <v>4.8483692346119041</v>
      </c>
      <c r="AC125" s="24">
        <v>0.86136030714531531</v>
      </c>
      <c r="AD125" s="24">
        <v>6.7060198044443791</v>
      </c>
      <c r="AE125" s="24">
        <v>221.06978647981816</v>
      </c>
      <c r="AF125" s="24">
        <v>3.0728750228881836</v>
      </c>
      <c r="AG125" s="24">
        <v>31.30226739330098</v>
      </c>
      <c r="AH125" s="24">
        <v>24.160593053775926</v>
      </c>
      <c r="AI125" s="24">
        <v>22.286605834960938</v>
      </c>
      <c r="AK125" s="24">
        <v>0.46555812467706204</v>
      </c>
      <c r="AL125" s="24">
        <v>5.3717481481481393</v>
      </c>
      <c r="AM125" s="24">
        <v>172.78390681837203</v>
      </c>
      <c r="AN125" s="24">
        <v>3.1493563652038574</v>
      </c>
      <c r="AO125" s="24">
        <v>31.598450805744015</v>
      </c>
      <c r="AP125" s="24">
        <v>21.830441240413649</v>
      </c>
      <c r="AQ125" s="24">
        <v>19.523525238037109</v>
      </c>
      <c r="AS125" s="24">
        <v>0.43025886916711759</v>
      </c>
      <c r="AT125" s="24">
        <v>4.981075555555547</v>
      </c>
      <c r="AU125" s="24">
        <v>159.07558097757314</v>
      </c>
      <c r="AV125" s="24">
        <v>3.1719698905944824</v>
      </c>
      <c r="AW125" s="24">
        <v>31.685172832009069</v>
      </c>
      <c r="AX125" s="24">
        <v>20.982509908856361</v>
      </c>
      <c r="AY125" s="24">
        <v>18.621530532836914</v>
      </c>
    </row>
    <row r="126" spans="2:51">
      <c r="B126" s="24">
        <f t="shared" si="41"/>
        <v>3.25</v>
      </c>
      <c r="C126" s="24">
        <v>1.0151661964096637</v>
      </c>
      <c r="D126" s="24">
        <v>6.3448730864198906</v>
      </c>
      <c r="E126" s="24">
        <v>178.86251322255106</v>
      </c>
      <c r="F126" s="24">
        <v>3.5934619903564453</v>
      </c>
      <c r="G126" s="24">
        <v>31.38243522631485</v>
      </c>
      <c r="H126" s="24">
        <v>22.274714551840127</v>
      </c>
      <c r="I126" s="24">
        <v>19.816415786743164</v>
      </c>
      <c r="J126" s="24"/>
      <c r="K126" s="24">
        <v>0.99719890522230115</v>
      </c>
      <c r="L126" s="24">
        <v>6.2128997262223438</v>
      </c>
      <c r="M126" s="24">
        <v>187.81425991725118</v>
      </c>
      <c r="N126" s="24">
        <v>3.3510062694549561</v>
      </c>
      <c r="O126" s="24">
        <v>31.411730849878786</v>
      </c>
      <c r="P126" s="24">
        <v>22.70803229623127</v>
      </c>
      <c r="Q126" s="24">
        <v>20.405036926269531</v>
      </c>
      <c r="R126" s="20"/>
      <c r="S126" s="20"/>
      <c r="T126" s="24">
        <v>0.86639478250474511</v>
      </c>
      <c r="U126" s="24">
        <v>6.7124431950616659</v>
      </c>
      <c r="V126" s="24">
        <v>204.65569420449745</v>
      </c>
      <c r="W126" s="24">
        <v>3.3225095272064209</v>
      </c>
      <c r="X126" s="24">
        <v>31.300841520433561</v>
      </c>
      <c r="Y126" s="24">
        <v>23.525695859277967</v>
      </c>
      <c r="Z126" s="24">
        <v>21.369644165039063</v>
      </c>
      <c r="AA126" s="24">
        <v>4.8345873350193029</v>
      </c>
      <c r="AC126" s="24">
        <v>0.86136030714531531</v>
      </c>
      <c r="AD126" s="24">
        <v>6.7060198044443791</v>
      </c>
      <c r="AE126" s="24">
        <v>204.43736796613152</v>
      </c>
      <c r="AF126" s="24">
        <v>3.3228750228881836</v>
      </c>
      <c r="AG126" s="24">
        <v>31.30226739330098</v>
      </c>
      <c r="AH126" s="24">
        <v>23.515769403001389</v>
      </c>
      <c r="AI126" s="24">
        <v>21.35760498046875</v>
      </c>
      <c r="AK126" s="24">
        <v>0.47053777026436067</v>
      </c>
      <c r="AL126" s="24">
        <v>5.4205822222222135</v>
      </c>
      <c r="AM126" s="24">
        <v>161.6661426682183</v>
      </c>
      <c r="AN126" s="24">
        <v>3.3965365886688232</v>
      </c>
      <c r="AO126" s="24">
        <v>31.58761055246088</v>
      </c>
      <c r="AP126" s="24">
        <v>21.193757645779552</v>
      </c>
      <c r="AQ126" s="24">
        <v>18.753541946411133</v>
      </c>
      <c r="AS126" s="24">
        <v>0.43025886916711759</v>
      </c>
      <c r="AT126" s="24">
        <v>4.981075555555547</v>
      </c>
      <c r="AU126" s="24">
        <v>147.45394301087555</v>
      </c>
      <c r="AV126" s="24">
        <v>3.4219698905944824</v>
      </c>
      <c r="AW126" s="24">
        <v>31.685172832009069</v>
      </c>
      <c r="AX126" s="24">
        <v>20.220271306174983</v>
      </c>
      <c r="AY126" s="24">
        <v>17.775533676147461</v>
      </c>
    </row>
    <row r="127" spans="2:51">
      <c r="B127" s="24">
        <f t="shared" si="41"/>
        <v>3.5</v>
      </c>
      <c r="C127" s="24">
        <v>1.042422763994608</v>
      </c>
      <c r="D127" s="24">
        <v>6.4971500404939677</v>
      </c>
      <c r="E127" s="24">
        <v>171.6298738824301</v>
      </c>
      <c r="F127" s="24">
        <v>3.8347711563110352</v>
      </c>
      <c r="G127" s="24">
        <v>31.348632583741082</v>
      </c>
      <c r="H127" s="24">
        <v>21.900953681894567</v>
      </c>
      <c r="I127" s="24">
        <v>19.318431854248047</v>
      </c>
      <c r="J127" s="24"/>
      <c r="K127" s="24">
        <v>0.99719890522230115</v>
      </c>
      <c r="L127" s="24">
        <v>6.2128997262223438</v>
      </c>
      <c r="M127" s="24">
        <v>174.77524724442407</v>
      </c>
      <c r="N127" s="24">
        <v>3.6010062694549561</v>
      </c>
      <c r="O127" s="24">
        <v>31.411730849878786</v>
      </c>
      <c r="P127" s="24">
        <v>22.040993376102048</v>
      </c>
      <c r="Q127" s="24">
        <v>19.561033248901367</v>
      </c>
      <c r="R127" s="20"/>
      <c r="S127" s="20"/>
      <c r="T127" s="24">
        <v>0.8854758346545869</v>
      </c>
      <c r="U127" s="24">
        <v>6.840911007407346</v>
      </c>
      <c r="V127" s="24">
        <v>194.37420133520664</v>
      </c>
      <c r="W127" s="24">
        <v>3.5652070045471191</v>
      </c>
      <c r="X127" s="24">
        <v>31.27232406308514</v>
      </c>
      <c r="Y127" s="24">
        <v>23.093708938877594</v>
      </c>
      <c r="Z127" s="24">
        <v>20.743642807006836</v>
      </c>
      <c r="AA127" s="24">
        <v>4.8027739866717178</v>
      </c>
      <c r="AC127" s="24">
        <v>0.86136030714531531</v>
      </c>
      <c r="AD127" s="24">
        <v>6.7060198044443791</v>
      </c>
      <c r="AE127" s="24">
        <v>190.13254540909142</v>
      </c>
      <c r="AF127" s="24">
        <v>3.5728750228881836</v>
      </c>
      <c r="AG127" s="24">
        <v>31.30226739330098</v>
      </c>
      <c r="AH127" s="24">
        <v>22.879899054595292</v>
      </c>
      <c r="AI127" s="24">
        <v>20.496603012084961</v>
      </c>
      <c r="AK127" s="24">
        <v>0.4755409048617259</v>
      </c>
      <c r="AL127" s="24">
        <v>5.4938333333333258</v>
      </c>
      <c r="AM127" s="24">
        <v>152.79460080116095</v>
      </c>
      <c r="AN127" s="24">
        <v>3.6423101425170898</v>
      </c>
      <c r="AO127" s="24">
        <v>31.571350172536185</v>
      </c>
      <c r="AP127" s="24">
        <v>20.638520107797</v>
      </c>
      <c r="AQ127" s="24">
        <v>18.108556747436523</v>
      </c>
      <c r="AS127" s="24">
        <v>0.43025886916711759</v>
      </c>
      <c r="AT127" s="24">
        <v>4.981075555555547</v>
      </c>
      <c r="AU127" s="24">
        <v>137.4147850618879</v>
      </c>
      <c r="AV127" s="24">
        <v>3.6719698905944824</v>
      </c>
      <c r="AW127" s="24">
        <v>31.685172832009069</v>
      </c>
      <c r="AX127" s="24">
        <v>19.490308988700452</v>
      </c>
      <c r="AY127" s="24">
        <v>17.012557983398437</v>
      </c>
    </row>
    <row r="128" spans="2:51">
      <c r="B128" s="24">
        <f t="shared" si="41"/>
        <v>3.75</v>
      </c>
      <c r="C128" s="24">
        <v>1.0607611453820256</v>
      </c>
      <c r="D128" s="24">
        <v>6.5986680098766861</v>
      </c>
      <c r="E128" s="24">
        <v>163.87531624163208</v>
      </c>
      <c r="F128" s="24">
        <v>4.0789856910705566</v>
      </c>
      <c r="G128" s="24">
        <v>31.326097488691904</v>
      </c>
      <c r="H128" s="24">
        <v>21.461935445342441</v>
      </c>
      <c r="I128" s="24">
        <v>18.774429321289063</v>
      </c>
      <c r="J128" s="24"/>
      <c r="K128" s="24">
        <v>0.99719890522230115</v>
      </c>
      <c r="L128" s="24">
        <v>6.2128997262223438</v>
      </c>
      <c r="M128" s="24">
        <v>163.4291704076899</v>
      </c>
      <c r="N128" s="24">
        <v>3.8510062694549561</v>
      </c>
      <c r="O128" s="24">
        <v>31.411730849878786</v>
      </c>
      <c r="P128" s="24">
        <v>21.391436505999732</v>
      </c>
      <c r="Q128" s="24">
        <v>18.786026000976562</v>
      </c>
      <c r="R128" s="20"/>
      <c r="S128" s="20"/>
      <c r="T128" s="24">
        <v>0.8950768505119161</v>
      </c>
      <c r="U128" s="24">
        <v>6.9372618666666064</v>
      </c>
      <c r="V128" s="24">
        <v>184.46012852015801</v>
      </c>
      <c r="W128" s="24">
        <v>3.8097372055053711</v>
      </c>
      <c r="X128" s="24">
        <v>31.250935970073822</v>
      </c>
      <c r="Y128" s="24">
        <v>22.632203700678055</v>
      </c>
      <c r="Z128" s="24">
        <v>20.114622116088867</v>
      </c>
      <c r="AA128" s="24">
        <v>4.8020590520974755</v>
      </c>
      <c r="AC128" s="24">
        <v>0.86136030714531531</v>
      </c>
      <c r="AD128" s="24">
        <v>6.7060198044443791</v>
      </c>
      <c r="AE128" s="24">
        <v>177.69867374542025</v>
      </c>
      <c r="AF128" s="24">
        <v>3.8228750228881836</v>
      </c>
      <c r="AG128" s="24">
        <v>31.30226739330098</v>
      </c>
      <c r="AH128" s="24">
        <v>22.256416575483502</v>
      </c>
      <c r="AI128" s="24">
        <v>19.700607299804687</v>
      </c>
      <c r="AK128" s="24">
        <v>0.48056800521165527</v>
      </c>
      <c r="AL128" s="24">
        <v>5.5426674074073992</v>
      </c>
      <c r="AM128" s="24">
        <v>144.35609355180887</v>
      </c>
      <c r="AN128" s="24">
        <v>3.8894944190979004</v>
      </c>
      <c r="AO128" s="24">
        <v>31.56050991925305</v>
      </c>
      <c r="AP128" s="24">
        <v>20.062145297314967</v>
      </c>
      <c r="AQ128" s="24">
        <v>17.476531982421875</v>
      </c>
      <c r="AS128" s="24">
        <v>0.43025886916711759</v>
      </c>
      <c r="AT128" s="24">
        <v>4.981075555555547</v>
      </c>
      <c r="AU128" s="24">
        <v>128.65548879205289</v>
      </c>
      <c r="AV128" s="24">
        <v>3.9219698905944824</v>
      </c>
      <c r="AW128" s="24">
        <v>31.685172832009069</v>
      </c>
      <c r="AX128" s="24">
        <v>18.794055962282137</v>
      </c>
      <c r="AY128" s="24">
        <v>16.323537826538086</v>
      </c>
    </row>
    <row r="129" spans="2:51">
      <c r="B129" s="24">
        <f t="shared" si="41"/>
        <v>4</v>
      </c>
      <c r="C129" s="24">
        <v>1.0653676372057597</v>
      </c>
      <c r="D129" s="24">
        <v>6.6240475022223659</v>
      </c>
      <c r="E129" s="24">
        <v>155.05713596507039</v>
      </c>
      <c r="F129" s="24">
        <v>4.327540397644043</v>
      </c>
      <c r="G129" s="24">
        <v>31.320463714929609</v>
      </c>
      <c r="H129" s="24">
        <v>20.909838310745208</v>
      </c>
      <c r="I129" s="24">
        <v>18.143447875976562</v>
      </c>
      <c r="J129" s="24"/>
      <c r="K129" s="24">
        <v>0.99719890522230115</v>
      </c>
      <c r="L129" s="24">
        <v>6.2128997262223438</v>
      </c>
      <c r="M129" s="24">
        <v>153.46642200170493</v>
      </c>
      <c r="N129" s="24">
        <v>4.101006031036377</v>
      </c>
      <c r="O129" s="24">
        <v>31.411730849878786</v>
      </c>
      <c r="P129" s="24">
        <v>20.761006630586213</v>
      </c>
      <c r="Q129" s="24">
        <v>18.074029922485352</v>
      </c>
      <c r="R129" s="20"/>
      <c r="S129" s="20"/>
      <c r="T129" s="24">
        <v>0.91440529922789349</v>
      </c>
      <c r="U129" s="24">
        <v>7.0657296790122865</v>
      </c>
      <c r="V129" s="24">
        <v>176.62347652776484</v>
      </c>
      <c r="W129" s="24">
        <v>4.0524535179138184</v>
      </c>
      <c r="X129" s="24">
        <v>31.222418512725405</v>
      </c>
      <c r="Y129" s="24">
        <v>22.241404447435343</v>
      </c>
      <c r="Z129" s="24">
        <v>19.591619491577148</v>
      </c>
      <c r="AA129" s="24">
        <v>4.7639277683239447</v>
      </c>
      <c r="AC129" s="24">
        <v>0.86136030714531531</v>
      </c>
      <c r="AD129" s="24">
        <v>6.7060198044443791</v>
      </c>
      <c r="AE129" s="24">
        <v>166.79122651856096</v>
      </c>
      <c r="AF129" s="24">
        <v>4.0728750228881836</v>
      </c>
      <c r="AG129" s="24">
        <v>31.30226739330098</v>
      </c>
      <c r="AH129" s="24">
        <v>21.647004111851039</v>
      </c>
      <c r="AI129" s="24">
        <v>18.96461296081543</v>
      </c>
      <c r="AK129" s="24">
        <v>0.49069606056717535</v>
      </c>
      <c r="AL129" s="24">
        <v>5.6403355555555468</v>
      </c>
      <c r="AM129" s="24">
        <v>138.2158454624691</v>
      </c>
      <c r="AN129" s="24">
        <v>4.1338672637939453</v>
      </c>
      <c r="AO129" s="24">
        <v>31.538829412686788</v>
      </c>
      <c r="AP129" s="24">
        <v>19.617480751840318</v>
      </c>
      <c r="AQ129" s="24">
        <v>16.995567321777344</v>
      </c>
      <c r="AS129" s="24">
        <v>0.43025886916711759</v>
      </c>
      <c r="AT129" s="24">
        <v>4.981075555555547</v>
      </c>
      <c r="AU129" s="24">
        <v>120.94597194198555</v>
      </c>
      <c r="AV129" s="24">
        <v>4.1719698905944824</v>
      </c>
      <c r="AW129" s="24">
        <v>31.685172832009069</v>
      </c>
      <c r="AX129" s="24">
        <v>18.133607661285438</v>
      </c>
      <c r="AY129" s="24">
        <v>15.701558113098145</v>
      </c>
    </row>
    <row r="130" spans="2:51">
      <c r="B130" s="24">
        <f t="shared" si="41"/>
        <v>4.25</v>
      </c>
      <c r="C130" s="24">
        <v>1.0699831532937285</v>
      </c>
      <c r="D130" s="24">
        <v>6.6494269945680449</v>
      </c>
      <c r="E130" s="24">
        <v>147.19687687572622</v>
      </c>
      <c r="F130" s="24">
        <v>4.5760955810546875</v>
      </c>
      <c r="G130" s="24">
        <v>31.314829941167314</v>
      </c>
      <c r="H130" s="24">
        <v>20.378006362489835</v>
      </c>
      <c r="I130" s="24">
        <v>17.562414169311523</v>
      </c>
      <c r="J130" s="24"/>
      <c r="K130" s="24">
        <v>0.99719890522230115</v>
      </c>
      <c r="L130" s="24">
        <v>6.2128997262223438</v>
      </c>
      <c r="M130" s="24">
        <v>144.64855227841812</v>
      </c>
      <c r="N130" s="24">
        <v>4.351006031036377</v>
      </c>
      <c r="O130" s="24">
        <v>31.411730849878786</v>
      </c>
      <c r="P130" s="24">
        <v>20.151543137156967</v>
      </c>
      <c r="Q130" s="24">
        <v>17.420032501220703</v>
      </c>
      <c r="R130" s="20"/>
      <c r="S130" s="20"/>
      <c r="T130" s="24">
        <v>0.92901429065321095</v>
      </c>
      <c r="U130" s="24">
        <v>7.1620805382715442</v>
      </c>
      <c r="V130" s="24">
        <v>168.84318682303555</v>
      </c>
      <c r="W130" s="24">
        <v>4.2969975471496582</v>
      </c>
      <c r="X130" s="24">
        <v>31.201030419714087</v>
      </c>
      <c r="Y130" s="24">
        <v>21.817823918595831</v>
      </c>
      <c r="Z130" s="24">
        <v>19.056636810302734</v>
      </c>
      <c r="AA130" s="24">
        <v>4.7566634947292368</v>
      </c>
      <c r="AC130" s="24">
        <v>0.86136030714531531</v>
      </c>
      <c r="AD130" s="24">
        <v>6.7060198044443791</v>
      </c>
      <c r="AE130" s="24">
        <v>157.14537572763288</v>
      </c>
      <c r="AF130" s="24">
        <v>4.3228750228881836</v>
      </c>
      <c r="AG130" s="24">
        <v>31.30226739330098</v>
      </c>
      <c r="AH130" s="24">
        <v>21.054646764425232</v>
      </c>
      <c r="AI130" s="24">
        <v>18.285610198974609</v>
      </c>
      <c r="AK130" s="24">
        <v>0.49579802015465879</v>
      </c>
      <c r="AL130" s="24">
        <v>5.689169629629621</v>
      </c>
      <c r="AM130" s="24">
        <v>131.54655592435785</v>
      </c>
      <c r="AN130" s="24">
        <v>4.3810563087463379</v>
      </c>
      <c r="AO130" s="24">
        <v>31.527989159403656</v>
      </c>
      <c r="AP130" s="24">
        <v>19.098742409429327</v>
      </c>
      <c r="AQ130" s="24">
        <v>16.469526290893555</v>
      </c>
      <c r="AS130" s="24">
        <v>0.43025886916711759</v>
      </c>
      <c r="AT130" s="24">
        <v>4.981075555555547</v>
      </c>
      <c r="AU130" s="24">
        <v>114.10818387279708</v>
      </c>
      <c r="AV130" s="24">
        <v>4.4219698905944824</v>
      </c>
      <c r="AW130" s="24">
        <v>31.685172832009069</v>
      </c>
      <c r="AX130" s="24">
        <v>17.506102365255732</v>
      </c>
      <c r="AY130" s="24">
        <v>15.136533737182617</v>
      </c>
    </row>
    <row r="131" spans="2:51">
      <c r="B131" s="15"/>
      <c r="C131" s="24"/>
      <c r="D131" s="24"/>
      <c r="E131" s="24"/>
      <c r="F131" s="24"/>
      <c r="G131" s="24"/>
      <c r="H131" s="24"/>
      <c r="I131" s="24"/>
      <c r="J131" s="24"/>
      <c r="K131" s="24">
        <v>0.99719890522230115</v>
      </c>
      <c r="L131" s="24">
        <v>6.2128997262223438</v>
      </c>
      <c r="M131" s="24">
        <v>136.78893705567933</v>
      </c>
      <c r="N131" s="24">
        <v>4.601006031036377</v>
      </c>
      <c r="O131" s="24">
        <v>31.411730849878786</v>
      </c>
      <c r="P131" s="24">
        <v>19.564245031441708</v>
      </c>
      <c r="Q131" s="24">
        <v>16.819034576416016</v>
      </c>
      <c r="R131" s="20"/>
      <c r="S131" s="20"/>
      <c r="T131" s="24">
        <v>0.94864854620946737</v>
      </c>
      <c r="U131" s="24">
        <v>7.2905483506172235</v>
      </c>
      <c r="V131" s="24">
        <v>162.68196107968387</v>
      </c>
      <c r="W131" s="24">
        <v>4.5397324562072754</v>
      </c>
      <c r="X131" s="24">
        <v>31.172512962365666</v>
      </c>
      <c r="Y131" s="24">
        <v>21.465115287810882</v>
      </c>
      <c r="Z131" s="24">
        <v>18.615627288818359</v>
      </c>
      <c r="AA131" s="24">
        <v>4.7135407094668897</v>
      </c>
      <c r="AC131" s="24">
        <v>0.86136030714531531</v>
      </c>
      <c r="AD131" s="24">
        <v>6.7060198044443791</v>
      </c>
      <c r="AE131" s="24">
        <v>148.55420617377428</v>
      </c>
      <c r="AF131" s="24">
        <v>4.5728750228881836</v>
      </c>
      <c r="AG131" s="24">
        <v>31.30226739330098</v>
      </c>
      <c r="AH131" s="24">
        <v>20.479321448107701</v>
      </c>
      <c r="AI131" s="24">
        <v>17.657608032226563</v>
      </c>
      <c r="AK131" s="24">
        <v>0.50092595511588478</v>
      </c>
      <c r="AL131" s="24">
        <v>5.7624207407407315</v>
      </c>
      <c r="AM131" s="24">
        <v>126.16232203542413</v>
      </c>
      <c r="AN131" s="24">
        <v>4.6268424987792969</v>
      </c>
      <c r="AO131" s="24">
        <v>31.511728779478958</v>
      </c>
      <c r="AP131" s="24">
        <v>18.657320009192503</v>
      </c>
      <c r="AQ131" s="24">
        <v>16.031534194946289</v>
      </c>
      <c r="AS131" s="24">
        <v>0.43025886916711759</v>
      </c>
      <c r="AT131" s="24">
        <v>4.981075555555547</v>
      </c>
      <c r="AU131" s="24">
        <v>108.00218434504842</v>
      </c>
      <c r="AV131" s="24">
        <v>4.6719698905944824</v>
      </c>
      <c r="AW131" s="24">
        <v>31.685172832009069</v>
      </c>
      <c r="AX131" s="24">
        <v>16.911605004056881</v>
      </c>
      <c r="AY131" s="24">
        <v>14.622539520263672</v>
      </c>
    </row>
    <row r="132" spans="2:51">
      <c r="B132" s="15"/>
      <c r="C132" s="24"/>
      <c r="D132" s="24"/>
      <c r="E132" s="24"/>
      <c r="F132" s="24"/>
      <c r="G132" s="24"/>
      <c r="H132" s="24"/>
      <c r="I132" s="24"/>
      <c r="J132" s="24"/>
      <c r="K132" s="24"/>
      <c r="L132" s="24"/>
      <c r="M132" s="24"/>
      <c r="N132" s="24"/>
      <c r="O132" s="24"/>
      <c r="P132" s="24"/>
      <c r="Q132" s="24"/>
      <c r="R132" s="20"/>
      <c r="S132" s="20"/>
      <c r="X132" s="20"/>
      <c r="Y132" s="20"/>
      <c r="Z132" s="20"/>
      <c r="AA132" s="20"/>
    </row>
    <row r="133" spans="2:51">
      <c r="B133" s="24" t="s">
        <v>250</v>
      </c>
      <c r="K133" s="24" t="s">
        <v>250</v>
      </c>
      <c r="R133" s="20"/>
      <c r="S133" s="20"/>
      <c r="X133" s="20"/>
      <c r="Y133" s="20"/>
      <c r="Z133" s="20"/>
      <c r="AA133" s="20"/>
    </row>
    <row r="134" spans="2:51">
      <c r="B134" s="24" t="s">
        <v>259</v>
      </c>
      <c r="C134" s="24"/>
      <c r="D134" s="24"/>
      <c r="E134" s="24"/>
      <c r="G134" s="24"/>
      <c r="H134" s="24"/>
      <c r="I134" s="24"/>
      <c r="J134" s="24"/>
      <c r="K134" s="24" t="s">
        <v>260</v>
      </c>
      <c r="L134" s="24"/>
      <c r="R134" s="20"/>
      <c r="S134" s="20"/>
    </row>
    <row r="135" spans="2:51">
      <c r="B135" s="15" t="s">
        <v>233</v>
      </c>
      <c r="C135" s="24" t="s">
        <v>154</v>
      </c>
      <c r="D135" s="24" t="s">
        <v>155</v>
      </c>
      <c r="E135" s="24" t="s">
        <v>156</v>
      </c>
      <c r="F135" s="24" t="s">
        <v>159</v>
      </c>
      <c r="G135" s="24" t="s">
        <v>238</v>
      </c>
      <c r="H135" s="24" t="s">
        <v>157</v>
      </c>
      <c r="I135" s="24" t="s">
        <v>160</v>
      </c>
      <c r="J135" s="24"/>
      <c r="K135" s="24" t="s">
        <v>154</v>
      </c>
      <c r="L135" s="24" t="s">
        <v>155</v>
      </c>
      <c r="M135" s="24" t="s">
        <v>156</v>
      </c>
      <c r="N135" s="24" t="s">
        <v>159</v>
      </c>
      <c r="O135" s="24" t="s">
        <v>238</v>
      </c>
      <c r="P135" s="24" t="s">
        <v>157</v>
      </c>
      <c r="Q135" s="24" t="s">
        <v>160</v>
      </c>
      <c r="R135" s="20"/>
      <c r="S135" s="20"/>
    </row>
    <row r="136" spans="2:51">
      <c r="B136" s="26">
        <v>0.1</v>
      </c>
      <c r="C136" s="24">
        <v>0.87423031506562876</v>
      </c>
      <c r="D136" s="24">
        <v>3.6368641817284439</v>
      </c>
      <c r="E136" s="24">
        <v>613.46368222138744</v>
      </c>
      <c r="F136" s="24">
        <v>0.6005479097366333</v>
      </c>
      <c r="G136" s="24">
        <v>31.983562676285619</v>
      </c>
      <c r="H136" s="24">
        <v>28.613553443832373</v>
      </c>
      <c r="I136" s="24">
        <v>32.440475463867187</v>
      </c>
      <c r="K136" s="24">
        <v>0.85215194985342535</v>
      </c>
      <c r="L136" s="24">
        <v>3.5870441244444926</v>
      </c>
      <c r="M136" s="24">
        <v>602.11700054627215</v>
      </c>
      <c r="N136" s="24">
        <v>0.60348331928253174</v>
      </c>
      <c r="O136" s="24">
        <v>31.994621799444563</v>
      </c>
      <c r="P136" s="24">
        <v>28.554691683892411</v>
      </c>
      <c r="Q136" s="24">
        <v>32.314132690429688</v>
      </c>
    </row>
    <row r="137" spans="2:51">
      <c r="B137" s="26">
        <v>0.15</v>
      </c>
      <c r="C137" s="24">
        <v>0.92926599672697396</v>
      </c>
      <c r="D137" s="24">
        <v>3.8859644681482002</v>
      </c>
      <c r="E137" s="24">
        <v>619.04515173142715</v>
      </c>
      <c r="F137" s="24">
        <v>0.63589578866958618</v>
      </c>
      <c r="G137" s="24">
        <v>31.928267060490899</v>
      </c>
      <c r="H137" s="24">
        <v>28.687198405387409</v>
      </c>
      <c r="I137" s="24">
        <v>32.489486694335938</v>
      </c>
      <c r="K137" s="24">
        <v>0.90144137401204438</v>
      </c>
      <c r="L137" s="24">
        <v>3.766396330666717</v>
      </c>
      <c r="M137" s="24">
        <v>593.43897515897004</v>
      </c>
      <c r="N137" s="24">
        <v>0.64292365312576294</v>
      </c>
      <c r="O137" s="24">
        <v>31.954808956072362</v>
      </c>
      <c r="P137" s="24">
        <v>28.552136341255313</v>
      </c>
      <c r="Q137" s="24">
        <v>32.202136993408203</v>
      </c>
    </row>
    <row r="138" spans="2:51">
      <c r="B138" s="26">
        <v>0.2</v>
      </c>
      <c r="C138" s="24">
        <v>0.98459399964759353</v>
      </c>
      <c r="D138" s="24">
        <v>4.1101547259259812</v>
      </c>
      <c r="E138" s="24">
        <v>618.8959658811691</v>
      </c>
      <c r="F138" s="24">
        <v>0.67274421453475952</v>
      </c>
      <c r="G138" s="24">
        <v>31.878501006275652</v>
      </c>
      <c r="H138" s="24">
        <v>28.731355154022484</v>
      </c>
      <c r="I138" s="24">
        <v>32.476474761962891</v>
      </c>
      <c r="K138" s="24">
        <v>0.94989517517712141</v>
      </c>
      <c r="L138" s="24">
        <v>3.990586588444498</v>
      </c>
      <c r="M138" s="24">
        <v>594.69498186619103</v>
      </c>
      <c r="N138" s="24">
        <v>0.67975419759750366</v>
      </c>
      <c r="O138" s="24">
        <v>31.905042901857115</v>
      </c>
      <c r="P138" s="24">
        <v>28.602721589310775</v>
      </c>
      <c r="Q138" s="24">
        <v>32.205127716064453</v>
      </c>
    </row>
    <row r="139" spans="2:51">
      <c r="B139" s="24">
        <v>0.25</v>
      </c>
      <c r="C139" s="24">
        <v>1.0402539688695835</v>
      </c>
      <c r="D139" s="24">
        <v>4.3343449837037618</v>
      </c>
      <c r="E139" s="24">
        <v>618.73314861741949</v>
      </c>
      <c r="F139" s="24">
        <v>0.70962601900100708</v>
      </c>
      <c r="G139" s="24">
        <v>31.828734952060405</v>
      </c>
      <c r="H139" s="24">
        <v>28.774528681393967</v>
      </c>
      <c r="I139" s="24">
        <v>32.462490081787109</v>
      </c>
      <c r="K139" s="24">
        <v>0.99740718236972048</v>
      </c>
      <c r="L139" s="24">
        <v>4.1699387946667228</v>
      </c>
      <c r="M139" s="24">
        <v>587.30490282424819</v>
      </c>
      <c r="N139" s="24">
        <v>0.71924275159835815</v>
      </c>
      <c r="O139" s="24">
        <v>31.865230058484919</v>
      </c>
      <c r="P139" s="24">
        <v>28.604089681272825</v>
      </c>
      <c r="Q139" s="24">
        <v>32.106132507324219</v>
      </c>
    </row>
    <row r="140" spans="2:51">
      <c r="B140" s="24">
        <f t="shared" ref="B140:B155" si="42">B139+0.25</f>
        <v>0.5</v>
      </c>
      <c r="C140" s="24">
        <v>1.1401618535037912</v>
      </c>
      <c r="D140" s="24">
        <v>4.7329054419753733</v>
      </c>
      <c r="E140" s="24">
        <v>512.01405085926251</v>
      </c>
      <c r="F140" s="24">
        <v>0.93638706207275391</v>
      </c>
      <c r="G140" s="24">
        <v>31.740261966788854</v>
      </c>
      <c r="H140" s="24">
        <v>28.306589034973733</v>
      </c>
      <c r="I140" s="24">
        <v>31.040481567382812</v>
      </c>
      <c r="K140" s="24">
        <v>1.2162713054613754</v>
      </c>
      <c r="L140" s="24">
        <v>5.0218617742222902</v>
      </c>
      <c r="M140" s="24">
        <v>553.18855172845656</v>
      </c>
      <c r="N140" s="24">
        <v>0.91960436105728149</v>
      </c>
      <c r="O140" s="24">
        <v>31.67611905246698</v>
      </c>
      <c r="P140" s="24">
        <v>28.597800343733315</v>
      </c>
      <c r="Q140" s="24">
        <v>31.622127532958984</v>
      </c>
    </row>
    <row r="141" spans="2:51">
      <c r="B141" s="24">
        <f t="shared" si="42"/>
        <v>0.75</v>
      </c>
      <c r="C141" s="24">
        <v>1.1843145730445386</v>
      </c>
      <c r="D141" s="24">
        <v>4.9072756424692017</v>
      </c>
      <c r="E141" s="24">
        <v>422.61914245648165</v>
      </c>
      <c r="F141" s="24">
        <v>1.1762529611587524</v>
      </c>
      <c r="G141" s="24">
        <v>31.70155503573255</v>
      </c>
      <c r="H141" s="24">
        <v>27.651432718294437</v>
      </c>
      <c r="I141" s="24">
        <v>29.395477294921875</v>
      </c>
      <c r="J141" s="24"/>
      <c r="K141" s="24">
        <v>1.3891578987222015</v>
      </c>
      <c r="L141" s="24">
        <v>5.6944325475556257</v>
      </c>
      <c r="M141" s="24">
        <v>510.1430034318289</v>
      </c>
      <c r="N141" s="24">
        <v>1.1307535171508789</v>
      </c>
      <c r="O141" s="24">
        <v>31.526820889821241</v>
      </c>
      <c r="P141" s="24">
        <v>28.469937844718455</v>
      </c>
      <c r="Q141" s="24">
        <v>30.95513916015625</v>
      </c>
    </row>
    <row r="142" spans="2:51">
      <c r="B142" s="24">
        <f t="shared" si="42"/>
        <v>1</v>
      </c>
      <c r="C142" s="24">
        <v>1.254326227721192</v>
      </c>
      <c r="D142" s="24">
        <v>5.1812859575309336</v>
      </c>
      <c r="E142" s="24">
        <v>372.14691410576506</v>
      </c>
      <c r="F142" s="24">
        <v>1.4103684425354004</v>
      </c>
      <c r="G142" s="24">
        <v>31.640729858358359</v>
      </c>
      <c r="H142" s="24">
        <v>27.154597916487912</v>
      </c>
      <c r="I142" s="24">
        <v>28.174478530883789</v>
      </c>
      <c r="J142" s="24"/>
      <c r="K142" s="24">
        <v>1.4871236984968423</v>
      </c>
      <c r="L142" s="24">
        <v>6.0979750115556266</v>
      </c>
      <c r="M142" s="24">
        <v>455.01746620200726</v>
      </c>
      <c r="N142" s="24">
        <v>1.3575849533081055</v>
      </c>
      <c r="O142" s="24">
        <v>31.437241992233798</v>
      </c>
      <c r="P142" s="24">
        <v>28.144590788321437</v>
      </c>
      <c r="Q142" s="24">
        <v>29.975133895874023</v>
      </c>
    </row>
    <row r="143" spans="2:51">
      <c r="B143" s="24">
        <f t="shared" si="42"/>
        <v>1.25</v>
      </c>
      <c r="C143" s="24">
        <v>1.2993235283414075</v>
      </c>
      <c r="D143" s="24">
        <v>5.3556561580247619</v>
      </c>
      <c r="E143" s="24">
        <v>328.74788688148845</v>
      </c>
      <c r="F143" s="24">
        <v>1.6502858400344849</v>
      </c>
      <c r="G143" s="24">
        <v>31.602022927302055</v>
      </c>
      <c r="H143" s="24">
        <v>26.570826414597992</v>
      </c>
      <c r="I143" s="24">
        <v>26.900480270385742</v>
      </c>
      <c r="J143" s="24"/>
      <c r="K143" s="24">
        <v>1.4957940283678381</v>
      </c>
      <c r="L143" s="24">
        <v>6.0979750115556266</v>
      </c>
      <c r="M143" s="24">
        <v>384.25643684540574</v>
      </c>
      <c r="N143" s="24">
        <v>1.6075849533081055</v>
      </c>
      <c r="O143" s="24">
        <v>31.437241992233798</v>
      </c>
      <c r="P143" s="24">
        <v>27.455990064358318</v>
      </c>
      <c r="Q143" s="24">
        <v>28.419137954711914</v>
      </c>
    </row>
    <row r="144" spans="2:51">
      <c r="B144" s="24">
        <f t="shared" si="42"/>
        <v>1.5</v>
      </c>
      <c r="C144" s="24">
        <v>1.3447038539634122</v>
      </c>
      <c r="D144" s="24">
        <v>5.5300263585185867</v>
      </c>
      <c r="E144" s="24">
        <v>296.36273105645222</v>
      </c>
      <c r="F144" s="24">
        <v>1.8902230262756348</v>
      </c>
      <c r="G144" s="24">
        <v>31.563315996245755</v>
      </c>
      <c r="H144" s="24">
        <v>26.018008486924355</v>
      </c>
      <c r="I144" s="24">
        <v>25.771476745605469</v>
      </c>
      <c r="J144" s="24"/>
      <c r="K144" s="24">
        <v>1.4957940283678381</v>
      </c>
      <c r="L144" s="24">
        <v>6.0979750115556266</v>
      </c>
      <c r="M144" s="24">
        <v>332.54191972885337</v>
      </c>
      <c r="N144" s="24">
        <v>1.8575849533081055</v>
      </c>
      <c r="O144" s="24">
        <v>31.437241992233798</v>
      </c>
      <c r="P144" s="24">
        <v>26.753941715774783</v>
      </c>
      <c r="Q144" s="24">
        <v>26.961143493652344</v>
      </c>
    </row>
    <row r="145" spans="2:17">
      <c r="B145" s="24">
        <f t="shared" si="42"/>
        <v>1.75</v>
      </c>
      <c r="C145" s="24">
        <v>1.3839327776215393</v>
      </c>
      <c r="D145" s="24">
        <v>5.6794865303704372</v>
      </c>
      <c r="E145" s="24">
        <v>269.90443299433628</v>
      </c>
      <c r="F145" s="24">
        <v>2.1316137313842773</v>
      </c>
      <c r="G145" s="24">
        <v>31.530138626768924</v>
      </c>
      <c r="H145" s="24">
        <v>25.458963542888839</v>
      </c>
      <c r="I145" s="24">
        <v>24.712467193603516</v>
      </c>
      <c r="J145" s="24"/>
      <c r="K145" s="24">
        <v>1.4957940283678381</v>
      </c>
      <c r="L145" s="24">
        <v>6.0979750115556266</v>
      </c>
      <c r="M145" s="24">
        <v>293.09606985397949</v>
      </c>
      <c r="N145" s="24">
        <v>2.1075849533081055</v>
      </c>
      <c r="O145" s="24">
        <v>31.437241992233798</v>
      </c>
      <c r="P145" s="24">
        <v>26.041808855828418</v>
      </c>
      <c r="Q145" s="24">
        <v>25.599132537841797</v>
      </c>
    </row>
    <row r="146" spans="2:17">
      <c r="B146" s="24">
        <f t="shared" si="42"/>
        <v>2</v>
      </c>
      <c r="C146" s="24">
        <v>1.4102668785672587</v>
      </c>
      <c r="D146" s="24">
        <v>5.7791266449383372</v>
      </c>
      <c r="E146" s="24">
        <v>246.40343068848614</v>
      </c>
      <c r="F146" s="24">
        <v>2.3758821487426758</v>
      </c>
      <c r="G146" s="24">
        <v>31.508020380451036</v>
      </c>
      <c r="H146" s="24">
        <v>24.849967136650381</v>
      </c>
      <c r="I146" s="24">
        <v>23.654489517211914</v>
      </c>
      <c r="J146" s="24"/>
      <c r="K146" s="24">
        <v>1.4957940283678381</v>
      </c>
      <c r="L146" s="24">
        <v>6.0979750115556266</v>
      </c>
      <c r="M146" s="24">
        <v>262.01595240094645</v>
      </c>
      <c r="N146" s="24">
        <v>2.3575849533081055</v>
      </c>
      <c r="O146" s="24">
        <v>31.437241992233798</v>
      </c>
      <c r="P146" s="24">
        <v>25.325388939580591</v>
      </c>
      <c r="Q146" s="24">
        <v>24.334131240844727</v>
      </c>
    </row>
    <row r="147" spans="2:17">
      <c r="B147" s="24">
        <f t="shared" si="42"/>
        <v>2.25</v>
      </c>
      <c r="C147" s="24">
        <v>1.450059859691091</v>
      </c>
      <c r="D147" s="24">
        <v>5.9534968454321628</v>
      </c>
      <c r="E147" s="24">
        <v>230.55035587756734</v>
      </c>
      <c r="F147" s="24">
        <v>2.6158676147460937</v>
      </c>
      <c r="G147" s="24">
        <v>31.469313449394736</v>
      </c>
      <c r="H147" s="24">
        <v>24.383634733526531</v>
      </c>
      <c r="I147" s="24">
        <v>22.858489990234375</v>
      </c>
      <c r="J147" s="24"/>
      <c r="K147" s="24">
        <v>1.4957940283678381</v>
      </c>
      <c r="L147" s="24">
        <v>6.0979750115556266</v>
      </c>
      <c r="M147" s="24">
        <v>236.89539483365849</v>
      </c>
      <c r="N147" s="24">
        <v>2.6075849533081055</v>
      </c>
      <c r="O147" s="24">
        <v>31.437241992233798</v>
      </c>
      <c r="P147" s="24">
        <v>24.609149852945169</v>
      </c>
      <c r="Q147" s="24">
        <v>23.16313362121582</v>
      </c>
    </row>
    <row r="148" spans="2:17">
      <c r="B148" s="24">
        <f t="shared" si="42"/>
        <v>2.5</v>
      </c>
      <c r="C148" s="24">
        <v>1.470094755179437</v>
      </c>
      <c r="D148" s="24">
        <v>6.0282269313580885</v>
      </c>
      <c r="E148" s="24">
        <v>213.39923999289792</v>
      </c>
      <c r="F148" s="24">
        <v>2.8615818023681641</v>
      </c>
      <c r="G148" s="24">
        <v>31.45272476465632</v>
      </c>
      <c r="H148" s="24">
        <v>23.783574788384982</v>
      </c>
      <c r="I148" s="24">
        <v>21.937482833862305</v>
      </c>
      <c r="J148" s="24"/>
      <c r="K148" s="24">
        <v>1.4957940283678381</v>
      </c>
      <c r="L148" s="24">
        <v>6.0979750115556266</v>
      </c>
      <c r="M148" s="24">
        <v>216.17025471127323</v>
      </c>
      <c r="N148" s="24">
        <v>2.8575849533081055</v>
      </c>
      <c r="O148" s="24">
        <v>31.437241992233798</v>
      </c>
      <c r="P148" s="24">
        <v>23.898049044323493</v>
      </c>
      <c r="Q148" s="24">
        <v>22.0831298828125</v>
      </c>
    </row>
    <row r="149" spans="2:17">
      <c r="B149" s="24">
        <f t="shared" si="42"/>
        <v>2.75</v>
      </c>
      <c r="C149" s="24">
        <v>1.5104589438696583</v>
      </c>
      <c r="D149" s="24">
        <v>6.1776871032099381</v>
      </c>
      <c r="E149" s="24">
        <v>201.67433873651942</v>
      </c>
      <c r="F149" s="24">
        <v>3.1030209064483643</v>
      </c>
      <c r="G149" s="24">
        <v>31.419547395179489</v>
      </c>
      <c r="H149" s="24">
        <v>23.32993644905709</v>
      </c>
      <c r="I149" s="24">
        <v>21.250476837158203</v>
      </c>
      <c r="J149" s="24"/>
      <c r="K149" s="24">
        <v>1.4957940283678381</v>
      </c>
      <c r="L149" s="24">
        <v>6.0979750115556266</v>
      </c>
      <c r="M149" s="24">
        <v>198.77972014093211</v>
      </c>
      <c r="N149" s="24">
        <v>3.1075849533081055</v>
      </c>
      <c r="O149" s="24">
        <v>31.437241992233798</v>
      </c>
      <c r="P149" s="24">
        <v>23.195306189406697</v>
      </c>
      <c r="Q149" s="24">
        <v>21.088142395019531</v>
      </c>
    </row>
    <row r="150" spans="2:17">
      <c r="B150" s="24">
        <f t="shared" si="42"/>
        <v>3</v>
      </c>
      <c r="C150" s="24">
        <v>1.5240050660534197</v>
      </c>
      <c r="D150" s="24">
        <v>6.2275071604938894</v>
      </c>
      <c r="E150" s="24">
        <v>188.30279232823582</v>
      </c>
      <c r="F150" s="24">
        <v>3.3501706123352051</v>
      </c>
      <c r="G150" s="24">
        <v>31.408488272020545</v>
      </c>
      <c r="H150" s="24">
        <v>22.732872987775451</v>
      </c>
      <c r="I150" s="24">
        <v>20.433483123779297</v>
      </c>
      <c r="J150" s="24"/>
      <c r="K150" s="24">
        <v>1.4957940283678381</v>
      </c>
      <c r="L150" s="24">
        <v>6.0979750115556266</v>
      </c>
      <c r="M150" s="24">
        <v>183.97892414419698</v>
      </c>
      <c r="N150" s="24">
        <v>3.3575849533081055</v>
      </c>
      <c r="O150" s="24">
        <v>31.437241992233798</v>
      </c>
      <c r="P150" s="24">
        <v>22.50540991841536</v>
      </c>
      <c r="Q150" s="24">
        <v>20.174135208129883</v>
      </c>
    </row>
    <row r="151" spans="2:17">
      <c r="B151" s="24">
        <f t="shared" si="42"/>
        <v>3.25</v>
      </c>
      <c r="C151" s="24">
        <v>1.5649321517685877</v>
      </c>
      <c r="D151" s="24">
        <v>6.376967332345739</v>
      </c>
      <c r="E151" s="24">
        <v>179.85899452044515</v>
      </c>
      <c r="F151" s="24">
        <v>3.5916290283203125</v>
      </c>
      <c r="G151" s="24">
        <v>31.375310902543713</v>
      </c>
      <c r="H151" s="24">
        <v>22.330122458441995</v>
      </c>
      <c r="I151" s="24">
        <v>19.87748908996582</v>
      </c>
      <c r="J151" s="24"/>
      <c r="K151" s="24">
        <v>1.4957940283678381</v>
      </c>
      <c r="L151" s="24">
        <v>6.0979750115556266</v>
      </c>
      <c r="M151" s="24">
        <v>171.22947221290812</v>
      </c>
      <c r="N151" s="24">
        <v>3.6075849533081055</v>
      </c>
      <c r="O151" s="24">
        <v>31.437241992233798</v>
      </c>
      <c r="P151" s="24">
        <v>21.83207293292292</v>
      </c>
      <c r="Q151" s="24">
        <v>19.336137771606445</v>
      </c>
    </row>
    <row r="152" spans="2:17">
      <c r="B152" s="24">
        <f t="shared" si="42"/>
        <v>3.5</v>
      </c>
      <c r="C152" s="24">
        <v>1.5649321517685877</v>
      </c>
      <c r="D152" s="24">
        <v>6.376967332345739</v>
      </c>
      <c r="E152" s="24">
        <v>168.15439004914265</v>
      </c>
      <c r="F152" s="24">
        <v>3.8416290283203125</v>
      </c>
      <c r="G152" s="24">
        <v>31.375310902543713</v>
      </c>
      <c r="H152" s="24">
        <v>21.68961503499883</v>
      </c>
      <c r="I152" s="24">
        <v>19.095489501953125</v>
      </c>
      <c r="J152" s="24"/>
      <c r="K152" s="24">
        <v>1.4957940283678381</v>
      </c>
      <c r="L152" s="24">
        <v>6.0979750115556266</v>
      </c>
      <c r="M152" s="24">
        <v>160.13253760312523</v>
      </c>
      <c r="N152" s="24">
        <v>3.8575849533081055</v>
      </c>
      <c r="O152" s="24">
        <v>31.437241992233798</v>
      </c>
      <c r="P152" s="24">
        <v>21.176898708148435</v>
      </c>
      <c r="Q152" s="24">
        <v>18.567129135131836</v>
      </c>
    </row>
    <row r="153" spans="2:17">
      <c r="B153" s="24">
        <f t="shared" si="42"/>
        <v>3.75</v>
      </c>
      <c r="C153" s="24">
        <v>1.59938949211558</v>
      </c>
      <c r="D153" s="24">
        <v>6.5015174755556151</v>
      </c>
      <c r="E153" s="24">
        <v>161.24376182987191</v>
      </c>
      <c r="F153" s="24">
        <v>4.0845222473144531</v>
      </c>
      <c r="G153" s="24">
        <v>31.347663094646354</v>
      </c>
      <c r="H153" s="24">
        <v>21.290754113144832</v>
      </c>
      <c r="I153" s="24">
        <v>18.600500106811523</v>
      </c>
      <c r="J153" s="24"/>
      <c r="K153" s="24">
        <v>1.4957940283678381</v>
      </c>
      <c r="L153" s="24">
        <v>6.0979750115556266</v>
      </c>
      <c r="M153" s="24">
        <v>150.38638876134743</v>
      </c>
      <c r="N153" s="24">
        <v>4.1075849533081055</v>
      </c>
      <c r="O153" s="24">
        <v>31.437241992233798</v>
      </c>
      <c r="P153" s="24">
        <v>20.542531292425128</v>
      </c>
      <c r="Q153" s="24">
        <v>17.862133026123047</v>
      </c>
    </row>
    <row r="154" spans="2:17">
      <c r="B154" s="24">
        <f t="shared" si="42"/>
        <v>4</v>
      </c>
      <c r="C154" s="24">
        <v>1.6202256977659082</v>
      </c>
      <c r="D154" s="24">
        <v>6.576247561481539</v>
      </c>
      <c r="E154" s="24">
        <v>153.84144099083085</v>
      </c>
      <c r="F154" s="24">
        <v>4.3302626609802246</v>
      </c>
      <c r="G154" s="24">
        <v>31.331074409907941</v>
      </c>
      <c r="H154" s="24">
        <v>20.824678369558438</v>
      </c>
      <c r="I154" s="24">
        <v>18.060489654541016</v>
      </c>
      <c r="K154" s="24">
        <v>1.4957940283678381</v>
      </c>
      <c r="L154" s="24">
        <v>6.0979750115556266</v>
      </c>
      <c r="M154" s="24">
        <v>141.75853697300127</v>
      </c>
      <c r="N154" s="24">
        <v>4.3575849533081055</v>
      </c>
      <c r="O154" s="24">
        <v>31.437241992233798</v>
      </c>
      <c r="P154" s="24">
        <v>19.929069173279011</v>
      </c>
      <c r="Q154" s="24">
        <v>17.214139938354492</v>
      </c>
    </row>
    <row r="155" spans="2:17">
      <c r="B155" s="24">
        <f t="shared" si="42"/>
        <v>4.25</v>
      </c>
      <c r="C155" s="24">
        <v>1.6202256977659082</v>
      </c>
      <c r="D155" s="24">
        <v>6.576247561481539</v>
      </c>
      <c r="E155" s="24">
        <v>145.44446434599473</v>
      </c>
      <c r="F155" s="24">
        <v>4.5802626609802246</v>
      </c>
      <c r="G155" s="24">
        <v>31.331074409907941</v>
      </c>
      <c r="H155" s="24">
        <v>20.246132358531622</v>
      </c>
      <c r="I155" s="24">
        <v>17.439472198486328</v>
      </c>
      <c r="K155" s="24">
        <v>1.4957940283678381</v>
      </c>
      <c r="L155" s="24">
        <v>6.0979750115556266</v>
      </c>
      <c r="M155" s="24">
        <v>134.06695134829351</v>
      </c>
      <c r="N155" s="24">
        <v>4.6075849533081055</v>
      </c>
      <c r="O155" s="24">
        <v>31.437241992233798</v>
      </c>
      <c r="P155" s="24">
        <v>19.339625117695736</v>
      </c>
      <c r="Q155" s="24">
        <v>16.620132446289063</v>
      </c>
    </row>
    <row r="156" spans="2:17" s="24" customFormat="1"/>
    <row r="157" spans="2:17" s="24" customFormat="1">
      <c r="B157" s="24" t="s">
        <v>249</v>
      </c>
      <c r="K157" s="24" t="s">
        <v>249</v>
      </c>
    </row>
    <row r="158" spans="2:17" s="24" customFormat="1">
      <c r="B158" s="24" t="s">
        <v>259</v>
      </c>
      <c r="K158" s="24" t="s">
        <v>275</v>
      </c>
    </row>
    <row r="159" spans="2:17" s="24" customFormat="1">
      <c r="B159" s="15" t="s">
        <v>233</v>
      </c>
      <c r="C159" s="24" t="s">
        <v>154</v>
      </c>
      <c r="D159" s="24" t="s">
        <v>155</v>
      </c>
      <c r="E159" s="24" t="s">
        <v>156</v>
      </c>
      <c r="F159" s="24" t="s">
        <v>159</v>
      </c>
      <c r="G159" s="24" t="s">
        <v>238</v>
      </c>
      <c r="H159" s="24" t="s">
        <v>157</v>
      </c>
      <c r="I159" s="24" t="s">
        <v>160</v>
      </c>
      <c r="K159" s="24" t="s">
        <v>154</v>
      </c>
      <c r="L159" s="24" t="s">
        <v>155</v>
      </c>
      <c r="M159" s="24" t="s">
        <v>156</v>
      </c>
      <c r="N159" s="24" t="s">
        <v>159</v>
      </c>
      <c r="O159" s="24" t="s">
        <v>238</v>
      </c>
      <c r="P159" s="24" t="s">
        <v>157</v>
      </c>
      <c r="Q159" s="24" t="s">
        <v>160</v>
      </c>
    </row>
    <row r="160" spans="2:17" s="24" customFormat="1">
      <c r="B160" s="26">
        <v>0.1</v>
      </c>
      <c r="C160" s="24">
        <v>0.29385078785737095</v>
      </c>
      <c r="D160" s="24">
        <v>3.7296511111111186</v>
      </c>
      <c r="E160" s="24">
        <v>634.88988124765592</v>
      </c>
      <c r="F160" s="24">
        <v>0.59508532285690308</v>
      </c>
      <c r="G160" s="24">
        <v>31.962965709209993</v>
      </c>
      <c r="H160" s="24">
        <v>28.719518663709209</v>
      </c>
      <c r="I160" s="24">
        <v>32.668407440185547</v>
      </c>
      <c r="K160" s="24">
        <v>0.28658761785994502</v>
      </c>
      <c r="L160" s="24">
        <v>3.6530144444444521</v>
      </c>
      <c r="M160" s="24">
        <v>617.16543616202682</v>
      </c>
      <c r="N160" s="24">
        <v>0.59959667921066284</v>
      </c>
      <c r="O160" s="24">
        <v>31.97997761929928</v>
      </c>
      <c r="P160" s="24">
        <v>28.63255135012362</v>
      </c>
      <c r="Q160" s="24">
        <v>32.481407165527344</v>
      </c>
    </row>
    <row r="161" spans="2:17" s="24" customFormat="1">
      <c r="B161" s="26">
        <v>0.15</v>
      </c>
      <c r="C161" s="24">
        <v>0.31029788847156864</v>
      </c>
      <c r="D161" s="24">
        <v>3.9595611111111189</v>
      </c>
      <c r="E161" s="24">
        <v>635.0848517315402</v>
      </c>
      <c r="F161" s="24">
        <v>0.63157474994659424</v>
      </c>
      <c r="G161" s="24">
        <v>31.91192997894214</v>
      </c>
      <c r="H161" s="24">
        <v>28.766848929224032</v>
      </c>
      <c r="I161" s="24">
        <v>32.659408569335938</v>
      </c>
      <c r="K161" s="24">
        <v>0.30297055062755168</v>
      </c>
      <c r="L161" s="24">
        <v>3.8573788888888978</v>
      </c>
      <c r="M161" s="24">
        <v>612.872879042764</v>
      </c>
      <c r="N161" s="24">
        <v>0.63757508993148804</v>
      </c>
      <c r="O161" s="24">
        <v>31.934612525727854</v>
      </c>
      <c r="P161" s="24">
        <v>28.655683222843493</v>
      </c>
      <c r="Q161" s="24">
        <v>32.422409057617187</v>
      </c>
    </row>
    <row r="162" spans="2:17" s="24" customFormat="1">
      <c r="B162" s="26">
        <v>0.2</v>
      </c>
      <c r="C162" s="24">
        <v>0.33096923280453705</v>
      </c>
      <c r="D162" s="24">
        <v>4.2150166666666751</v>
      </c>
      <c r="E162" s="24">
        <v>640.53179744127954</v>
      </c>
      <c r="F162" s="24">
        <v>0.66660422086715698</v>
      </c>
      <c r="G162" s="24">
        <v>31.855223611977859</v>
      </c>
      <c r="H162" s="24">
        <v>28.838723414629737</v>
      </c>
      <c r="I162" s="24">
        <v>32.703399658203125</v>
      </c>
      <c r="K162" s="24">
        <v>0.31930051584079033</v>
      </c>
      <c r="L162" s="24">
        <v>4.0617433333333413</v>
      </c>
      <c r="M162" s="24">
        <v>609.03786640090027</v>
      </c>
      <c r="N162" s="24">
        <v>0.67558133602142334</v>
      </c>
      <c r="O162" s="24">
        <v>31.889247432156427</v>
      </c>
      <c r="P162" s="24">
        <v>28.680147804349005</v>
      </c>
      <c r="Q162" s="24">
        <v>32.368400573730469</v>
      </c>
    </row>
    <row r="163" spans="2:17" s="24" customFormat="1">
      <c r="B163" s="24">
        <v>0.25</v>
      </c>
      <c r="C163" s="24">
        <v>0.3496930717367473</v>
      </c>
      <c r="D163" s="24">
        <v>4.4449266666666771</v>
      </c>
      <c r="E163" s="24">
        <v>640.34656960968721</v>
      </c>
      <c r="F163" s="24">
        <v>0.70316779613494873</v>
      </c>
      <c r="G163" s="24">
        <v>31.804187881710003</v>
      </c>
      <c r="H163" s="24">
        <v>28.88281285423783</v>
      </c>
      <c r="I163" s="24">
        <v>32.689399719238281</v>
      </c>
      <c r="K163" s="24">
        <v>0.33532158322662908</v>
      </c>
      <c r="L163" s="24">
        <v>4.2661077777777869</v>
      </c>
      <c r="M163" s="24">
        <v>605.58779704655535</v>
      </c>
      <c r="N163" s="24">
        <v>0.7136152982711792</v>
      </c>
      <c r="O163" s="24">
        <v>31.843882338585001</v>
      </c>
      <c r="P163" s="24">
        <v>28.705202843772579</v>
      </c>
      <c r="Q163" s="24">
        <v>32.317398071289063</v>
      </c>
    </row>
    <row r="164" spans="2:17" s="24" customFormat="1">
      <c r="B164" s="24">
        <f t="shared" ref="B164:B179" si="43">B163+0.25</f>
        <v>0.5</v>
      </c>
      <c r="C164" s="24">
        <v>0.37486297339001706</v>
      </c>
      <c r="D164" s="24">
        <v>4.7514733333333448</v>
      </c>
      <c r="E164" s="24">
        <v>514.61634723360169</v>
      </c>
      <c r="F164" s="24">
        <v>0.93530696630477905</v>
      </c>
      <c r="G164" s="24">
        <v>31.736140241352864</v>
      </c>
      <c r="H164" s="24">
        <v>28.326177524336398</v>
      </c>
      <c r="I164" s="24">
        <v>31.079404830932617</v>
      </c>
      <c r="K164" s="24">
        <v>0.40828704977596603</v>
      </c>
      <c r="L164" s="24">
        <v>5.1602022222222352</v>
      </c>
      <c r="M164" s="24">
        <v>573.42565800127579</v>
      </c>
      <c r="N164" s="24">
        <v>0.91158890724182129</v>
      </c>
      <c r="O164" s="24">
        <v>31.645410054210014</v>
      </c>
      <c r="P164" s="24">
        <v>28.726500917216416</v>
      </c>
      <c r="Q164" s="24">
        <v>31.880403518676758</v>
      </c>
    </row>
    <row r="165" spans="2:17" s="24" customFormat="1">
      <c r="B165" s="24">
        <f t="shared" si="43"/>
        <v>0.75</v>
      </c>
      <c r="C165" s="24">
        <v>0.40030345211688445</v>
      </c>
      <c r="D165" s="24">
        <v>5.0580200000000124</v>
      </c>
      <c r="E165" s="24">
        <v>438.86411630537509</v>
      </c>
      <c r="F165" s="24">
        <v>1.1675081253051758</v>
      </c>
      <c r="G165" s="24">
        <v>31.668092600995728</v>
      </c>
      <c r="H165" s="24">
        <v>27.826370843246092</v>
      </c>
      <c r="I165" s="24">
        <v>29.724403381347656</v>
      </c>
      <c r="K165" s="24">
        <v>0.46458148157678797</v>
      </c>
      <c r="L165" s="24">
        <v>5.8243866666666815</v>
      </c>
      <c r="M165" s="24">
        <v>525.25629142023729</v>
      </c>
      <c r="N165" s="24">
        <v>1.1232808828353882</v>
      </c>
      <c r="O165" s="24">
        <v>31.49797350010288</v>
      </c>
      <c r="P165" s="24">
        <v>28.585658204592125</v>
      </c>
      <c r="Q165" s="24">
        <v>31.179405212402344</v>
      </c>
    </row>
    <row r="166" spans="2:17" s="24" customFormat="1">
      <c r="B166" s="24">
        <f t="shared" si="43"/>
        <v>1</v>
      </c>
      <c r="C166" s="24">
        <v>0.41528609716636922</v>
      </c>
      <c r="D166" s="24">
        <v>5.2368388888889026</v>
      </c>
      <c r="E166" s="24">
        <v>376.99623916665303</v>
      </c>
      <c r="F166" s="24">
        <v>1.4071540832519531</v>
      </c>
      <c r="G166" s="24">
        <v>31.628398144120727</v>
      </c>
      <c r="H166" s="24">
        <v>27.223306305624888</v>
      </c>
      <c r="I166" s="24">
        <v>28.296403884887695</v>
      </c>
      <c r="K166" s="24">
        <v>0.49649174723727019</v>
      </c>
      <c r="L166" s="24">
        <v>6.182024444444461</v>
      </c>
      <c r="M166" s="24">
        <v>462.92998808285017</v>
      </c>
      <c r="N166" s="24">
        <v>1.3527727127075195</v>
      </c>
      <c r="O166" s="24">
        <v>31.418584586352882</v>
      </c>
      <c r="P166" s="24">
        <v>28.221972201046189</v>
      </c>
      <c r="Q166" s="24">
        <v>30.119409561157227</v>
      </c>
    </row>
    <row r="167" spans="2:17" s="24" customFormat="1">
      <c r="B167" s="24">
        <f t="shared" si="43"/>
        <v>1.25</v>
      </c>
      <c r="C167" s="24">
        <v>0.43472304222430086</v>
      </c>
      <c r="D167" s="24">
        <v>5.466748888888902</v>
      </c>
      <c r="E167" s="24">
        <v>336.87629715447417</v>
      </c>
      <c r="F167" s="24">
        <v>1.6438724994659424</v>
      </c>
      <c r="G167" s="24">
        <v>31.577362413852875</v>
      </c>
      <c r="H167" s="24">
        <v>26.717323940114508</v>
      </c>
      <c r="I167" s="24">
        <v>27.146400451660156</v>
      </c>
      <c r="K167" s="24">
        <v>0.49848940145540693</v>
      </c>
      <c r="L167" s="24">
        <v>6.2075700000000165</v>
      </c>
      <c r="M167" s="24">
        <v>392.69499415263044</v>
      </c>
      <c r="N167" s="24">
        <v>1.6013110876083374</v>
      </c>
      <c r="O167" s="24">
        <v>31.412913949656456</v>
      </c>
      <c r="P167" s="24">
        <v>27.570557177824181</v>
      </c>
      <c r="Q167" s="24">
        <v>28.621404647827148</v>
      </c>
    </row>
    <row r="168" spans="2:17" s="24" customFormat="1">
      <c r="B168" s="24">
        <f t="shared" si="43"/>
        <v>1.5</v>
      </c>
      <c r="C168" s="24">
        <v>0.44998885482116591</v>
      </c>
      <c r="D168" s="24">
        <v>5.6455677777777922</v>
      </c>
      <c r="E168" s="24">
        <v>303.62405300501393</v>
      </c>
      <c r="F168" s="24">
        <v>1.8835662603378296</v>
      </c>
      <c r="G168" s="24">
        <v>31.537667956977877</v>
      </c>
      <c r="H168" s="24">
        <v>26.178635849311487</v>
      </c>
      <c r="I168" s="24">
        <v>26.026407241821289</v>
      </c>
      <c r="K168" s="24">
        <v>0.49848940145540693</v>
      </c>
      <c r="L168" s="24">
        <v>6.2075700000000165</v>
      </c>
      <c r="M168" s="24">
        <v>339.66568418656192</v>
      </c>
      <c r="N168" s="24">
        <v>1.8513110876083374</v>
      </c>
      <c r="O168" s="24">
        <v>31.412913949656456</v>
      </c>
      <c r="P168" s="24">
        <v>26.881787404843884</v>
      </c>
      <c r="Q168" s="24">
        <v>27.173408508300781</v>
      </c>
    </row>
    <row r="169" spans="2:17" s="24" customFormat="1">
      <c r="B169" s="24">
        <f t="shared" si="43"/>
        <v>1.75</v>
      </c>
      <c r="C169" s="24">
        <v>0.44998885482116591</v>
      </c>
      <c r="D169" s="24">
        <v>5.6455677777777922</v>
      </c>
      <c r="E169" s="24">
        <v>268.04699341878666</v>
      </c>
      <c r="F169" s="24">
        <v>2.13356614112854</v>
      </c>
      <c r="G169" s="24">
        <v>31.537667956977877</v>
      </c>
      <c r="H169" s="24">
        <v>25.408532763714632</v>
      </c>
      <c r="I169" s="24">
        <v>24.63740348815918</v>
      </c>
      <c r="K169" s="24">
        <v>0.49848940145540693</v>
      </c>
      <c r="L169" s="24">
        <v>6.2075700000000165</v>
      </c>
      <c r="M169" s="24">
        <v>299.2545226566105</v>
      </c>
      <c r="N169" s="24">
        <v>2.1013109683990479</v>
      </c>
      <c r="O169" s="24">
        <v>31.412913949656456</v>
      </c>
      <c r="P169" s="24">
        <v>26.183131915991947</v>
      </c>
      <c r="Q169" s="24">
        <v>25.819406509399414</v>
      </c>
    </row>
    <row r="170" spans="2:17" s="24" customFormat="1">
      <c r="B170" s="24">
        <f t="shared" si="43"/>
        <v>2</v>
      </c>
      <c r="C170" s="24">
        <v>0.46982887172763937</v>
      </c>
      <c r="D170" s="24">
        <v>5.9010233333333488</v>
      </c>
      <c r="E170" s="24">
        <v>252.34449987762383</v>
      </c>
      <c r="F170" s="24">
        <v>2.3688793182373047</v>
      </c>
      <c r="G170" s="24">
        <v>31.480961590013592</v>
      </c>
      <c r="H170" s="24">
        <v>25.037104882777491</v>
      </c>
      <c r="I170" s="24">
        <v>23.919401168823242</v>
      </c>
      <c r="K170" s="24">
        <v>0.49848940145540693</v>
      </c>
      <c r="L170" s="24">
        <v>6.2075700000000165</v>
      </c>
      <c r="M170" s="24">
        <v>267.43668636919637</v>
      </c>
      <c r="N170" s="24">
        <v>2.3513109683990479</v>
      </c>
      <c r="O170" s="24">
        <v>31.412913949656456</v>
      </c>
      <c r="P170" s="24">
        <v>25.479528865832968</v>
      </c>
      <c r="Q170" s="24">
        <v>24.559404373168945</v>
      </c>
    </row>
    <row r="171" spans="2:17" s="24" customFormat="1">
      <c r="B171" s="24">
        <f t="shared" si="43"/>
        <v>2.25</v>
      </c>
      <c r="C171" s="24">
        <v>0.48993276963911736</v>
      </c>
      <c r="D171" s="24">
        <v>6.1309333333333491</v>
      </c>
      <c r="E171" s="24">
        <v>238.34830013445654</v>
      </c>
      <c r="F171" s="24">
        <v>2.6056973934173584</v>
      </c>
      <c r="G171" s="24">
        <v>31.42992585974574</v>
      </c>
      <c r="H171" s="24">
        <v>24.65923219121207</v>
      </c>
      <c r="I171" s="24">
        <v>23.231412887573242</v>
      </c>
      <c r="K171" s="24">
        <v>0.49848940145540693</v>
      </c>
      <c r="L171" s="24">
        <v>6.2075700000000165</v>
      </c>
      <c r="M171" s="24">
        <v>241.73458084977332</v>
      </c>
      <c r="N171" s="24">
        <v>2.6013109683990479</v>
      </c>
      <c r="O171" s="24">
        <v>31.412913949656456</v>
      </c>
      <c r="P171" s="24">
        <v>24.774391812614425</v>
      </c>
      <c r="Q171" s="24">
        <v>23.389411926269531</v>
      </c>
    </row>
    <row r="172" spans="2:17" s="24" customFormat="1">
      <c r="B172" s="24">
        <f t="shared" si="43"/>
        <v>2.5</v>
      </c>
      <c r="C172" s="24">
        <v>0.48993276963911736</v>
      </c>
      <c r="D172" s="24">
        <v>6.1309333333333491</v>
      </c>
      <c r="E172" s="24">
        <v>217.48226755996464</v>
      </c>
      <c r="F172" s="24">
        <v>2.8556973934173584</v>
      </c>
      <c r="G172" s="24">
        <v>31.42992585974574</v>
      </c>
      <c r="H172" s="24">
        <v>23.951408355551379</v>
      </c>
      <c r="I172" s="24">
        <v>22.15141487121582</v>
      </c>
      <c r="K172" s="24">
        <v>0.49848940145540693</v>
      </c>
      <c r="L172" s="24">
        <v>6.2075700000000165</v>
      </c>
      <c r="M172" s="24">
        <v>220.53954328867465</v>
      </c>
      <c r="N172" s="24">
        <v>2.8513109683990479</v>
      </c>
      <c r="O172" s="24">
        <v>31.412913949656456</v>
      </c>
      <c r="P172" s="24">
        <v>24.073393197937346</v>
      </c>
      <c r="Q172" s="24">
        <v>22.308414459228516</v>
      </c>
    </row>
    <row r="173" spans="2:17" s="24" customFormat="1">
      <c r="B173" s="24">
        <f t="shared" si="43"/>
        <v>2.75</v>
      </c>
      <c r="C173" s="24">
        <v>0.48993276963911736</v>
      </c>
      <c r="D173" s="24">
        <v>6.1309333333333491</v>
      </c>
      <c r="E173" s="24">
        <v>199.97555011939804</v>
      </c>
      <c r="F173" s="24">
        <v>3.1056973934173584</v>
      </c>
      <c r="G173" s="24">
        <v>31.42992585974574</v>
      </c>
      <c r="H173" s="24">
        <v>23.25125214756568</v>
      </c>
      <c r="I173" s="24">
        <v>21.155410766601563</v>
      </c>
      <c r="K173" s="24">
        <v>0.49848940145540693</v>
      </c>
      <c r="L173" s="24">
        <v>6.2075700000000165</v>
      </c>
      <c r="M173" s="24">
        <v>202.76161498998238</v>
      </c>
      <c r="N173" s="24">
        <v>3.1013109683990479</v>
      </c>
      <c r="O173" s="24">
        <v>31.412913949656456</v>
      </c>
      <c r="P173" s="24">
        <v>23.380096114525454</v>
      </c>
      <c r="Q173" s="24">
        <v>21.311410903930664</v>
      </c>
    </row>
    <row r="174" spans="2:17" s="24" customFormat="1">
      <c r="B174" s="24">
        <f t="shared" si="43"/>
        <v>3</v>
      </c>
      <c r="C174" s="24">
        <v>0.5149091923766087</v>
      </c>
      <c r="D174" s="24">
        <v>6.4119344444444613</v>
      </c>
      <c r="E174" s="24">
        <v>194.49113040774748</v>
      </c>
      <c r="F174" s="24">
        <v>3.3396327495574951</v>
      </c>
      <c r="G174" s="24">
        <v>31.36754885608503</v>
      </c>
      <c r="H174" s="24">
        <v>23.045325804179562</v>
      </c>
      <c r="I174" s="24">
        <v>20.796411514282227</v>
      </c>
      <c r="K174" s="24">
        <v>0.49848940145540693</v>
      </c>
      <c r="L174" s="24">
        <v>6.2075700000000165</v>
      </c>
      <c r="M174" s="24">
        <v>187.63607077784735</v>
      </c>
      <c r="N174" s="24">
        <v>3.3513109683990479</v>
      </c>
      <c r="O174" s="24">
        <v>31.412913949656456</v>
      </c>
      <c r="P174" s="24">
        <v>22.698769261990126</v>
      </c>
      <c r="Q174" s="24">
        <v>20.394414901733398</v>
      </c>
    </row>
    <row r="175" spans="2:17" s="24" customFormat="1">
      <c r="B175" s="24">
        <f t="shared" si="43"/>
        <v>3.25</v>
      </c>
      <c r="C175" s="24">
        <v>0.5149091923766087</v>
      </c>
      <c r="D175" s="24">
        <v>6.4119344444444613</v>
      </c>
      <c r="E175" s="24">
        <v>180.9457943650242</v>
      </c>
      <c r="F175" s="24">
        <v>3.5896327495574951</v>
      </c>
      <c r="G175" s="24">
        <v>31.36754885608503</v>
      </c>
      <c r="H175" s="24">
        <v>22.390517900607197</v>
      </c>
      <c r="I175" s="24">
        <v>19.944389343261719</v>
      </c>
      <c r="K175" s="24">
        <v>0.49848940145540693</v>
      </c>
      <c r="L175" s="24">
        <v>6.2075700000000165</v>
      </c>
      <c r="M175" s="24">
        <v>174.61053180283622</v>
      </c>
      <c r="N175" s="24">
        <v>3.6013109683990479</v>
      </c>
      <c r="O175" s="24">
        <v>31.412913949656456</v>
      </c>
      <c r="P175" s="24">
        <v>22.031203679752164</v>
      </c>
      <c r="Q175" s="24">
        <v>19.550392150878906</v>
      </c>
    </row>
    <row r="176" spans="2:17" s="24" customFormat="1">
      <c r="B176" s="24">
        <f t="shared" si="43"/>
        <v>3.5</v>
      </c>
      <c r="C176" s="24">
        <v>0.5149091923766087</v>
      </c>
      <c r="D176" s="24">
        <v>6.4119344444444613</v>
      </c>
      <c r="E176" s="24">
        <v>169.1643426224025</v>
      </c>
      <c r="F176" s="24">
        <v>3.8396327495574951</v>
      </c>
      <c r="G176" s="24">
        <v>31.36754885608503</v>
      </c>
      <c r="H176" s="24">
        <v>21.75148549664533</v>
      </c>
      <c r="I176" s="24">
        <v>19.160411834716797</v>
      </c>
      <c r="K176" s="24">
        <v>0.49848940145540693</v>
      </c>
      <c r="L176" s="24">
        <v>6.2075700000000165</v>
      </c>
      <c r="M176" s="24">
        <v>163.27604539935086</v>
      </c>
      <c r="N176" s="24">
        <v>3.8513109683990479</v>
      </c>
      <c r="O176" s="24">
        <v>31.412913949656456</v>
      </c>
      <c r="P176" s="24">
        <v>21.382019860563201</v>
      </c>
      <c r="Q176" s="24">
        <v>18.776409149169922</v>
      </c>
    </row>
    <row r="177" spans="1:17" s="24" customFormat="1">
      <c r="B177" s="24">
        <f t="shared" si="43"/>
        <v>3.75</v>
      </c>
      <c r="C177" s="24">
        <v>0.5149091923766087</v>
      </c>
      <c r="D177" s="24">
        <v>6.4119344444444613</v>
      </c>
      <c r="E177" s="24">
        <v>158.82329547193893</v>
      </c>
      <c r="F177" s="24">
        <v>4.0896329879760742</v>
      </c>
      <c r="G177" s="24">
        <v>31.36754885608503</v>
      </c>
      <c r="H177" s="24">
        <v>21.129558145281536</v>
      </c>
      <c r="I177" s="24">
        <v>18.438409805297852</v>
      </c>
      <c r="K177" s="24">
        <v>0.49848940145540693</v>
      </c>
      <c r="L177" s="24">
        <v>6.2075700000000165</v>
      </c>
      <c r="M177" s="24">
        <v>153.32337156895898</v>
      </c>
      <c r="N177" s="24">
        <v>4.101311206817627</v>
      </c>
      <c r="O177" s="24">
        <v>31.412913949656456</v>
      </c>
      <c r="P177" s="24">
        <v>20.751128621191459</v>
      </c>
      <c r="Q177" s="24">
        <v>18.06440544128418</v>
      </c>
    </row>
    <row r="178" spans="1:17" s="24" customFormat="1">
      <c r="B178" s="24">
        <f t="shared" si="43"/>
        <v>4</v>
      </c>
      <c r="C178" s="24">
        <v>0.54508573906464963</v>
      </c>
      <c r="D178" s="24">
        <v>6.7695722222222416</v>
      </c>
      <c r="E178" s="24">
        <v>158.76736481108335</v>
      </c>
      <c r="F178" s="24">
        <v>4.3192610740661621</v>
      </c>
      <c r="G178" s="24">
        <v>31.288159942335035</v>
      </c>
      <c r="H178" s="24">
        <v>21.164696207423745</v>
      </c>
      <c r="I178" s="24">
        <v>18.394435882568359</v>
      </c>
      <c r="K178" s="24">
        <v>0.49848940145540693</v>
      </c>
      <c r="L178" s="24">
        <v>6.2075700000000165</v>
      </c>
      <c r="M178" s="24">
        <v>144.51433854841218</v>
      </c>
      <c r="N178" s="24">
        <v>4.351311206817627</v>
      </c>
      <c r="O178" s="24">
        <v>31.412913949656456</v>
      </c>
      <c r="P178" s="24">
        <v>20.142200634946132</v>
      </c>
      <c r="Q178" s="24">
        <v>17.411430358886719</v>
      </c>
    </row>
    <row r="179" spans="1:17" s="24" customFormat="1">
      <c r="B179" s="24">
        <f t="shared" si="43"/>
        <v>4.25</v>
      </c>
      <c r="C179" s="24">
        <v>0.54508573906464963</v>
      </c>
      <c r="D179" s="24">
        <v>6.7440266666666844</v>
      </c>
      <c r="E179" s="24">
        <v>149.46680337629556</v>
      </c>
      <c r="F179" s="24">
        <v>4.5707130432128906</v>
      </c>
      <c r="G179" s="24">
        <v>31.293830579031461</v>
      </c>
      <c r="H179" s="24">
        <v>20.545916168926031</v>
      </c>
      <c r="I179" s="24">
        <v>17.720394134521484</v>
      </c>
      <c r="K179" s="24">
        <v>0.49848940145540693</v>
      </c>
      <c r="L179" s="24">
        <v>6.2075700000000165</v>
      </c>
      <c r="M179" s="24">
        <v>136.66253629186417</v>
      </c>
      <c r="N179" s="24">
        <v>4.601311206817627</v>
      </c>
      <c r="O179" s="24">
        <v>31.412913949656456</v>
      </c>
      <c r="P179" s="24">
        <v>19.554484888027325</v>
      </c>
      <c r="Q179" s="24">
        <v>16.810398101806641</v>
      </c>
    </row>
    <row r="180" spans="1:17" s="24" customFormat="1"/>
    <row r="181" spans="1:17" s="24" customFormat="1"/>
    <row r="182" spans="1:17" s="24" customFormat="1"/>
    <row r="183" spans="1:17" s="24" customFormat="1"/>
    <row r="184" spans="1:17" s="24" customFormat="1"/>
    <row r="185" spans="1:17" s="24" customFormat="1"/>
    <row r="186" spans="1:17" s="24" customFormat="1">
      <c r="B186" s="24" t="s">
        <v>245</v>
      </c>
    </row>
    <row r="187" spans="1:17" s="24" customFormat="1">
      <c r="B187" s="24" t="s">
        <v>258</v>
      </c>
      <c r="C187" s="24" t="s">
        <v>232</v>
      </c>
      <c r="D187" s="24">
        <v>820</v>
      </c>
    </row>
    <row r="188" spans="1:17" s="24" customFormat="1">
      <c r="B188" s="24" t="s">
        <v>246</v>
      </c>
      <c r="C188" s="24" t="s">
        <v>257</v>
      </c>
      <c r="D188" s="24">
        <v>977.7</v>
      </c>
      <c r="E188" s="24">
        <v>95028.7</v>
      </c>
    </row>
    <row r="189" spans="1:17" s="24" customFormat="1">
      <c r="B189" s="24" t="s">
        <v>247</v>
      </c>
      <c r="C189" s="24" t="s">
        <v>147</v>
      </c>
      <c r="D189" s="24">
        <v>40</v>
      </c>
      <c r="N189" s="24">
        <f>1000000*40/(101.3*1000)</f>
        <v>394.86673247778873</v>
      </c>
    </row>
    <row r="190" spans="1:17" s="24" customFormat="1">
      <c r="A190" s="24" t="s">
        <v>233</v>
      </c>
      <c r="B190" s="24" t="s">
        <v>282</v>
      </c>
      <c r="C190" s="24" t="s">
        <v>237</v>
      </c>
      <c r="D190" s="24" t="s">
        <v>154</v>
      </c>
      <c r="E190" s="24" t="s">
        <v>155</v>
      </c>
      <c r="F190" s="24" t="s">
        <v>156</v>
      </c>
      <c r="G190" s="24" t="s">
        <v>159</v>
      </c>
      <c r="H190" s="24" t="s">
        <v>238</v>
      </c>
      <c r="I190" s="24" t="s">
        <v>157</v>
      </c>
      <c r="J190" s="24" t="s">
        <v>160</v>
      </c>
      <c r="K190" s="24" t="s">
        <v>265</v>
      </c>
      <c r="L190" s="24" t="s">
        <v>283</v>
      </c>
      <c r="M190" s="27" t="s">
        <v>285</v>
      </c>
      <c r="N190" s="27" t="s">
        <v>286</v>
      </c>
      <c r="O190" s="24" t="s">
        <v>284</v>
      </c>
      <c r="P190" s="27" t="s">
        <v>287</v>
      </c>
    </row>
    <row r="191" spans="1:17" s="24" customFormat="1">
      <c r="A191" s="26">
        <v>0.1</v>
      </c>
      <c r="B191" s="24">
        <v>39.930737212926694</v>
      </c>
      <c r="C191" s="24">
        <v>0</v>
      </c>
      <c r="D191" s="24">
        <v>0.60272193705145249</v>
      </c>
      <c r="E191" s="24">
        <v>5.0360396510288874</v>
      </c>
      <c r="F191" s="24">
        <v>983.36201849780718</v>
      </c>
      <c r="G191" s="24">
        <v>0.51878231763839722</v>
      </c>
      <c r="H191" s="24">
        <v>31.672971828351141</v>
      </c>
      <c r="I191" s="24">
        <v>42.457380825956953</v>
      </c>
      <c r="J191" s="24">
        <v>33.002490997314453</v>
      </c>
      <c r="K191" s="24">
        <v>0.75902628898620605</v>
      </c>
      <c r="L191" s="24">
        <f>((101.3*(-0.0043+0.01*EXP(0.0511*H191)))-A191)/(101.3*(0.0043+0.01*EXP(0.0511*H191)))</f>
        <v>0.82490664612928377</v>
      </c>
      <c r="M191" s="24">
        <f>F191/1000</f>
        <v>0.98336201849780713</v>
      </c>
      <c r="N191" s="24">
        <f>1000000*J191/(101.3*1000)</f>
        <v>325.78964459342995</v>
      </c>
      <c r="O191" s="24">
        <f>(B191*L191)/$N$189</f>
        <v>8.3418348021095878E-2</v>
      </c>
      <c r="P191" s="24">
        <f>B191/($N$189-50)</f>
        <v>0.11578599340688348</v>
      </c>
    </row>
    <row r="192" spans="1:17" s="24" customFormat="1">
      <c r="A192" s="26">
        <v>0.15</v>
      </c>
      <c r="B192" s="24">
        <v>40.055188496285048</v>
      </c>
      <c r="C192" s="24">
        <v>0</v>
      </c>
      <c r="D192" s="24">
        <v>0.6394873186862482</v>
      </c>
      <c r="E192" s="24">
        <v>5.3695522106996743</v>
      </c>
      <c r="F192" s="24">
        <v>989.9041462854799</v>
      </c>
      <c r="G192" s="24">
        <v>0.54948312044143677</v>
      </c>
      <c r="H192" s="24">
        <v>31.598938262885092</v>
      </c>
      <c r="I192" s="24">
        <v>42.568899556066214</v>
      </c>
      <c r="J192" s="24">
        <v>33.030494689941406</v>
      </c>
      <c r="K192" s="24">
        <v>0.80271798372268677</v>
      </c>
      <c r="L192" s="24">
        <f t="shared" ref="L192:L210" si="44">((101.3*(-0.0043+0.01*EXP(0.0511*H192)))-A192)/(101.3*(0.0043+0.01*EXP(0.0511*H192)))</f>
        <v>0.81524935405589549</v>
      </c>
      <c r="M192" s="24">
        <f t="shared" ref="M192:M210" si="45">F192/1000</f>
        <v>0.98990414628547985</v>
      </c>
      <c r="N192" s="24">
        <f t="shared" ref="N192:N210" si="46">1000000*J192/(101.3*1000)</f>
        <v>326.0660877585529</v>
      </c>
      <c r="O192" s="24">
        <f t="shared" ref="O192:O210" si="47">(B192*L192)/$N$189</f>
        <v>8.2698702783274777E-2</v>
      </c>
      <c r="P192" s="24">
        <f t="shared" ref="P192:P210" si="48">B192/($N$189-50)</f>
        <v>0.11614686116140477</v>
      </c>
    </row>
    <row r="193" spans="1:16" s="24" customFormat="1">
      <c r="A193" s="26">
        <v>0.2</v>
      </c>
      <c r="B193" s="24">
        <v>40.13395041446087</v>
      </c>
      <c r="C193" s="24">
        <v>0</v>
      </c>
      <c r="D193" s="24">
        <v>0.67646183264348014</v>
      </c>
      <c r="E193" s="24">
        <v>5.6697135144033846</v>
      </c>
      <c r="F193" s="24">
        <v>986.54320544364589</v>
      </c>
      <c r="G193" s="24">
        <v>0.58217620849609375</v>
      </c>
      <c r="H193" s="24">
        <v>31.532308053965643</v>
      </c>
      <c r="I193" s="24">
        <v>42.636078782631394</v>
      </c>
      <c r="J193" s="24">
        <v>32.995487213134766</v>
      </c>
      <c r="K193" s="24">
        <v>0.83772623538970947</v>
      </c>
      <c r="L193" s="24">
        <f t="shared" si="44"/>
        <v>0.8055947026437088</v>
      </c>
      <c r="M193" s="24">
        <f t="shared" si="45"/>
        <v>0.98654320544364593</v>
      </c>
      <c r="N193" s="24">
        <f t="shared" si="46"/>
        <v>325.72050555907964</v>
      </c>
      <c r="O193" s="24">
        <f t="shared" si="47"/>
        <v>8.1880024805264184E-2</v>
      </c>
      <c r="P193" s="24">
        <f t="shared" si="48"/>
        <v>0.11637524479704842</v>
      </c>
    </row>
    <row r="194" spans="1:16" s="24" customFormat="1">
      <c r="A194" s="24">
        <v>0.25</v>
      </c>
      <c r="B194" s="24">
        <v>40.251363634713172</v>
      </c>
      <c r="C194" s="24">
        <v>0</v>
      </c>
      <c r="D194" s="24">
        <v>0.71782285085237829</v>
      </c>
      <c r="E194" s="24">
        <v>6.0032260740741732</v>
      </c>
      <c r="F194" s="24">
        <v>992.02554920927366</v>
      </c>
      <c r="G194" s="24">
        <v>0.61301523447036743</v>
      </c>
      <c r="H194" s="24">
        <v>31.458274488499594</v>
      </c>
      <c r="I194" s="24">
        <v>42.740684930216005</v>
      </c>
      <c r="J194" s="24">
        <v>33.017482757568359</v>
      </c>
      <c r="K194" s="24">
        <v>0.8784719705581665</v>
      </c>
      <c r="L194" s="24">
        <f t="shared" si="44"/>
        <v>0.79581028800525733</v>
      </c>
      <c r="M194" s="24">
        <f t="shared" si="45"/>
        <v>0.99202554920927366</v>
      </c>
      <c r="N194" s="24">
        <f t="shared" si="46"/>
        <v>325.93763827806868</v>
      </c>
      <c r="O194" s="24">
        <f t="shared" si="47"/>
        <v>8.1122177818682806E-2</v>
      </c>
      <c r="P194" s="24">
        <f t="shared" si="48"/>
        <v>0.11671570448537125</v>
      </c>
    </row>
    <row r="195" spans="1:16" s="24" customFormat="1">
      <c r="A195" s="24">
        <f t="shared" ref="A195:A210" si="49">A194+0.25</f>
        <v>0.5</v>
      </c>
      <c r="B195" s="24">
        <v>39.518344994082199</v>
      </c>
      <c r="C195" s="24">
        <v>0</v>
      </c>
      <c r="D195" s="24">
        <v>0.78050338031692723</v>
      </c>
      <c r="E195" s="24">
        <v>6.503494913580357</v>
      </c>
      <c r="F195" s="24">
        <v>789.54529927321664</v>
      </c>
      <c r="G195" s="24">
        <v>0.83440941572189331</v>
      </c>
      <c r="H195" s="24">
        <v>31.347224140300515</v>
      </c>
      <c r="I195" s="24">
        <v>41.988578486856021</v>
      </c>
      <c r="J195" s="24">
        <v>31.380481719970703</v>
      </c>
      <c r="K195" s="24">
        <v>0.82969504594802856</v>
      </c>
      <c r="L195" s="24">
        <f t="shared" si="44"/>
        <v>0.74897241648545199</v>
      </c>
      <c r="M195" s="24">
        <f t="shared" si="45"/>
        <v>0.78954529927321659</v>
      </c>
      <c r="N195" s="24">
        <f t="shared" si="46"/>
        <v>309.77770700859531</v>
      </c>
      <c r="O195" s="24">
        <f t="shared" si="47"/>
        <v>7.495731575054479E-2</v>
      </c>
      <c r="P195" s="24">
        <f t="shared" si="48"/>
        <v>0.11459019172464655</v>
      </c>
    </row>
    <row r="196" spans="1:16" s="24" customFormat="1">
      <c r="A196" s="24">
        <f t="shared" si="49"/>
        <v>0.75</v>
      </c>
      <c r="B196" s="24">
        <v>38.521264218265451</v>
      </c>
      <c r="C196" s="24">
        <v>0</v>
      </c>
      <c r="D196" s="24">
        <v>0.81005561094858725</v>
      </c>
      <c r="E196" s="24">
        <v>6.736953705349908</v>
      </c>
      <c r="F196" s="24">
        <v>637.14270279494065</v>
      </c>
      <c r="G196" s="24">
        <v>1.0711154937744141</v>
      </c>
      <c r="H196" s="24">
        <v>31.295400644474281</v>
      </c>
      <c r="I196" s="24">
        <v>40.982640226874068</v>
      </c>
      <c r="J196" s="24">
        <v>29.57548713684082</v>
      </c>
      <c r="K196" s="24">
        <v>0.7285231351852417</v>
      </c>
      <c r="L196" s="24">
        <f t="shared" si="44"/>
        <v>0.70247978656139143</v>
      </c>
      <c r="M196" s="24">
        <f t="shared" si="45"/>
        <v>0.63714270279494067</v>
      </c>
      <c r="N196" s="24">
        <f t="shared" si="46"/>
        <v>291.95939917908015</v>
      </c>
      <c r="O196" s="24">
        <f t="shared" si="47"/>
        <v>6.8530486972954163E-2</v>
      </c>
      <c r="P196" s="24">
        <f t="shared" si="48"/>
        <v>0.11169898569658768</v>
      </c>
    </row>
    <row r="197" spans="1:16" s="24" customFormat="1">
      <c r="A197" s="24">
        <f t="shared" si="49"/>
        <v>1</v>
      </c>
      <c r="B197" s="24">
        <v>37.563906821193164</v>
      </c>
      <c r="C197" s="24">
        <v>0</v>
      </c>
      <c r="D197" s="24">
        <v>0.83982470355905747</v>
      </c>
      <c r="E197" s="24">
        <v>6.970412497119459</v>
      </c>
      <c r="F197" s="24">
        <v>539.89308559951701</v>
      </c>
      <c r="G197" s="24">
        <v>1.3078566789627075</v>
      </c>
      <c r="H197" s="24">
        <v>31.243577148648043</v>
      </c>
      <c r="I197" s="24">
        <v>40.016457105802552</v>
      </c>
      <c r="J197" s="24">
        <v>27.987478256225586</v>
      </c>
      <c r="K197" s="24">
        <v>0.66978085041046143</v>
      </c>
      <c r="L197" s="24">
        <f t="shared" si="44"/>
        <v>0.65576197087012644</v>
      </c>
      <c r="M197" s="24">
        <f t="shared" si="45"/>
        <v>0.53989308559951699</v>
      </c>
      <c r="N197" s="24">
        <f t="shared" si="46"/>
        <v>276.28310223322393</v>
      </c>
      <c r="O197" s="24">
        <f t="shared" si="47"/>
        <v>6.2383025827664584E-2</v>
      </c>
      <c r="P197" s="24">
        <f t="shared" si="48"/>
        <v>0.10892296439063598</v>
      </c>
    </row>
    <row r="198" spans="1:16" s="24" customFormat="1">
      <c r="A198" s="24">
        <f t="shared" si="49"/>
        <v>1.25</v>
      </c>
      <c r="B198" s="24">
        <v>36.650444745715639</v>
      </c>
      <c r="C198" s="24">
        <v>0</v>
      </c>
      <c r="D198" s="24">
        <v>0.86983005765607624</v>
      </c>
      <c r="E198" s="24">
        <v>7.2038712888890117</v>
      </c>
      <c r="F198" s="24">
        <v>472.44372818970913</v>
      </c>
      <c r="G198" s="24">
        <v>1.5446330308914185</v>
      </c>
      <c r="H198" s="24">
        <v>31.191753652821806</v>
      </c>
      <c r="I198" s="24">
        <v>39.094200952609761</v>
      </c>
      <c r="J198" s="24">
        <v>26.58848762512207</v>
      </c>
      <c r="K198" s="24">
        <v>0.62719506025314331</v>
      </c>
      <c r="L198" s="24">
        <f t="shared" si="44"/>
        <v>0.60881821959034099</v>
      </c>
      <c r="M198" s="24">
        <f t="shared" si="45"/>
        <v>0.47244372818970914</v>
      </c>
      <c r="N198" s="24">
        <f t="shared" si="46"/>
        <v>262.47273075145182</v>
      </c>
      <c r="O198" s="24">
        <f t="shared" si="47"/>
        <v>5.6508833695013541E-2</v>
      </c>
      <c r="P198" s="24">
        <f t="shared" si="48"/>
        <v>0.10627422506772562</v>
      </c>
    </row>
    <row r="199" spans="1:16" s="24" customFormat="1">
      <c r="A199" s="24">
        <f t="shared" si="49"/>
        <v>1.5</v>
      </c>
      <c r="B199" s="24">
        <v>35.783326775110673</v>
      </c>
      <c r="C199" s="24">
        <v>0</v>
      </c>
      <c r="D199" s="24">
        <v>0.90009309123531756</v>
      </c>
      <c r="E199" s="24">
        <v>7.4373300806585645</v>
      </c>
      <c r="F199" s="24">
        <v>422.91615126480377</v>
      </c>
      <c r="G199" s="24">
        <v>1.7814441919326782</v>
      </c>
      <c r="H199" s="24">
        <v>31.139930156995572</v>
      </c>
      <c r="I199" s="24">
        <v>38.218320437099827</v>
      </c>
      <c r="J199" s="24">
        <v>25.353471755981445</v>
      </c>
      <c r="K199" s="24">
        <v>0.59011125564575195</v>
      </c>
      <c r="L199" s="24">
        <f t="shared" si="44"/>
        <v>0.56164778114643421</v>
      </c>
      <c r="M199" s="24">
        <f t="shared" si="45"/>
        <v>0.42291615126480375</v>
      </c>
      <c r="N199" s="24">
        <f t="shared" si="46"/>
        <v>250.28106373130746</v>
      </c>
      <c r="O199" s="24">
        <f t="shared" si="47"/>
        <v>5.0897238060968304E-2</v>
      </c>
      <c r="P199" s="24">
        <f t="shared" si="48"/>
        <v>0.10375986839326495</v>
      </c>
    </row>
    <row r="200" spans="1:16" s="24" customFormat="1">
      <c r="A200" s="24">
        <f t="shared" si="49"/>
        <v>1.75</v>
      </c>
      <c r="B200" s="24">
        <v>35.022823339691953</v>
      </c>
      <c r="C200" s="24">
        <v>0</v>
      </c>
      <c r="D200" s="24">
        <v>0.93502485900937826</v>
      </c>
      <c r="E200" s="24">
        <v>7.7041401283951956</v>
      </c>
      <c r="F200" s="24">
        <v>387.03825872932072</v>
      </c>
      <c r="G200" s="24">
        <v>2.0164141654968262</v>
      </c>
      <c r="H200" s="24">
        <v>31.08070330462273</v>
      </c>
      <c r="I200" s="24">
        <v>37.447841131227939</v>
      </c>
      <c r="J200" s="24">
        <v>24.318490982055664</v>
      </c>
      <c r="K200" s="24">
        <v>0.5760611891746521</v>
      </c>
      <c r="L200" s="24">
        <f t="shared" si="44"/>
        <v>0.51408094448875319</v>
      </c>
      <c r="M200" s="24">
        <f t="shared" si="45"/>
        <v>0.38703825872932074</v>
      </c>
      <c r="N200" s="24">
        <f t="shared" si="46"/>
        <v>240.06407682187231</v>
      </c>
      <c r="O200" s="24">
        <f t="shared" si="47"/>
        <v>4.5596563651115744E-2</v>
      </c>
      <c r="P200" s="24">
        <f t="shared" si="48"/>
        <v>0.10155465877517661</v>
      </c>
    </row>
    <row r="201" spans="1:16" s="24" customFormat="1">
      <c r="A201" s="24">
        <f t="shared" si="49"/>
        <v>2</v>
      </c>
      <c r="B201" s="24">
        <v>34.312220823854993</v>
      </c>
      <c r="C201" s="24">
        <v>0</v>
      </c>
      <c r="D201" s="24">
        <v>0.96592157671211565</v>
      </c>
      <c r="E201" s="24">
        <v>7.9709501761318258</v>
      </c>
      <c r="F201" s="24">
        <v>358.64205622877921</v>
      </c>
      <c r="G201" s="24">
        <v>2.2514293193817139</v>
      </c>
      <c r="H201" s="24">
        <v>31.021476452249889</v>
      </c>
      <c r="I201" s="24">
        <v>36.727303614855813</v>
      </c>
      <c r="J201" s="24">
        <v>23.402492523193359</v>
      </c>
      <c r="K201" s="24">
        <v>0.56556206941604614</v>
      </c>
      <c r="L201" s="24">
        <f t="shared" si="44"/>
        <v>0.46625280145242831</v>
      </c>
      <c r="M201" s="24">
        <f t="shared" si="45"/>
        <v>0.3586420562287792</v>
      </c>
      <c r="N201" s="24">
        <f t="shared" si="46"/>
        <v>231.02164386173109</v>
      </c>
      <c r="O201" s="24">
        <f t="shared" si="47"/>
        <v>4.0515363203145097E-2</v>
      </c>
      <c r="P201" s="24">
        <f t="shared" si="48"/>
        <v>9.9494145397352546E-2</v>
      </c>
    </row>
    <row r="202" spans="1:16" s="24" customFormat="1">
      <c r="A202" s="24">
        <f t="shared" si="49"/>
        <v>2.25</v>
      </c>
      <c r="B202" s="24">
        <v>33.27353494217131</v>
      </c>
      <c r="C202" s="24">
        <v>0</v>
      </c>
      <c r="D202" s="24">
        <v>0.97480928937674505</v>
      </c>
      <c r="E202" s="24">
        <v>8.0376526880659842</v>
      </c>
      <c r="F202" s="24">
        <v>325.9868658710609</v>
      </c>
      <c r="G202" s="24">
        <v>2.4976902008056641</v>
      </c>
      <c r="H202" s="24">
        <v>31.006669739156678</v>
      </c>
      <c r="I202" s="24">
        <v>35.686140349326166</v>
      </c>
      <c r="J202" s="24">
        <v>22.257484436035156</v>
      </c>
      <c r="K202" s="24">
        <v>0.52950245141983032</v>
      </c>
      <c r="L202" s="24">
        <f t="shared" si="44"/>
        <v>0.41937466290675657</v>
      </c>
      <c r="M202" s="24">
        <f t="shared" si="45"/>
        <v>0.3259868658710609</v>
      </c>
      <c r="N202" s="24">
        <f t="shared" si="46"/>
        <v>219.71850381081103</v>
      </c>
      <c r="O202" s="24">
        <f t="shared" si="47"/>
        <v>3.5338701268976098E-2</v>
      </c>
      <c r="P202" s="24">
        <f t="shared" si="48"/>
        <v>9.6482298257963464E-2</v>
      </c>
    </row>
    <row r="203" spans="1:16" s="24" customFormat="1">
      <c r="A203" s="24">
        <f t="shared" si="49"/>
        <v>2.5</v>
      </c>
      <c r="B203" s="24">
        <v>32.588265047228759</v>
      </c>
      <c r="C203" s="24">
        <v>0</v>
      </c>
      <c r="D203" s="24">
        <v>1.006145763989422</v>
      </c>
      <c r="E203" s="24">
        <v>8.2711114798355361</v>
      </c>
      <c r="F203" s="24">
        <v>306.39059918466324</v>
      </c>
      <c r="G203" s="24">
        <v>2.7346255779266357</v>
      </c>
      <c r="H203" s="24">
        <v>30.954846243330444</v>
      </c>
      <c r="I203" s="24">
        <v>34.992219606496853</v>
      </c>
      <c r="J203" s="24">
        <v>21.489471435546875</v>
      </c>
      <c r="K203" s="24">
        <v>0.53132379055023193</v>
      </c>
      <c r="L203" s="24">
        <f t="shared" si="44"/>
        <v>0.37133990644505743</v>
      </c>
      <c r="M203" s="24">
        <f t="shared" si="45"/>
        <v>0.30639059918466327</v>
      </c>
      <c r="N203" s="24">
        <f t="shared" si="46"/>
        <v>212.13693421072927</v>
      </c>
      <c r="O203" s="24">
        <f t="shared" si="47"/>
        <v>3.064660124166161E-2</v>
      </c>
      <c r="P203" s="24">
        <f t="shared" si="48"/>
        <v>9.4495241141670919E-2</v>
      </c>
    </row>
    <row r="204" spans="1:16" s="24" customFormat="1">
      <c r="A204" s="24">
        <f t="shared" si="49"/>
        <v>2.75</v>
      </c>
      <c r="B204" s="24">
        <v>31.617150451003347</v>
      </c>
      <c r="C204" s="24">
        <v>0</v>
      </c>
      <c r="D204" s="24">
        <v>1.0151660433627467</v>
      </c>
      <c r="E204" s="24">
        <v>8.3378139917696927</v>
      </c>
      <c r="F204" s="24">
        <v>283.34421357630981</v>
      </c>
      <c r="G204" s="24">
        <v>2.9808993339538574</v>
      </c>
      <c r="H204" s="24">
        <v>30.940039530237232</v>
      </c>
      <c r="I204" s="24">
        <v>34.018639041728356</v>
      </c>
      <c r="J204" s="24">
        <v>20.541479110717773</v>
      </c>
      <c r="K204" s="24">
        <v>0.50132215023040771</v>
      </c>
      <c r="L204" s="24">
        <f t="shared" si="44"/>
        <v>0.32425014620710324</v>
      </c>
      <c r="M204" s="24">
        <f t="shared" si="45"/>
        <v>0.28334421357630979</v>
      </c>
      <c r="N204" s="24">
        <f t="shared" si="46"/>
        <v>202.77866841774701</v>
      </c>
      <c r="O204" s="24">
        <f t="shared" si="47"/>
        <v>2.5962849774807211E-2</v>
      </c>
      <c r="P204" s="24">
        <f t="shared" si="48"/>
        <v>9.1679328486808057E-2</v>
      </c>
    </row>
    <row r="205" spans="1:16" s="24" customFormat="1">
      <c r="A205" s="24">
        <f t="shared" si="49"/>
        <v>3</v>
      </c>
      <c r="B205" s="24">
        <v>30.949345603419641</v>
      </c>
      <c r="C205" s="24">
        <v>0</v>
      </c>
      <c r="D205" s="24">
        <v>1.0424226056780639</v>
      </c>
      <c r="E205" s="24">
        <v>8.5379215275721663</v>
      </c>
      <c r="F205" s="24">
        <v>268.62177058168822</v>
      </c>
      <c r="G205" s="24">
        <v>3.2197370529174805</v>
      </c>
      <c r="H205" s="24">
        <v>30.895619390957602</v>
      </c>
      <c r="I205" s="24">
        <v>33.343451455632383</v>
      </c>
      <c r="J205" s="24">
        <v>19.882497787475586</v>
      </c>
      <c r="K205" s="24">
        <v>0.49789285659790039</v>
      </c>
      <c r="L205" s="24">
        <f t="shared" si="44"/>
        <v>0.27608964313783563</v>
      </c>
      <c r="M205" s="24">
        <f t="shared" si="45"/>
        <v>0.26862177058168824</v>
      </c>
      <c r="N205" s="24">
        <f t="shared" si="46"/>
        <v>196.27342337093373</v>
      </c>
      <c r="O205" s="24">
        <f t="shared" si="47"/>
        <v>2.1639690255441602E-2</v>
      </c>
      <c r="P205" s="24">
        <f t="shared" si="48"/>
        <v>8.9742914258663514E-2</v>
      </c>
    </row>
    <row r="206" spans="1:16" s="24" customFormat="1">
      <c r="A206" s="24">
        <f t="shared" si="49"/>
        <v>3.25</v>
      </c>
      <c r="B206" s="24">
        <v>30.185921467368168</v>
      </c>
      <c r="C206" s="24">
        <v>0</v>
      </c>
      <c r="D206" s="24">
        <v>1.0607609832306664</v>
      </c>
      <c r="E206" s="24">
        <v>8.6713265514404831</v>
      </c>
      <c r="F206" s="24">
        <v>253.70504006318896</v>
      </c>
      <c r="G206" s="24">
        <v>3.4623095989227295</v>
      </c>
      <c r="H206" s="24">
        <v>30.86600596477118</v>
      </c>
      <c r="I206" s="24">
        <v>32.575118107255115</v>
      </c>
      <c r="J206" s="24">
        <v>19.190483093261719</v>
      </c>
      <c r="K206" s="24">
        <v>0.49331158399581909</v>
      </c>
      <c r="L206" s="24">
        <f t="shared" si="44"/>
        <v>0.22826777835896495</v>
      </c>
      <c r="M206" s="24">
        <f t="shared" si="45"/>
        <v>0.25370504006318895</v>
      </c>
      <c r="N206" s="24">
        <f t="shared" si="46"/>
        <v>189.44208384266258</v>
      </c>
      <c r="O206" s="24">
        <f t="shared" si="47"/>
        <v>1.7450123457695713E-2</v>
      </c>
      <c r="P206" s="24">
        <f t="shared" si="48"/>
        <v>8.7529235570184508E-2</v>
      </c>
    </row>
    <row r="207" spans="1:16" s="24" customFormat="1">
      <c r="A207" s="24">
        <f t="shared" si="49"/>
        <v>3.5</v>
      </c>
      <c r="B207" s="24">
        <v>29.321922731930027</v>
      </c>
      <c r="C207" s="24">
        <v>0</v>
      </c>
      <c r="D207" s="24">
        <v>1.0699829895374957</v>
      </c>
      <c r="E207" s="24">
        <v>8.7380290633746398</v>
      </c>
      <c r="F207" s="24">
        <v>238.6782987188937</v>
      </c>
      <c r="G207" s="24">
        <v>3.7086000442504883</v>
      </c>
      <c r="H207" s="24">
        <v>30.851199251677972</v>
      </c>
      <c r="I207" s="24">
        <v>31.708668541898209</v>
      </c>
      <c r="J207" s="24">
        <v>18.468500137329102</v>
      </c>
      <c r="K207" s="24">
        <v>0.48777621984481812</v>
      </c>
      <c r="L207" s="24">
        <f t="shared" si="44"/>
        <v>0.1808837812419711</v>
      </c>
      <c r="M207" s="24">
        <f t="shared" si="45"/>
        <v>0.23867829871889371</v>
      </c>
      <c r="N207" s="24">
        <f t="shared" si="46"/>
        <v>182.31490757481836</v>
      </c>
      <c r="O207" s="24">
        <f t="shared" si="47"/>
        <v>1.3432026100944712E-2</v>
      </c>
      <c r="P207" s="24">
        <f t="shared" si="48"/>
        <v>8.5023923650909175E-2</v>
      </c>
    </row>
    <row r="208" spans="1:16" s="24" customFormat="1">
      <c r="A208" s="24">
        <f t="shared" si="49"/>
        <v>3.75</v>
      </c>
      <c r="B208" s="24">
        <v>28.351527263747862</v>
      </c>
      <c r="C208" s="24">
        <v>0</v>
      </c>
      <c r="D208" s="24">
        <v>1.0699829895374957</v>
      </c>
      <c r="E208" s="24">
        <v>8.7380290633746398</v>
      </c>
      <c r="F208" s="24">
        <v>223.60489541142408</v>
      </c>
      <c r="G208" s="24">
        <v>3.9586000442504883</v>
      </c>
      <c r="H208" s="24">
        <v>30.851199251677972</v>
      </c>
      <c r="I208" s="24">
        <v>30.738273073716044</v>
      </c>
      <c r="J208" s="24">
        <v>17.719503402709961</v>
      </c>
      <c r="K208" s="24">
        <v>0.48151320219039917</v>
      </c>
      <c r="L208" s="24">
        <f t="shared" si="44"/>
        <v>0.13403623557020575</v>
      </c>
      <c r="M208" s="24">
        <f t="shared" si="45"/>
        <v>0.22360489541142409</v>
      </c>
      <c r="N208" s="24">
        <f t="shared" si="46"/>
        <v>174.92106024392854</v>
      </c>
      <c r="O208" s="24">
        <f t="shared" si="47"/>
        <v>9.6238342573277593E-3</v>
      </c>
      <c r="P208" s="24">
        <f t="shared" si="48"/>
        <v>8.2210096230647164E-2</v>
      </c>
    </row>
    <row r="209" spans="1:38" s="24" customFormat="1">
      <c r="A209" s="24">
        <f t="shared" si="49"/>
        <v>4</v>
      </c>
      <c r="B209" s="24">
        <v>27.769252142508961</v>
      </c>
      <c r="C209" s="24">
        <v>0</v>
      </c>
      <c r="D209" s="24">
        <v>1.0932033967114383</v>
      </c>
      <c r="E209" s="24">
        <v>8.904785343210035</v>
      </c>
      <c r="F209" s="24">
        <v>214.80877363187753</v>
      </c>
      <c r="G209" s="24">
        <v>4.199338436126709</v>
      </c>
      <c r="H209" s="24">
        <v>30.814182468944946</v>
      </c>
      <c r="I209" s="24">
        <v>30.149881871022036</v>
      </c>
      <c r="J209" s="24">
        <v>17.252473831176758</v>
      </c>
      <c r="K209" s="24">
        <v>0.47612625360488892</v>
      </c>
      <c r="L209" s="24">
        <f t="shared" si="44"/>
        <v>8.5601736415560264E-2</v>
      </c>
      <c r="M209" s="24">
        <f t="shared" si="45"/>
        <v>0.21480877363187753</v>
      </c>
      <c r="N209" s="24">
        <f t="shared" si="46"/>
        <v>170.31069922188308</v>
      </c>
      <c r="O209" s="24">
        <f t="shared" si="47"/>
        <v>6.0199961324774202E-3</v>
      </c>
      <c r="P209" s="24">
        <f t="shared" si="48"/>
        <v>8.05216900539905E-2</v>
      </c>
    </row>
    <row r="210" spans="1:38" s="24" customFormat="1">
      <c r="A210" s="24">
        <f t="shared" si="49"/>
        <v>4.25</v>
      </c>
      <c r="B210" s="24">
        <v>27.15018825349761</v>
      </c>
      <c r="C210" s="24">
        <v>0</v>
      </c>
      <c r="D210" s="24">
        <v>1.1072512253839846</v>
      </c>
      <c r="E210" s="24">
        <v>9.0381903670783501</v>
      </c>
      <c r="F210" s="24">
        <v>206.11901381499689</v>
      </c>
      <c r="G210" s="24">
        <v>4.4419417381286621</v>
      </c>
      <c r="H210" s="24">
        <v>30.784569042758523</v>
      </c>
      <c r="I210" s="24">
        <v>29.525936403029718</v>
      </c>
      <c r="J210" s="24">
        <v>16.783470153808594</v>
      </c>
      <c r="K210" s="24">
        <v>0.49056392908096313</v>
      </c>
      <c r="L210" s="24">
        <f t="shared" si="44"/>
        <v>3.7336123078987843E-2</v>
      </c>
      <c r="M210" s="24">
        <f t="shared" si="45"/>
        <v>0.20611901381499689</v>
      </c>
      <c r="N210" s="24">
        <f t="shared" si="46"/>
        <v>165.68085048182226</v>
      </c>
      <c r="O210" s="24">
        <f t="shared" si="47"/>
        <v>2.5671516156588262E-3</v>
      </c>
      <c r="P210" s="24">
        <f t="shared" si="48"/>
        <v>7.8726608561022135E-2</v>
      </c>
    </row>
    <row r="211" spans="1:38" s="24" customFormat="1"/>
    <row r="212" spans="1:38" s="24" customFormat="1"/>
    <row r="213" spans="1:38" s="24" customFormat="1"/>
    <row r="214" spans="1:38" s="24" customFormat="1"/>
    <row r="215" spans="1:38" s="24" customFormat="1"/>
    <row r="216" spans="1:38" s="24" customFormat="1"/>
    <row r="217" spans="1:38" s="24" customFormat="1"/>
    <row r="218" spans="1:38" s="24" customFormat="1"/>
    <row r="219" spans="1:38">
      <c r="B219" s="20"/>
    </row>
    <row r="220" spans="1:38">
      <c r="C220" s="24" t="s">
        <v>255</v>
      </c>
      <c r="U220" s="24" t="s">
        <v>253</v>
      </c>
      <c r="AD220" s="24" t="s">
        <v>253</v>
      </c>
    </row>
    <row r="221" spans="1:38">
      <c r="C221" s="24" t="s">
        <v>267</v>
      </c>
      <c r="L221" s="24" t="s">
        <v>256</v>
      </c>
      <c r="U221" s="24" t="s">
        <v>251</v>
      </c>
      <c r="AD221" s="24" t="s">
        <v>256</v>
      </c>
    </row>
    <row r="222" spans="1:38">
      <c r="C222" s="25" t="s">
        <v>237</v>
      </c>
      <c r="D222" s="24" t="s">
        <v>154</v>
      </c>
      <c r="E222" s="24" t="s">
        <v>155</v>
      </c>
      <c r="F222" s="24" t="s">
        <v>156</v>
      </c>
      <c r="G222" s="24" t="s">
        <v>159</v>
      </c>
      <c r="H222" s="24" t="s">
        <v>238</v>
      </c>
      <c r="I222" s="24" t="s">
        <v>157</v>
      </c>
      <c r="J222" s="24" t="s">
        <v>160</v>
      </c>
      <c r="K222" s="24" t="s">
        <v>265</v>
      </c>
      <c r="L222" s="25" t="s">
        <v>237</v>
      </c>
      <c r="M222" s="24" t="s">
        <v>154</v>
      </c>
      <c r="N222" s="24" t="s">
        <v>155</v>
      </c>
      <c r="O222" s="24" t="s">
        <v>156</v>
      </c>
      <c r="P222" s="24" t="s">
        <v>159</v>
      </c>
      <c r="Q222" s="24" t="s">
        <v>238</v>
      </c>
      <c r="R222" s="24" t="s">
        <v>157</v>
      </c>
      <c r="S222" s="24" t="s">
        <v>160</v>
      </c>
      <c r="T222" s="24" t="s">
        <v>265</v>
      </c>
      <c r="U222" s="25" t="s">
        <v>237</v>
      </c>
      <c r="V222" s="24" t="s">
        <v>154</v>
      </c>
      <c r="W222" s="24" t="s">
        <v>155</v>
      </c>
      <c r="X222" s="24" t="s">
        <v>156</v>
      </c>
      <c r="Y222" s="24" t="s">
        <v>159</v>
      </c>
      <c r="Z222" s="24" t="s">
        <v>238</v>
      </c>
      <c r="AA222" s="24" t="s">
        <v>157</v>
      </c>
      <c r="AB222" s="24" t="s">
        <v>160</v>
      </c>
      <c r="AC222" s="25" t="s">
        <v>265</v>
      </c>
      <c r="AD222" s="25" t="s">
        <v>237</v>
      </c>
      <c r="AE222" s="24" t="s">
        <v>154</v>
      </c>
      <c r="AF222" s="24" t="s">
        <v>155</v>
      </c>
      <c r="AG222" s="24" t="s">
        <v>156</v>
      </c>
      <c r="AH222" s="24" t="s">
        <v>159</v>
      </c>
      <c r="AI222" s="24" t="s">
        <v>238</v>
      </c>
      <c r="AJ222" s="24" t="s">
        <v>157</v>
      </c>
      <c r="AK222" s="24" t="s">
        <v>160</v>
      </c>
      <c r="AL222" s="25" t="s">
        <v>265</v>
      </c>
    </row>
    <row r="223" spans="1:38">
      <c r="C223" s="24">
        <v>0</v>
      </c>
      <c r="D223" s="24">
        <v>0.81005677790242914</v>
      </c>
      <c r="E223" s="24">
        <v>6.4746989511111179</v>
      </c>
      <c r="F223" s="24">
        <v>496.6072307758651</v>
      </c>
      <c r="G223" s="24">
        <v>1.3207359313964844</v>
      </c>
      <c r="H223" s="24">
        <v>26.655052543525834</v>
      </c>
      <c r="I223" s="24">
        <v>36.745301700317526</v>
      </c>
      <c r="J223" s="24">
        <v>28.008377075195313</v>
      </c>
      <c r="K223" s="24">
        <v>0.76905924081802368</v>
      </c>
      <c r="L223" s="24">
        <v>0</v>
      </c>
      <c r="M223" s="24">
        <v>0.78471173971940233</v>
      </c>
      <c r="N223" s="24">
        <v>1.3562166222222283</v>
      </c>
      <c r="O223" s="24">
        <v>88.11686507399304</v>
      </c>
      <c r="P223" s="24">
        <v>1.559119701385498</v>
      </c>
      <c r="Q223" s="24">
        <v>27.800393099780489</v>
      </c>
      <c r="R223" s="24">
        <v>6.4122890821013527</v>
      </c>
      <c r="S223" s="24">
        <v>28.206426620483398</v>
      </c>
      <c r="T223" s="24">
        <v>0.99552899599075317</v>
      </c>
      <c r="U223" s="24">
        <v>0</v>
      </c>
      <c r="V223" s="24">
        <v>0.99243017944449441</v>
      </c>
      <c r="W223" s="24">
        <v>7.827621119999975</v>
      </c>
      <c r="X223" s="24">
        <v>629.3045046896799</v>
      </c>
      <c r="Y223" s="24">
        <v>1.260022759437561</v>
      </c>
      <c r="Z223" s="24">
        <v>26.352315026832915</v>
      </c>
      <c r="AA223" s="24">
        <v>38.129697378480024</v>
      </c>
      <c r="AB223" s="24">
        <v>30.180261611938477</v>
      </c>
      <c r="AC223" s="19">
        <v>1.2344790697097778</v>
      </c>
      <c r="AD223" s="24">
        <v>0</v>
      </c>
      <c r="AE223" s="24">
        <v>0.96762220729273929</v>
      </c>
      <c r="AF223" s="24">
        <v>1.6524977920000092</v>
      </c>
      <c r="AG223" s="24">
        <v>108.35263474909171</v>
      </c>
      <c r="AH223" s="24">
        <v>1.5449372529983521</v>
      </c>
      <c r="AI223" s="24">
        <v>27.734095549452768</v>
      </c>
      <c r="AJ223" s="24">
        <v>6.6515725646366288</v>
      </c>
      <c r="AK223" s="24">
        <v>30.050764083862305</v>
      </c>
      <c r="AL223" s="19">
        <v>1.5166075229644775</v>
      </c>
    </row>
    <row r="224" spans="1:38">
      <c r="C224" s="24">
        <v>0.25</v>
      </c>
      <c r="D224" s="24">
        <v>0.96519138919244307</v>
      </c>
      <c r="E224" s="24">
        <v>5.6236464820148804</v>
      </c>
      <c r="F224" s="24">
        <v>419.06032869058441</v>
      </c>
      <c r="G224" s="24">
        <v>1.359411358833313</v>
      </c>
      <c r="H224" s="24">
        <v>26.845488857597896</v>
      </c>
      <c r="I224" s="24">
        <v>35.463384830385316</v>
      </c>
      <c r="J224" s="24">
        <v>26.284919738769531</v>
      </c>
      <c r="K224" s="24">
        <v>0.56288224458694458</v>
      </c>
      <c r="L224" s="24">
        <v>0.25</v>
      </c>
      <c r="M224" s="24">
        <v>0.93481315030237833</v>
      </c>
      <c r="N224" s="24">
        <v>1.1663462951111139</v>
      </c>
      <c r="O224" s="24">
        <v>75.340093263773653</v>
      </c>
      <c r="P224" s="24">
        <v>1.5682337284088135</v>
      </c>
      <c r="Q224" s="24">
        <v>27.842879558089098</v>
      </c>
      <c r="R224" s="24">
        <v>6.1933783958614734</v>
      </c>
      <c r="S224" s="24">
        <v>26.676549911499023</v>
      </c>
      <c r="T224" s="24">
        <v>0.73916345834732056</v>
      </c>
      <c r="U224" s="24">
        <v>0.25</v>
      </c>
      <c r="V224" s="24">
        <v>1.0755087978966791</v>
      </c>
      <c r="W224" s="24">
        <v>6.4360440319999821</v>
      </c>
      <c r="X224" s="24">
        <v>492.98975103285829</v>
      </c>
      <c r="Y224" s="24">
        <v>1.3224843740463257</v>
      </c>
      <c r="Z224" s="24">
        <v>26.663702186859926</v>
      </c>
      <c r="AA224" s="24">
        <v>36.694935214778646</v>
      </c>
      <c r="AB224" s="24">
        <v>27.936264038085938</v>
      </c>
      <c r="AC224" s="24">
        <v>0.7634512186050415</v>
      </c>
      <c r="AD224" s="24">
        <v>0.25</v>
      </c>
      <c r="AE224" s="24">
        <v>1.0755086061452133</v>
      </c>
      <c r="AF224" s="24">
        <v>1.3896004160000079</v>
      </c>
      <c r="AG224" s="24">
        <v>90.37866864698357</v>
      </c>
      <c r="AH224" s="24">
        <v>1.5575193166732788</v>
      </c>
      <c r="AI224" s="24">
        <v>27.792922953264689</v>
      </c>
      <c r="AJ224" s="24">
        <v>6.4445314657135571</v>
      </c>
      <c r="AK224" s="24">
        <v>28.443763732910156</v>
      </c>
      <c r="AL224" s="24">
        <v>1.0517464876174927</v>
      </c>
    </row>
    <row r="225" spans="2:38">
      <c r="C225" s="24">
        <v>0.5</v>
      </c>
      <c r="D225" s="24">
        <v>1.1405256972058972</v>
      </c>
      <c r="E225" s="24">
        <v>4.8146047516740174</v>
      </c>
      <c r="F225" s="24">
        <v>349.2370663459717</v>
      </c>
      <c r="G225" s="24">
        <v>1.3965283632278442</v>
      </c>
      <c r="H225" s="24">
        <v>27.026524611151622</v>
      </c>
      <c r="I225" s="24">
        <v>33.791720213892958</v>
      </c>
      <c r="J225" s="24">
        <v>24.318464279174805</v>
      </c>
      <c r="K225" s="24">
        <v>0.40932896733283997</v>
      </c>
      <c r="L225" s="24">
        <v>0.5</v>
      </c>
      <c r="M225" s="24">
        <v>1.1097535642672396</v>
      </c>
      <c r="N225" s="24">
        <v>0.99453783687059971</v>
      </c>
      <c r="O225" s="24">
        <v>63.905370547126338</v>
      </c>
      <c r="P225" s="24">
        <v>1.5764979124069214</v>
      </c>
      <c r="Q225" s="24">
        <v>27.881324390460566</v>
      </c>
      <c r="R225" s="24">
        <v>5.9251287810393416</v>
      </c>
      <c r="S225" s="24">
        <v>24.972667694091797</v>
      </c>
      <c r="T225" s="24">
        <v>0.54795581102371216</v>
      </c>
      <c r="U225" s="24">
        <v>0.5</v>
      </c>
      <c r="V225" s="24">
        <v>1.1728550604441583</v>
      </c>
      <c r="W225" s="24">
        <v>5.0648767412906492</v>
      </c>
      <c r="X225" s="24">
        <v>370.44650031963045</v>
      </c>
      <c r="Y225" s="24">
        <v>1.385009765625</v>
      </c>
      <c r="Z225" s="24">
        <v>26.970522335206539</v>
      </c>
      <c r="AA225" s="24">
        <v>34.366465605309209</v>
      </c>
      <c r="AB225" s="24">
        <v>24.964262008666992</v>
      </c>
      <c r="AC225" s="24">
        <v>0.45280677080154419</v>
      </c>
      <c r="AD225" s="24">
        <v>0.5</v>
      </c>
      <c r="AE225" s="24">
        <v>1.1728542742285559</v>
      </c>
      <c r="AF225" s="24">
        <v>1.0935529327786708</v>
      </c>
      <c r="AG225" s="24">
        <v>70.480734637819424</v>
      </c>
      <c r="AH225" s="24">
        <v>1.5717332363128662</v>
      </c>
      <c r="AI225" s="24">
        <v>27.8591682125668</v>
      </c>
      <c r="AJ225" s="24">
        <v>6.089664514250793</v>
      </c>
      <c r="AK225" s="24">
        <v>25.99717903137207</v>
      </c>
      <c r="AL225" s="24">
        <v>0.65226840972900391</v>
      </c>
    </row>
    <row r="226" spans="2:38">
      <c r="C226" s="24">
        <v>0.75</v>
      </c>
      <c r="D226" s="24">
        <v>1.3353190215703734</v>
      </c>
      <c r="E226" s="24">
        <v>4.0480744096927435</v>
      </c>
      <c r="F226" s="24">
        <v>286.35905767575838</v>
      </c>
      <c r="G226" s="24">
        <v>1.4320131540298462</v>
      </c>
      <c r="H226" s="24">
        <v>27.198047775999882</v>
      </c>
      <c r="I226" s="24">
        <v>31.61557593008661</v>
      </c>
      <c r="J226" s="24">
        <v>22.106025695800781</v>
      </c>
      <c r="K226" s="24">
        <v>0.30129298567771912</v>
      </c>
      <c r="L226" s="24">
        <v>0.75</v>
      </c>
      <c r="M226" s="24">
        <v>1.2952134934700308</v>
      </c>
      <c r="N226" s="24">
        <v>0.82189584162600693</v>
      </c>
      <c r="O226" s="24">
        <v>52.53475352073697</v>
      </c>
      <c r="P226" s="24">
        <v>1.5848184823989868</v>
      </c>
      <c r="Q226" s="24">
        <v>27.919955739786584</v>
      </c>
      <c r="R226" s="24">
        <v>5.5535532605699984</v>
      </c>
      <c r="S226" s="24">
        <v>22.866785049438477</v>
      </c>
      <c r="T226" s="24">
        <v>0.39467120170593262</v>
      </c>
      <c r="U226" s="24">
        <v>0.75</v>
      </c>
      <c r="V226" s="24">
        <v>1.2947452494012013</v>
      </c>
      <c r="W226" s="24">
        <v>3.8194152475306531</v>
      </c>
      <c r="X226" s="24">
        <v>268.19007207010793</v>
      </c>
      <c r="Y226" s="24">
        <v>1.4426587820053101</v>
      </c>
      <c r="Z226" s="24">
        <v>27.249213843430713</v>
      </c>
      <c r="AA226" s="24">
        <v>30.81982870043182</v>
      </c>
      <c r="AB226" s="24">
        <v>21.374261856079102</v>
      </c>
      <c r="AC226" s="24">
        <v>0.27252790331840515</v>
      </c>
      <c r="AD226" s="24">
        <v>0.75</v>
      </c>
      <c r="AE226" s="24">
        <v>1.2947441369386266</v>
      </c>
      <c r="AF226" s="24">
        <v>0.82464647389866996</v>
      </c>
      <c r="AG226" s="24">
        <v>52.71498499841293</v>
      </c>
      <c r="AH226" s="24">
        <v>1.5846858024597168</v>
      </c>
      <c r="AI226" s="24">
        <v>27.919340242751563</v>
      </c>
      <c r="AJ226" s="24">
        <v>5.5605691843027953</v>
      </c>
      <c r="AK226" s="24">
        <v>22.904184341430664</v>
      </c>
      <c r="AL226" s="24">
        <v>0.39066794514656067</v>
      </c>
    </row>
    <row r="227" spans="2:38">
      <c r="C227" s="24">
        <v>1</v>
      </c>
      <c r="D227" s="24">
        <v>1.5250577088740545</v>
      </c>
      <c r="E227" s="24">
        <v>3.1938935709502623</v>
      </c>
      <c r="F227" s="24">
        <v>219.80855548215715</v>
      </c>
      <c r="G227" s="24">
        <v>1.4719237089157104</v>
      </c>
      <c r="H227" s="24">
        <v>27.389184111758169</v>
      </c>
      <c r="I227" s="24">
        <v>28.209185149494203</v>
      </c>
      <c r="J227" s="24">
        <v>19.200559616088867</v>
      </c>
      <c r="K227" s="24">
        <v>0.21113130450248718</v>
      </c>
      <c r="L227" s="24">
        <v>1</v>
      </c>
      <c r="M227" s="24">
        <v>1.4999211127978893</v>
      </c>
      <c r="N227" s="24">
        <v>0.65894218370362878</v>
      </c>
      <c r="O227" s="24">
        <v>41.910829885955344</v>
      </c>
      <c r="P227" s="24">
        <v>1.5926872491836548</v>
      </c>
      <c r="Q227" s="24">
        <v>27.956419171955755</v>
      </c>
      <c r="R227" s="24">
        <v>5.0609028533635554</v>
      </c>
      <c r="S227" s="24">
        <v>20.428909301757813</v>
      </c>
      <c r="T227" s="24">
        <v>0.28216025233268738</v>
      </c>
      <c r="U227" s="24">
        <v>1</v>
      </c>
      <c r="V227" s="24">
        <v>1.4389511869459415</v>
      </c>
      <c r="W227" s="24">
        <v>2.7440007630520213</v>
      </c>
      <c r="X227" s="24">
        <v>186.16768984098462</v>
      </c>
      <c r="Y227" s="24">
        <v>1.4931015968322754</v>
      </c>
      <c r="Z227" s="24">
        <v>27.489854671065345</v>
      </c>
      <c r="AA227" s="24">
        <v>25.863496694982544</v>
      </c>
      <c r="AB227" s="24">
        <v>17.483203887939453</v>
      </c>
      <c r="AC227" s="24">
        <v>0.17551469802856445</v>
      </c>
      <c r="AD227" s="24">
        <v>1</v>
      </c>
      <c r="AE227" s="24">
        <v>1.4389499295890111</v>
      </c>
      <c r="AF227" s="24">
        <v>0.59245471020441787</v>
      </c>
      <c r="AG227" s="24">
        <v>37.606107648226782</v>
      </c>
      <c r="AH227" s="24">
        <v>1.5959019660949707</v>
      </c>
      <c r="AI227" s="24">
        <v>27.971296785081769</v>
      </c>
      <c r="AJ227" s="24">
        <v>4.8054938584599221</v>
      </c>
      <c r="AK227" s="24">
        <v>19.28961181640625</v>
      </c>
      <c r="AL227" s="24">
        <v>0.24108174443244934</v>
      </c>
    </row>
    <row r="228" spans="2:38">
      <c r="C228" s="24">
        <v>1.25</v>
      </c>
      <c r="D228" s="24">
        <v>1.7349885693953</v>
      </c>
      <c r="E228" s="24">
        <v>2.4399769650666929</v>
      </c>
      <c r="F228" s="24">
        <v>163.96271712207991</v>
      </c>
      <c r="G228" s="24">
        <v>1.5074747800827026</v>
      </c>
      <c r="H228" s="24">
        <v>27.557884755673406</v>
      </c>
      <c r="I228" s="24">
        <v>24.021645562437616</v>
      </c>
      <c r="J228" s="24">
        <v>16.255025863647461</v>
      </c>
      <c r="K228" s="24">
        <v>0.15654824674129486</v>
      </c>
      <c r="L228" s="24">
        <v>1.25</v>
      </c>
      <c r="M228" s="24">
        <v>1.709482312403245</v>
      </c>
      <c r="N228" s="24">
        <v>0.50467819961176918</v>
      </c>
      <c r="O228" s="24">
        <v>31.94944591346006</v>
      </c>
      <c r="P228" s="24">
        <v>1.6001498699188232</v>
      </c>
      <c r="Q228" s="24">
        <v>27.990938153559465</v>
      </c>
      <c r="R228" s="24">
        <v>4.4067495035773776</v>
      </c>
      <c r="S228" s="24">
        <v>17.645015716552734</v>
      </c>
      <c r="T228" s="24">
        <v>0.20280727744102478</v>
      </c>
      <c r="U228" s="24">
        <v>1.25</v>
      </c>
      <c r="V228" s="24">
        <v>1.6045172129566105</v>
      </c>
      <c r="W228" s="24">
        <v>1.876286743980248</v>
      </c>
      <c r="X228" s="24">
        <v>123.8826879196902</v>
      </c>
      <c r="Y228" s="24">
        <v>1.5342566967010498</v>
      </c>
      <c r="Z228" s="24">
        <v>27.68401926779833</v>
      </c>
      <c r="AA228" s="24">
        <v>19.992459298508191</v>
      </c>
      <c r="AB228" s="24">
        <v>13.845047950744629</v>
      </c>
      <c r="AC228" s="24">
        <v>0.1267678290605545</v>
      </c>
      <c r="AD228" s="24">
        <v>1.25</v>
      </c>
      <c r="AE228" s="24">
        <v>1.6045168116930919</v>
      </c>
      <c r="AF228" s="24">
        <v>0.40510736517755602</v>
      </c>
      <c r="AG228" s="24">
        <v>25.568877899497711</v>
      </c>
      <c r="AH228" s="24">
        <v>1.6049736738204956</v>
      </c>
      <c r="AI228" s="24">
        <v>28.013218686649118</v>
      </c>
      <c r="AJ228" s="24">
        <v>3.8530886374751012</v>
      </c>
      <c r="AK228" s="24">
        <v>15.576794624328613</v>
      </c>
      <c r="AL228" s="24">
        <v>0.16153691709041595</v>
      </c>
    </row>
    <row r="229" spans="2:38">
      <c r="C229" s="24">
        <v>1.5</v>
      </c>
      <c r="D229" s="24">
        <v>1.9348402824124615</v>
      </c>
      <c r="E229" s="24">
        <v>1.7065713772102327</v>
      </c>
      <c r="F229" s="24">
        <v>112.08559949605466</v>
      </c>
      <c r="G229" s="24">
        <v>1.5423541069030762</v>
      </c>
      <c r="H229" s="24">
        <v>27.72199573818375</v>
      </c>
      <c r="I229" s="24">
        <v>18.61253678289118</v>
      </c>
      <c r="J229" s="24">
        <v>13.088413238525391</v>
      </c>
      <c r="K229" s="24">
        <v>0.11744129657745361</v>
      </c>
      <c r="L229" s="24">
        <v>1.5</v>
      </c>
      <c r="M229" s="24">
        <v>1.9050083184873747</v>
      </c>
      <c r="N229" s="24">
        <v>0.34883298130475227</v>
      </c>
      <c r="O229" s="24">
        <v>21.979678181354405</v>
      </c>
      <c r="P229" s="24">
        <v>1.607702374458313</v>
      </c>
      <c r="Q229" s="24">
        <v>28.025810961074683</v>
      </c>
      <c r="R229" s="24">
        <v>3.4841045592128066</v>
      </c>
      <c r="S229" s="24">
        <v>14.30809211730957</v>
      </c>
      <c r="T229" s="24">
        <v>0.14385049045085907</v>
      </c>
      <c r="U229" s="24">
        <v>1.5</v>
      </c>
      <c r="V229" s="24">
        <v>1.7881582867209949</v>
      </c>
      <c r="W229" s="24">
        <v>1.2330515002204299</v>
      </c>
      <c r="X229" s="24">
        <v>79.81198441763172</v>
      </c>
      <c r="Y229" s="24">
        <v>1.5650296211242676</v>
      </c>
      <c r="Z229" s="24">
        <v>27.827953224106508</v>
      </c>
      <c r="AA229" s="24">
        <v>14.327743377784236</v>
      </c>
      <c r="AB229" s="24">
        <v>10.906764030456543</v>
      </c>
      <c r="AC229" s="24">
        <v>0.1030106246471405</v>
      </c>
      <c r="AD229" s="24">
        <v>1.5</v>
      </c>
      <c r="AE229" s="24">
        <v>1.7881582615456981</v>
      </c>
      <c r="AF229" s="24">
        <v>0.26622702845668528</v>
      </c>
      <c r="AG229" s="24">
        <v>16.733022783734651</v>
      </c>
      <c r="AH229" s="24">
        <v>1.6117110252380371</v>
      </c>
      <c r="AI229" s="24">
        <v>28.044295336306568</v>
      </c>
      <c r="AJ229" s="24">
        <v>2.8586646763298078</v>
      </c>
      <c r="AK229" s="24">
        <v>12.313941955566406</v>
      </c>
      <c r="AL229" s="24">
        <v>0.12000958621501923</v>
      </c>
    </row>
    <row r="230" spans="2:38">
      <c r="C230" s="24">
        <v>1.75</v>
      </c>
      <c r="D230" s="24">
        <v>2.1402806216879546</v>
      </c>
      <c r="E230" s="24">
        <v>1.1319324249496052</v>
      </c>
      <c r="F230" s="24">
        <v>73.040094455986505</v>
      </c>
      <c r="G230" s="24">
        <v>1.5698878765106201</v>
      </c>
      <c r="H230" s="24">
        <v>27.850580200322675</v>
      </c>
      <c r="I230" s="24">
        <v>13.326686526789405</v>
      </c>
      <c r="J230" s="24">
        <v>10.42772388458252</v>
      </c>
      <c r="K230" s="24">
        <v>0.10119350254535675</v>
      </c>
      <c r="L230" s="24">
        <v>1.75</v>
      </c>
      <c r="M230" s="24">
        <v>2.1297743645296099</v>
      </c>
      <c r="N230" s="24">
        <v>0.23954540360247323</v>
      </c>
      <c r="O230" s="24">
        <v>15.043923729489121</v>
      </c>
      <c r="P230" s="24">
        <v>1.6130067110061646</v>
      </c>
      <c r="Q230" s="24">
        <v>28.05026576759629</v>
      </c>
      <c r="R230" s="24">
        <v>2.633072291495234</v>
      </c>
      <c r="S230" s="24">
        <v>11.635159492492676</v>
      </c>
      <c r="T230" s="24">
        <v>0.11501806974411011</v>
      </c>
      <c r="U230" s="24">
        <v>1.75</v>
      </c>
      <c r="V230" s="24">
        <v>1.9865601426759856</v>
      </c>
      <c r="W230" s="24">
        <v>0.76499521646328461</v>
      </c>
      <c r="X230" s="24">
        <v>48.813146073703919</v>
      </c>
      <c r="Y230" s="24">
        <v>1.5875644683837891</v>
      </c>
      <c r="Z230" s="24">
        <v>27.932688145505224</v>
      </c>
      <c r="AA230" s="24">
        <v>9.4414785125400016</v>
      </c>
      <c r="AB230" s="24">
        <v>8.6572904586791992</v>
      </c>
      <c r="AC230" s="24">
        <v>8.8384270668029785E-2</v>
      </c>
      <c r="AD230" s="24">
        <v>1.75</v>
      </c>
      <c r="AE230" s="24">
        <v>1.9865601299650926</v>
      </c>
      <c r="AF230" s="24">
        <v>0.16516942173639215</v>
      </c>
      <c r="AG230" s="24">
        <v>10.349778635280131</v>
      </c>
      <c r="AH230" s="24">
        <v>1.6166203022003174</v>
      </c>
      <c r="AI230" s="24">
        <v>28.066908557972198</v>
      </c>
      <c r="AJ230" s="24">
        <v>1.9380276259640332</v>
      </c>
      <c r="AK230" s="24">
        <v>9.6550674438476562</v>
      </c>
      <c r="AL230" s="24">
        <v>9.9154189229011536E-2</v>
      </c>
    </row>
    <row r="231" spans="2:38">
      <c r="C231" s="24">
        <v>2</v>
      </c>
      <c r="D231" s="24">
        <v>2.3448561915834638</v>
      </c>
      <c r="E231" s="24">
        <v>0.69233538795859273</v>
      </c>
      <c r="F231" s="24">
        <v>44.079405157463192</v>
      </c>
      <c r="G231" s="24">
        <v>1.5910735130310059</v>
      </c>
      <c r="H231" s="24">
        <v>27.948946919698354</v>
      </c>
      <c r="I231" s="24">
        <v>8.6221367812693845</v>
      </c>
      <c r="J231" s="24">
        <v>8.2999286651611328</v>
      </c>
      <c r="K231" s="24">
        <v>9.0380750596523285E-2</v>
      </c>
      <c r="L231" s="24">
        <v>2</v>
      </c>
      <c r="M231" s="24">
        <v>2.3448552213943561</v>
      </c>
      <c r="N231" s="24">
        <v>0.14948150421833206</v>
      </c>
      <c r="O231" s="24">
        <v>9.3623322830068627</v>
      </c>
      <c r="P231" s="24">
        <v>1.6173828840255737</v>
      </c>
      <c r="Q231" s="24">
        <v>28.070418975127534</v>
      </c>
      <c r="R231" s="24">
        <v>1.7779909173209438</v>
      </c>
      <c r="S231" s="24">
        <v>9.2202329635620117</v>
      </c>
      <c r="T231" s="24">
        <v>9.8686359822750092E-2</v>
      </c>
      <c r="U231" s="24">
        <v>2</v>
      </c>
      <c r="V231" s="24">
        <v>2.1962406051062504</v>
      </c>
      <c r="W231" s="24">
        <v>0.44746583356243802</v>
      </c>
      <c r="X231" s="24">
        <v>28.278556152315367</v>
      </c>
      <c r="Y231" s="24">
        <v>1.6029208898544312</v>
      </c>
      <c r="Z231" s="24">
        <v>28.00374031618211</v>
      </c>
      <c r="AA231" s="24">
        <v>5.743314026771003</v>
      </c>
      <c r="AB231" s="24">
        <v>7.0826959609985352</v>
      </c>
      <c r="AC231" s="24">
        <v>8.365679532289505E-2</v>
      </c>
      <c r="AD231" s="24">
        <v>2</v>
      </c>
      <c r="AE231" s="24">
        <v>2.1962404896662702</v>
      </c>
      <c r="AF231" s="24">
        <v>9.6611941337346061E-2</v>
      </c>
      <c r="AG231" s="24">
        <v>6.0413997863448783</v>
      </c>
      <c r="AH231" s="24">
        <v>1.619953989982605</v>
      </c>
      <c r="AI231" s="24">
        <v>28.082249367550162</v>
      </c>
      <c r="AJ231" s="24">
        <v>1.2036656161954014</v>
      </c>
      <c r="AK231" s="24">
        <v>7.7161550521850586</v>
      </c>
      <c r="AL231" s="24">
        <v>8.6232051253318787E-2</v>
      </c>
    </row>
    <row r="232" spans="2:38">
      <c r="C232" s="24">
        <v>2.25</v>
      </c>
      <c r="D232" s="24">
        <v>2.550089063064231</v>
      </c>
      <c r="E232" s="24">
        <v>0.38770781725681147</v>
      </c>
      <c r="F232" s="24">
        <v>24.457828860441925</v>
      </c>
      <c r="G232" s="24">
        <v>1.6058171987533569</v>
      </c>
      <c r="H232" s="24">
        <v>28.01711210790441</v>
      </c>
      <c r="I232" s="24">
        <v>5.013836295680683</v>
      </c>
      <c r="J232" s="24">
        <v>6.7830681800842285</v>
      </c>
      <c r="K232" s="24">
        <v>7.7660523355007172E-2</v>
      </c>
      <c r="L232" s="24">
        <v>2.25</v>
      </c>
      <c r="M232" s="24">
        <v>2.5500881837531848</v>
      </c>
      <c r="N232" s="24">
        <v>8.4037915469568819E-2</v>
      </c>
      <c r="O232" s="24">
        <v>5.2531291277535281</v>
      </c>
      <c r="P232" s="24">
        <v>1.62056565284729</v>
      </c>
      <c r="Q232" s="24">
        <v>28.085063002697535</v>
      </c>
      <c r="R232" s="24">
        <v>1.0586482455502095</v>
      </c>
      <c r="S232" s="24">
        <v>7.3492794036865234</v>
      </c>
      <c r="T232" s="24">
        <v>8.2485295832157135E-2</v>
      </c>
      <c r="U232" s="24">
        <v>2.25</v>
      </c>
      <c r="V232" s="24">
        <v>2.414506856273491</v>
      </c>
      <c r="W232" s="24">
        <v>0.24414124979891444</v>
      </c>
      <c r="X232" s="24">
        <v>15.33467381106527</v>
      </c>
      <c r="Y232" s="24">
        <v>1.6127834320068359</v>
      </c>
      <c r="Z232" s="24">
        <v>28.049237375057086</v>
      </c>
      <c r="AA232" s="24">
        <v>3.2119101256724254</v>
      </c>
      <c r="AB232" s="24">
        <v>6.0569362640380859</v>
      </c>
      <c r="AC232" s="24">
        <v>7.7898487448692322E-2</v>
      </c>
      <c r="AD232" s="24">
        <v>2.25</v>
      </c>
      <c r="AE232" s="24">
        <v>2.4145072986305696</v>
      </c>
      <c r="AF232" s="24">
        <v>5.2712315297493768E-2</v>
      </c>
      <c r="AG232" s="24">
        <v>3.2918996413086998</v>
      </c>
      <c r="AH232" s="24">
        <v>1.6220899820327759</v>
      </c>
      <c r="AI232" s="24">
        <v>28.092072596170894</v>
      </c>
      <c r="AJ232" s="24">
        <v>0.68224398630000638</v>
      </c>
      <c r="AK232" s="24">
        <v>6.4192123413085937</v>
      </c>
      <c r="AL232" s="24">
        <v>7.9933576285839081E-2</v>
      </c>
    </row>
    <row r="233" spans="2:38">
      <c r="C233" s="24">
        <v>2.5</v>
      </c>
      <c r="D233" s="24">
        <v>2.7749361774824193</v>
      </c>
      <c r="E233" s="24">
        <v>0.20772354339824561</v>
      </c>
      <c r="F233" s="24">
        <v>13.032958822038987</v>
      </c>
      <c r="G233" s="24">
        <v>1.61455237865448</v>
      </c>
      <c r="H233" s="24">
        <v>28.057386407021312</v>
      </c>
      <c r="I233" s="24">
        <v>2.7458155415065981</v>
      </c>
      <c r="J233" s="24">
        <v>5.872227668762207</v>
      </c>
      <c r="K233" s="24">
        <v>7.7394820749759674E-2</v>
      </c>
      <c r="L233" s="24">
        <v>2.5</v>
      </c>
      <c r="M233" s="24">
        <v>2.7749353659729246</v>
      </c>
      <c r="N233" s="24">
        <v>4.4849401415530149E-2</v>
      </c>
      <c r="O233" s="24">
        <v>2.8001976981973389</v>
      </c>
      <c r="P233" s="24">
        <v>1.6224727630615234</v>
      </c>
      <c r="Q233" s="24">
        <v>28.093832046254082</v>
      </c>
      <c r="R233" s="24">
        <v>0.58432812036669501</v>
      </c>
      <c r="S233" s="24">
        <v>6.1822795867919922</v>
      </c>
      <c r="T233" s="24">
        <v>8.1546947360038757E-2</v>
      </c>
      <c r="U233" s="24">
        <v>2.5</v>
      </c>
      <c r="V233" s="24">
        <v>2.638998295829639</v>
      </c>
      <c r="W233" s="24">
        <v>0.1231459436626164</v>
      </c>
      <c r="X233" s="24">
        <v>7.7067806795394196</v>
      </c>
      <c r="Y233" s="24">
        <v>1.6186634302139282</v>
      </c>
      <c r="Z233" s="24">
        <v>28.076311969112474</v>
      </c>
      <c r="AA233" s="24">
        <v>1.6457239803527319</v>
      </c>
      <c r="AB233" s="24">
        <v>5.4410982131958008</v>
      </c>
      <c r="AC233" s="24">
        <v>6.8876825273036957E-2</v>
      </c>
      <c r="AD233" s="24">
        <v>2.5</v>
      </c>
      <c r="AE233" s="24">
        <v>2.6389992364090848</v>
      </c>
      <c r="AF233" s="24">
        <v>2.6588328745338063E-2</v>
      </c>
      <c r="AG233" s="24">
        <v>1.6591482948884169</v>
      </c>
      <c r="AH233" s="24">
        <v>1.6233615875244141</v>
      </c>
      <c r="AI233" s="24">
        <v>28.097918247160127</v>
      </c>
      <c r="AJ233" s="24">
        <v>0.35211253222389727</v>
      </c>
      <c r="AK233" s="24">
        <v>5.6282358169555664</v>
      </c>
      <c r="AL233" s="24">
        <v>8.0206938087940216E-2</v>
      </c>
    </row>
    <row r="234" spans="2:38">
      <c r="C234" s="24">
        <v>2.75</v>
      </c>
      <c r="D234" s="24">
        <v>3.0000794091507395</v>
      </c>
      <c r="E234" s="24">
        <v>9.9132468384018305E-2</v>
      </c>
      <c r="F234" s="24">
        <v>6.1994842168147919</v>
      </c>
      <c r="G234" s="24">
        <v>1.6198313236236572</v>
      </c>
      <c r="H234" s="24">
        <v>28.081685360161998</v>
      </c>
      <c r="I234" s="24">
        <v>1.328981805687792</v>
      </c>
      <c r="J234" s="24">
        <v>5.3181924819946289</v>
      </c>
      <c r="K234" s="24">
        <v>7.0872262120246887E-2</v>
      </c>
      <c r="L234" s="24">
        <v>2.75</v>
      </c>
      <c r="M234" s="24">
        <v>2.9591740255668664</v>
      </c>
      <c r="N234" s="24">
        <v>1.8955218711469241E-2</v>
      </c>
      <c r="O234" s="24">
        <v>1.1825610107466122</v>
      </c>
      <c r="P234" s="24">
        <v>1.6237332820892334</v>
      </c>
      <c r="Q234" s="24">
        <v>28.099626275034485</v>
      </c>
      <c r="R234" s="24">
        <v>0.25265454839265983</v>
      </c>
      <c r="S234" s="24">
        <v>5.3942217826843262</v>
      </c>
      <c r="T234" s="24">
        <v>9.2499978840351105E-2</v>
      </c>
      <c r="U234" s="24">
        <v>2.75</v>
      </c>
      <c r="V234" s="24">
        <v>2.8683756586929268</v>
      </c>
      <c r="W234" s="24">
        <v>5.6482939493253358E-2</v>
      </c>
      <c r="X234" s="24">
        <v>3.5277753381897479</v>
      </c>
      <c r="Y234" s="24">
        <v>1.6219065189361572</v>
      </c>
      <c r="Z234" s="24">
        <v>28.091228859974049</v>
      </c>
      <c r="AA234" s="24">
        <v>0.76114207861992067</v>
      </c>
      <c r="AB234" s="24">
        <v>5.0991888046264648</v>
      </c>
      <c r="AC234" s="24">
        <v>8.3972841501235962E-2</v>
      </c>
      <c r="AD234" s="24">
        <v>2.75</v>
      </c>
      <c r="AE234" s="24">
        <v>2.8683741736898529</v>
      </c>
      <c r="AF234" s="24">
        <v>1.219518011786172E-2</v>
      </c>
      <c r="AG234" s="24">
        <v>0.76066765313139806</v>
      </c>
      <c r="AH234" s="24">
        <v>1.6240624189376831</v>
      </c>
      <c r="AI234" s="24">
        <v>28.10113893950524</v>
      </c>
      <c r="AJ234" s="24">
        <v>0.16358200911999746</v>
      </c>
      <c r="AK234" s="24">
        <v>5.1862697601318359</v>
      </c>
      <c r="AL234" s="24">
        <v>8.2440175116062164E-2</v>
      </c>
    </row>
    <row r="235" spans="2:38">
      <c r="C235" s="24">
        <v>3</v>
      </c>
      <c r="D235" s="24">
        <v>3.1997528586780364</v>
      </c>
      <c r="E235" s="24">
        <v>3.8290576390002273E-2</v>
      </c>
      <c r="F235" s="24">
        <v>2.3902234297333607</v>
      </c>
      <c r="G235" s="24">
        <v>1.6227920055389404</v>
      </c>
      <c r="H235" s="24">
        <v>28.095299686038771</v>
      </c>
      <c r="I235" s="24">
        <v>0.66830335152240938</v>
      </c>
      <c r="J235" s="24">
        <v>5.064237117767334</v>
      </c>
      <c r="K235" s="24">
        <v>5.7552989572286606E-2</v>
      </c>
      <c r="L235" s="24">
        <v>3</v>
      </c>
      <c r="M235" s="24">
        <v>3.155208460672005</v>
      </c>
      <c r="N235" s="24">
        <v>6.8786382568509722E-3</v>
      </c>
      <c r="O235" s="24">
        <v>0.42898289720233157</v>
      </c>
      <c r="P235" s="24">
        <v>1.6243213415145874</v>
      </c>
      <c r="Q235" s="24">
        <v>28.102328598982638</v>
      </c>
      <c r="R235" s="24">
        <v>9.2868468446977034E-2</v>
      </c>
      <c r="S235" s="24">
        <v>5.022254467010498</v>
      </c>
      <c r="T235" s="24">
        <v>7.4693091213703156E-2</v>
      </c>
      <c r="U235" s="24">
        <v>3</v>
      </c>
      <c r="V235" s="24">
        <v>3.1017228281882008</v>
      </c>
      <c r="W235" s="24">
        <v>2.3000378384345713E-2</v>
      </c>
      <c r="X235" s="24">
        <v>1.4351008344058414</v>
      </c>
      <c r="Y235" s="24">
        <v>1.6235363483428955</v>
      </c>
      <c r="Z235" s="24">
        <v>28.098721107226496</v>
      </c>
      <c r="AA235" s="24">
        <v>0.31217389148620395</v>
      </c>
      <c r="AB235" s="24">
        <v>4.9272322654724121</v>
      </c>
      <c r="AC235" s="24">
        <v>5.1846873015165329E-2</v>
      </c>
      <c r="AD235" s="24">
        <v>3</v>
      </c>
      <c r="AE235" s="24">
        <v>3.1017102529123464</v>
      </c>
      <c r="AF235" s="24">
        <v>4.9659907875292857E-3</v>
      </c>
      <c r="AG235" s="24">
        <v>0.3096838199682832</v>
      </c>
      <c r="AH235" s="24">
        <v>1.6244144439697266</v>
      </c>
      <c r="AI235" s="24">
        <v>28.102756583798381</v>
      </c>
      <c r="AJ235" s="24">
        <v>6.7331825996930134E-2</v>
      </c>
      <c r="AK235" s="24">
        <v>4.9632554054260254</v>
      </c>
      <c r="AL235" s="24">
        <v>6.7435629665851593E-2</v>
      </c>
    </row>
    <row r="236" spans="2:38">
      <c r="C236" s="24">
        <v>3.25</v>
      </c>
      <c r="D236" s="24">
        <v>3.4294846863401345</v>
      </c>
      <c r="E236" s="24">
        <v>1.3860058549363686E-2</v>
      </c>
      <c r="F236" s="24">
        <v>0.86455668418940335</v>
      </c>
      <c r="G236" s="24">
        <v>1.6239813566207886</v>
      </c>
      <c r="H236" s="24">
        <v>28.100766396890787</v>
      </c>
      <c r="I236" s="24">
        <v>0.66961242640528729</v>
      </c>
      <c r="J236" s="24">
        <v>5.0662484169006348</v>
      </c>
      <c r="K236" s="24">
        <v>2.0714862272143364E-2</v>
      </c>
      <c r="L236" s="24">
        <v>3.25</v>
      </c>
      <c r="M236" s="24">
        <v>3.4294841110199803</v>
      </c>
      <c r="N236" s="24">
        <v>2.9809585384775639E-3</v>
      </c>
      <c r="O236" s="24">
        <v>0.18588429498180489</v>
      </c>
      <c r="P236" s="24">
        <v>1.6245111227035522</v>
      </c>
      <c r="Q236" s="24">
        <v>28.103200765841851</v>
      </c>
      <c r="R236" s="24">
        <v>0.11130638681690669</v>
      </c>
      <c r="S236" s="24">
        <v>5.065253734588623</v>
      </c>
      <c r="T236" s="24">
        <v>2.679828368127346E-2</v>
      </c>
      <c r="U236" s="24">
        <v>3.25</v>
      </c>
      <c r="V236" s="24">
        <v>3.3380789533261486</v>
      </c>
      <c r="W236" s="24">
        <v>8.0918037082997104E-3</v>
      </c>
      <c r="X236" s="24">
        <v>0.50465971871036153</v>
      </c>
      <c r="Y236" s="24">
        <v>1.6242622137069702</v>
      </c>
      <c r="Z236" s="24">
        <v>28.102057134219507</v>
      </c>
      <c r="AA236" s="24">
        <v>0.21924024606303658</v>
      </c>
      <c r="AB236" s="24">
        <v>4.8922557830810547</v>
      </c>
      <c r="AC236" s="24">
        <v>3.695838525891304E-2</v>
      </c>
      <c r="AD236" s="24">
        <v>3.25</v>
      </c>
      <c r="AE236" s="24">
        <v>3.3380778686587211</v>
      </c>
      <c r="AF236" s="24">
        <v>1.7470939824738364E-3</v>
      </c>
      <c r="AG236" s="24">
        <v>0.10893989889979433</v>
      </c>
      <c r="AH236" s="24">
        <v>1.6245712041854858</v>
      </c>
      <c r="AI236" s="24">
        <v>28.103476862353691</v>
      </c>
      <c r="AJ236" s="24">
        <v>3.6510697487615644E-2</v>
      </c>
      <c r="AK236" s="24">
        <v>4.8922653198242187</v>
      </c>
      <c r="AL236" s="24">
        <v>4.7920156270265579E-2</v>
      </c>
    </row>
    <row r="237" spans="2:38">
      <c r="C237" s="24">
        <v>3.5</v>
      </c>
      <c r="D237" s="24">
        <v>3.6150661945548057</v>
      </c>
      <c r="E237" s="24">
        <v>3.3801656302626811E-3</v>
      </c>
      <c r="F237" s="24">
        <v>0.21078026280612008</v>
      </c>
      <c r="G237" s="24">
        <v>1.6244916915893555</v>
      </c>
      <c r="H237" s="24">
        <v>28.103111437005062</v>
      </c>
      <c r="I237" s="24">
        <v>0.53910744929614951</v>
      </c>
      <c r="J237" s="24">
        <v>5.0162568092346191</v>
      </c>
      <c r="K237" s="24">
        <v>6.2635205686092377E-3</v>
      </c>
      <c r="L237" s="24">
        <v>3.5</v>
      </c>
      <c r="M237" s="24">
        <v>3.6150658456662939</v>
      </c>
      <c r="N237" s="24">
        <v>7.2631658170933236E-4</v>
      </c>
      <c r="O237" s="24">
        <v>4.5288023842733893E-2</v>
      </c>
      <c r="P237" s="24">
        <v>1.6246209144592285</v>
      </c>
      <c r="Q237" s="24">
        <v>28.103705277278443</v>
      </c>
      <c r="R237" s="24">
        <v>8.9686258288145679E-2</v>
      </c>
      <c r="S237" s="24">
        <v>5.0152583122253418</v>
      </c>
      <c r="T237" s="24">
        <v>8.0888047814369202E-3</v>
      </c>
      <c r="U237" s="24">
        <v>3.5</v>
      </c>
      <c r="V237" s="24">
        <v>3.5773457103193667</v>
      </c>
      <c r="W237" s="24">
        <v>2.4564404114481202E-3</v>
      </c>
      <c r="X237" s="24">
        <v>0.15317439300969585</v>
      </c>
      <c r="Y237" s="24">
        <v>1.6245366334915161</v>
      </c>
      <c r="Z237" s="24">
        <v>28.103318134984651</v>
      </c>
      <c r="AA237" s="24">
        <v>0.21837300762263451</v>
      </c>
      <c r="AB237" s="24">
        <v>4.8922638893127441</v>
      </c>
      <c r="AC237" s="24">
        <v>1.1133031919598579E-2</v>
      </c>
      <c r="AD237" s="24">
        <v>3.5</v>
      </c>
      <c r="AE237" s="24">
        <v>3.5773482461073582</v>
      </c>
      <c r="AF237" s="24">
        <v>5.3660743747410732E-4</v>
      </c>
      <c r="AG237" s="24">
        <v>3.3458897732547829E-2</v>
      </c>
      <c r="AH237" s="24">
        <v>1.6246300935745239</v>
      </c>
      <c r="AI237" s="24">
        <v>28.10374772766956</v>
      </c>
      <c r="AJ237" s="24">
        <v>3.6912867005741451E-2</v>
      </c>
      <c r="AK237" s="24">
        <v>4.8932666778564453</v>
      </c>
      <c r="AL237" s="24">
        <v>1.4389311894774437E-2</v>
      </c>
    </row>
    <row r="238" spans="2:38">
      <c r="B238" s="20"/>
      <c r="C238" s="24">
        <v>3.75</v>
      </c>
      <c r="D238" s="24">
        <v>3.8547327199840771</v>
      </c>
      <c r="E238" s="24">
        <v>8.934706812156343E-4</v>
      </c>
      <c r="F238" s="24">
        <v>5.5710863933031075E-2</v>
      </c>
      <c r="G238" s="24">
        <v>1.6246128082275391</v>
      </c>
      <c r="H238" s="24">
        <v>28.103667873931709</v>
      </c>
      <c r="I238" s="24">
        <v>0.58255524953132853</v>
      </c>
      <c r="J238" s="24">
        <v>5.033257007598877</v>
      </c>
      <c r="K238" s="24">
        <v>1.5331908361986279E-3</v>
      </c>
      <c r="L238" s="24">
        <v>3.75</v>
      </c>
      <c r="M238" s="24">
        <v>3.8547323777792291</v>
      </c>
      <c r="N238" s="24">
        <v>1.9290844253519338E-4</v>
      </c>
      <c r="O238" s="24">
        <v>1.202822939721558E-2</v>
      </c>
      <c r="P238" s="24">
        <v>1.6246469020843506</v>
      </c>
      <c r="Q238" s="24">
        <v>28.103824635700644</v>
      </c>
      <c r="R238" s="24">
        <v>9.7438399262661846E-2</v>
      </c>
      <c r="S238" s="24">
        <v>5.033257007598877</v>
      </c>
      <c r="T238" s="24">
        <v>1.9788416102528572E-3</v>
      </c>
      <c r="U238" s="24">
        <v>3.75</v>
      </c>
      <c r="V238" s="24">
        <v>3.8180932470768143</v>
      </c>
      <c r="W238" s="24">
        <v>6.3462860512236328E-4</v>
      </c>
      <c r="X238" s="24">
        <v>3.9570893922977649E-2</v>
      </c>
      <c r="Y238" s="24">
        <v>1.6246253252029419</v>
      </c>
      <c r="Z238" s="24">
        <v>28.103725793898676</v>
      </c>
      <c r="AA238" s="24">
        <v>0.23104809755544817</v>
      </c>
      <c r="AB238" s="24">
        <v>4.8972663879394531</v>
      </c>
      <c r="AC238" s="24">
        <v>2.7205743826925755E-3</v>
      </c>
      <c r="AD238" s="24">
        <v>3.75</v>
      </c>
      <c r="AE238" s="24">
        <v>3.8180928278993442</v>
      </c>
      <c r="AF238" s="24">
        <v>1.3702208519687653E-4</v>
      </c>
      <c r="AG238" s="24">
        <v>8.5435882983969005E-3</v>
      </c>
      <c r="AH238" s="24">
        <v>1.6246496438980103</v>
      </c>
      <c r="AI238" s="24">
        <v>28.103837141148059</v>
      </c>
      <c r="AJ238" s="24">
        <v>3.8636241516325748E-2</v>
      </c>
      <c r="AK238" s="24">
        <v>4.8972668647766113</v>
      </c>
      <c r="AL238" s="24">
        <v>3.5124970600008965E-3</v>
      </c>
    </row>
    <row r="239" spans="2:38">
      <c r="B239" s="20"/>
      <c r="C239" s="24">
        <v>4</v>
      </c>
      <c r="D239" s="24">
        <v>4.0099747728312822</v>
      </c>
      <c r="E239" s="24">
        <v>2.6883188638346405E-5</v>
      </c>
      <c r="F239" s="24">
        <v>1.6762125411024092E-3</v>
      </c>
      <c r="G239" s="24">
        <v>1.62465500831604</v>
      </c>
      <c r="H239" s="24">
        <v>28.103861786450501</v>
      </c>
      <c r="I239" s="24">
        <v>0.1298443919403702</v>
      </c>
      <c r="J239" s="24">
        <v>4.8582701683044434</v>
      </c>
      <c r="K239" s="24">
        <v>2.0316484733484685E-4</v>
      </c>
      <c r="L239" s="24">
        <v>4</v>
      </c>
      <c r="M239" s="24">
        <v>4.0548281527663903</v>
      </c>
      <c r="N239" s="24">
        <v>2.7655900611239934E-5</v>
      </c>
      <c r="O239" s="24">
        <v>1.724392486969978E-3</v>
      </c>
      <c r="P239" s="24">
        <v>1.6246548891067505</v>
      </c>
      <c r="Q239" s="24">
        <v>28.103861613544101</v>
      </c>
      <c r="R239" s="24">
        <v>0.10476449709200247</v>
      </c>
      <c r="S239" s="24">
        <v>5.0502562522888184</v>
      </c>
      <c r="T239" s="24">
        <v>2.6401598006486893E-4</v>
      </c>
      <c r="U239" s="24">
        <v>4</v>
      </c>
      <c r="V239" s="24">
        <v>4.0583201975994676</v>
      </c>
      <c r="W239" s="24">
        <v>1.352182014647383E-4</v>
      </c>
      <c r="X239" s="24">
        <v>8.4311122520060316E-3</v>
      </c>
      <c r="Y239" s="24">
        <v>1.6246496438980103</v>
      </c>
      <c r="Z239" s="24">
        <v>28.103837544795283</v>
      </c>
      <c r="AA239" s="24">
        <v>0.36297471800519565</v>
      </c>
      <c r="AB239" s="24">
        <v>4.9482631683349609</v>
      </c>
      <c r="AC239" s="24">
        <v>3.7082601920701563E-4</v>
      </c>
      <c r="AD239" s="24">
        <v>4</v>
      </c>
      <c r="AE239" s="24">
        <v>4.0583139507756973</v>
      </c>
      <c r="AF239" s="24">
        <v>2.9194838952614477E-5</v>
      </c>
      <c r="AG239" s="24">
        <v>1.8203479965513394E-3</v>
      </c>
      <c r="AH239" s="24">
        <v>1.6246548891067505</v>
      </c>
      <c r="AI239" s="24">
        <v>28.103861269182552</v>
      </c>
      <c r="AJ239" s="24">
        <v>6.0716907061547976E-2</v>
      </c>
      <c r="AK239" s="24">
        <v>4.9482636451721191</v>
      </c>
      <c r="AL239" s="24">
        <v>4.7859753249213099E-4</v>
      </c>
    </row>
    <row r="240" spans="2:38">
      <c r="B240" s="21"/>
      <c r="C240" s="24"/>
      <c r="D240" s="24"/>
      <c r="E240" s="24"/>
      <c r="F240" s="24"/>
      <c r="G240" s="24"/>
      <c r="H240" s="24"/>
      <c r="I240" s="24"/>
      <c r="J240" s="24"/>
      <c r="L240" s="24"/>
      <c r="M240" s="24"/>
      <c r="N240" s="24"/>
      <c r="O240" s="24"/>
      <c r="P240" s="24"/>
      <c r="Q240" s="24"/>
      <c r="R240" s="24"/>
      <c r="S240" s="24"/>
      <c r="AB240" s="23"/>
      <c r="AC240" s="23"/>
      <c r="AD240" s="23"/>
      <c r="AE240" s="23"/>
    </row>
    <row r="241" spans="2:60">
      <c r="B241" s="20"/>
      <c r="C241" s="20"/>
      <c r="D241" s="20"/>
      <c r="E241" s="20"/>
      <c r="F241" s="20"/>
      <c r="G241" s="20"/>
      <c r="H241" s="20"/>
      <c r="I241" s="20"/>
      <c r="K241" s="20"/>
      <c r="L241" s="20"/>
      <c r="M241" s="20"/>
      <c r="N241" s="20"/>
      <c r="O241" s="20"/>
      <c r="P241" s="20"/>
      <c r="Q241" s="20"/>
      <c r="R241" s="20"/>
      <c r="U241" s="22"/>
      <c r="V241" s="22"/>
      <c r="W241" s="22"/>
      <c r="X241" s="22"/>
      <c r="Y241" s="22"/>
      <c r="AA241" s="23"/>
      <c r="AB241" s="23"/>
      <c r="AC241" s="23"/>
      <c r="AD241" s="23"/>
      <c r="AE241" s="23"/>
    </row>
    <row r="242" spans="2:60">
      <c r="B242" s="20"/>
      <c r="C242" s="20"/>
      <c r="D242" s="20"/>
      <c r="E242" s="20"/>
      <c r="F242" s="20"/>
      <c r="G242" s="20"/>
      <c r="H242" s="20"/>
      <c r="I242" s="20"/>
      <c r="J242" s="20"/>
      <c r="K242" s="20"/>
      <c r="L242" s="20"/>
      <c r="M242" s="20"/>
      <c r="N242" s="20"/>
      <c r="O242" s="20"/>
      <c r="P242" s="20"/>
      <c r="Q242" s="20"/>
      <c r="R242" s="20"/>
      <c r="U242" s="22"/>
      <c r="V242" s="22"/>
      <c r="W242" s="22"/>
      <c r="X242" s="22"/>
      <c r="Y242" s="22"/>
      <c r="AA242" s="23"/>
      <c r="AB242" s="23"/>
      <c r="AC242" s="23"/>
      <c r="AD242" s="23"/>
      <c r="AE242" s="23"/>
    </row>
    <row r="243" spans="2:60">
      <c r="B243" s="20"/>
      <c r="C243" s="24" t="s">
        <v>268</v>
      </c>
      <c r="D243" s="20"/>
      <c r="E243" s="20"/>
      <c r="F243" s="20"/>
      <c r="G243" s="20"/>
      <c r="H243" s="20"/>
      <c r="I243" s="20"/>
      <c r="J243" s="20"/>
      <c r="K243" s="20"/>
      <c r="L243" s="24" t="s">
        <v>253</v>
      </c>
      <c r="M243" s="20"/>
      <c r="N243" s="20"/>
      <c r="O243" s="20"/>
      <c r="P243" s="20"/>
      <c r="Q243" s="20"/>
      <c r="R243" s="20"/>
      <c r="U243" s="24" t="s">
        <v>271</v>
      </c>
      <c r="V243" s="22"/>
      <c r="W243" s="22"/>
      <c r="X243" s="22"/>
      <c r="Y243" s="22"/>
      <c r="AA243" s="23"/>
      <c r="AB243" s="23"/>
      <c r="AC243" s="23"/>
      <c r="AD243" s="24" t="s">
        <v>272</v>
      </c>
      <c r="AM243" s="24" t="s">
        <v>273</v>
      </c>
      <c r="AV243" s="24" t="s">
        <v>274</v>
      </c>
    </row>
    <row r="244" spans="2:60">
      <c r="B244" s="20"/>
      <c r="C244" s="25" t="s">
        <v>237</v>
      </c>
      <c r="D244" s="24" t="s">
        <v>154</v>
      </c>
      <c r="E244" s="24" t="s">
        <v>155</v>
      </c>
      <c r="F244" s="24" t="s">
        <v>156</v>
      </c>
      <c r="G244" s="24" t="s">
        <v>159</v>
      </c>
      <c r="H244" s="24" t="s">
        <v>238</v>
      </c>
      <c r="I244" s="24" t="s">
        <v>157</v>
      </c>
      <c r="J244" s="24" t="s">
        <v>160</v>
      </c>
      <c r="K244" s="24" t="s">
        <v>265</v>
      </c>
      <c r="L244" s="25" t="s">
        <v>237</v>
      </c>
      <c r="M244" s="24" t="s">
        <v>154</v>
      </c>
      <c r="N244" s="24" t="s">
        <v>155</v>
      </c>
      <c r="O244" s="24" t="s">
        <v>156</v>
      </c>
      <c r="P244" s="24" t="s">
        <v>159</v>
      </c>
      <c r="Q244" s="24" t="s">
        <v>238</v>
      </c>
      <c r="R244" s="24" t="s">
        <v>157</v>
      </c>
      <c r="S244" s="24" t="s">
        <v>160</v>
      </c>
      <c r="T244" s="25" t="s">
        <v>265</v>
      </c>
      <c r="U244" s="25" t="s">
        <v>237</v>
      </c>
      <c r="V244" s="24" t="s">
        <v>154</v>
      </c>
      <c r="W244" s="24" t="s">
        <v>155</v>
      </c>
      <c r="X244" s="24" t="s">
        <v>156</v>
      </c>
      <c r="Y244" s="24" t="s">
        <v>159</v>
      </c>
      <c r="Z244" s="24" t="s">
        <v>238</v>
      </c>
      <c r="AA244" s="24" t="s">
        <v>157</v>
      </c>
      <c r="AB244" s="24" t="s">
        <v>160</v>
      </c>
      <c r="AC244" s="24" t="s">
        <v>265</v>
      </c>
      <c r="AD244" s="25" t="s">
        <v>237</v>
      </c>
      <c r="AE244" s="24" t="s">
        <v>154</v>
      </c>
      <c r="AF244" s="24" t="s">
        <v>155</v>
      </c>
      <c r="AG244" s="24" t="s">
        <v>156</v>
      </c>
      <c r="AH244" s="24" t="s">
        <v>159</v>
      </c>
      <c r="AI244" s="24" t="s">
        <v>238</v>
      </c>
      <c r="AJ244" s="24" t="s">
        <v>157</v>
      </c>
      <c r="AK244" s="24" t="s">
        <v>160</v>
      </c>
      <c r="AL244" s="25" t="s">
        <v>265</v>
      </c>
      <c r="AM244" s="25" t="s">
        <v>237</v>
      </c>
      <c r="AN244" s="24" t="s">
        <v>154</v>
      </c>
      <c r="AO244" s="24" t="s">
        <v>155</v>
      </c>
      <c r="AP244" s="24" t="s">
        <v>156</v>
      </c>
      <c r="AQ244" s="24" t="s">
        <v>159</v>
      </c>
      <c r="AR244" s="24" t="s">
        <v>238</v>
      </c>
      <c r="AS244" s="24" t="s">
        <v>157</v>
      </c>
      <c r="AT244" s="24" t="s">
        <v>160</v>
      </c>
      <c r="AU244" s="24" t="s">
        <v>265</v>
      </c>
      <c r="AV244" s="25" t="s">
        <v>237</v>
      </c>
      <c r="AW244" s="24" t="s">
        <v>154</v>
      </c>
      <c r="AX244" s="24" t="s">
        <v>155</v>
      </c>
      <c r="AY244" s="24" t="s">
        <v>156</v>
      </c>
      <c r="AZ244" s="24" t="s">
        <v>159</v>
      </c>
      <c r="BA244" s="24" t="s">
        <v>238</v>
      </c>
      <c r="BB244" s="24" t="s">
        <v>157</v>
      </c>
      <c r="BC244" s="24" t="s">
        <v>160</v>
      </c>
      <c r="BD244" s="25" t="s">
        <v>265</v>
      </c>
      <c r="BF244" s="24" t="s">
        <v>154</v>
      </c>
    </row>
    <row r="245" spans="2:60">
      <c r="B245" s="20"/>
      <c r="C245" s="24">
        <v>0</v>
      </c>
      <c r="D245" s="24">
        <v>0.81005618166182969</v>
      </c>
      <c r="E245" s="24">
        <v>4.7170470893826888</v>
      </c>
      <c r="F245" s="24">
        <v>341.06178321249217</v>
      </c>
      <c r="G245" s="24">
        <v>1.4010273218154907</v>
      </c>
      <c r="H245" s="24">
        <v>27.048354665456003</v>
      </c>
      <c r="I245" s="24">
        <v>25.076047552825209</v>
      </c>
      <c r="J245" s="24">
        <v>28.083429336547852</v>
      </c>
      <c r="K245" s="24">
        <v>0.85002291202545166</v>
      </c>
      <c r="L245" s="24">
        <v>0</v>
      </c>
      <c r="M245" s="24">
        <v>0.9885743712591798</v>
      </c>
      <c r="N245" s="24">
        <v>5.7026987199999732</v>
      </c>
      <c r="O245" s="24">
        <v>426.08207755235753</v>
      </c>
      <c r="P245" s="24">
        <v>1.3558030128479004</v>
      </c>
      <c r="Q245" s="24">
        <v>26.827799681703706</v>
      </c>
      <c r="R245" s="24">
        <v>26.017376299933012</v>
      </c>
      <c r="S245" s="24">
        <v>30.104162216186523</v>
      </c>
      <c r="T245" s="19">
        <v>1.2861322164535522</v>
      </c>
      <c r="U245" s="24">
        <v>0</v>
      </c>
      <c r="V245" s="24">
        <v>0.63499972683057393</v>
      </c>
      <c r="W245" s="24">
        <v>4.6699261748147824</v>
      </c>
      <c r="X245" s="24">
        <v>337.13141766948894</v>
      </c>
      <c r="Y245" s="24">
        <v>1.4032021760940552</v>
      </c>
      <c r="Z245" s="24">
        <v>27.058898707817512</v>
      </c>
      <c r="AA245" s="24">
        <v>25.01982396459362</v>
      </c>
      <c r="AB245" s="24">
        <v>27.971649169921875</v>
      </c>
      <c r="AC245" s="24">
        <v>0.82130038738250732</v>
      </c>
      <c r="AD245" s="24">
        <v>0</v>
      </c>
      <c r="AE245" s="24">
        <v>0.77276880611867038</v>
      </c>
      <c r="AF245" s="24">
        <v>5.6039114097777274</v>
      </c>
      <c r="AG245" s="24">
        <v>417.31303198754046</v>
      </c>
      <c r="AH245" s="24">
        <v>1.3603127002716064</v>
      </c>
      <c r="AI245" s="24">
        <v>26.849904888984046</v>
      </c>
      <c r="AJ245" s="24">
        <v>25.939969997283789</v>
      </c>
      <c r="AK245" s="24">
        <v>29.925765991210938</v>
      </c>
      <c r="AL245" s="19">
        <v>1.2407031059265137</v>
      </c>
      <c r="AM245" s="24">
        <v>0</v>
      </c>
      <c r="AN245" s="24">
        <v>0.61958253898868976</v>
      </c>
      <c r="AO245" s="24">
        <v>3.4545962666666283</v>
      </c>
      <c r="AP245" s="24">
        <v>239.74123808296264</v>
      </c>
      <c r="AQ245" s="24">
        <v>1.4597012996673584</v>
      </c>
      <c r="AR245" s="24">
        <v>27.330847802019715</v>
      </c>
      <c r="AS245" s="24">
        <v>23.008420851231232</v>
      </c>
      <c r="AT245" s="24">
        <v>24.445795059204102</v>
      </c>
      <c r="AU245" s="24">
        <v>0.44388982653617859</v>
      </c>
      <c r="AV245" s="24">
        <v>0</v>
      </c>
      <c r="AW245" s="24">
        <v>0.45861458330960969</v>
      </c>
      <c r="AX245" s="24">
        <v>2.6945850879999749</v>
      </c>
      <c r="AY245" s="24">
        <v>182.52988353216429</v>
      </c>
      <c r="AZ245" s="24">
        <v>1.4954344034194946</v>
      </c>
      <c r="BA245" s="24">
        <v>27.500912202012042</v>
      </c>
      <c r="BB245" s="24">
        <v>20.890541026367547</v>
      </c>
      <c r="BC245" s="24">
        <v>21.450014114379883</v>
      </c>
      <c r="BD245" s="19">
        <v>0.28747406601905823</v>
      </c>
      <c r="BE245" s="24">
        <v>0</v>
      </c>
      <c r="BF245" s="24">
        <v>0.61958253898868976</v>
      </c>
      <c r="BH245" s="24">
        <f t="shared" ref="BH245:BH276" si="50">AVERAGE(BF242:BF245)</f>
        <v>0.61958253898868976</v>
      </c>
    </row>
    <row r="246" spans="2:60">
      <c r="B246" s="20"/>
      <c r="C246" s="24">
        <v>0.25</v>
      </c>
      <c r="D246" s="24">
        <v>0.96519084953355672</v>
      </c>
      <c r="E246" s="24">
        <v>4.097025277932496</v>
      </c>
      <c r="F246" s="24">
        <v>290.28306294986243</v>
      </c>
      <c r="G246" s="24">
        <v>1.4297378063201904</v>
      </c>
      <c r="H246" s="24">
        <v>27.187094252854468</v>
      </c>
      <c r="I246" s="24">
        <v>24.223674386387227</v>
      </c>
      <c r="J246" s="24">
        <v>26.474822998046875</v>
      </c>
      <c r="K246" s="24">
        <v>0.6316906213760376</v>
      </c>
      <c r="L246" s="24">
        <v>0.25</v>
      </c>
      <c r="M246" s="24">
        <v>1.0755087402432588</v>
      </c>
      <c r="N246" s="24">
        <v>4.6888856142221984</v>
      </c>
      <c r="O246" s="24">
        <v>338.71139683483125</v>
      </c>
      <c r="P246" s="24">
        <v>1.4023269414901733</v>
      </c>
      <c r="Q246" s="24">
        <v>27.054656236420353</v>
      </c>
      <c r="R246" s="24">
        <v>25.042771003799473</v>
      </c>
      <c r="S246" s="24">
        <v>28.01716423034668</v>
      </c>
      <c r="T246" s="24">
        <v>0.82798326015472412</v>
      </c>
      <c r="U246" s="24">
        <v>0.25</v>
      </c>
      <c r="V246" s="24">
        <v>0.83551025281027225</v>
      </c>
      <c r="W246" s="24">
        <v>4.1341486048438183</v>
      </c>
      <c r="X246" s="24">
        <v>293.26711089260669</v>
      </c>
      <c r="Y246" s="24">
        <v>1.4280129671096802</v>
      </c>
      <c r="Z246" s="24">
        <v>27.178787327253758</v>
      </c>
      <c r="AA246" s="24">
        <v>24.282395784412994</v>
      </c>
      <c r="AB246" s="24">
        <v>26.580171585083008</v>
      </c>
      <c r="AC246" s="24">
        <v>0.64048910140991211</v>
      </c>
      <c r="AD246" s="24">
        <v>0.25</v>
      </c>
      <c r="AE246" s="24">
        <v>0.95756009593830893</v>
      </c>
      <c r="AF246" s="24">
        <v>4.9034224835555094</v>
      </c>
      <c r="AG246" s="24">
        <v>356.72477180018757</v>
      </c>
      <c r="AH246" s="24">
        <v>1.3924367427825928</v>
      </c>
      <c r="AI246" s="24">
        <v>27.006650253109147</v>
      </c>
      <c r="AJ246" s="24">
        <v>25.286943093446251</v>
      </c>
      <c r="AK246" s="24">
        <v>28.510765075683594</v>
      </c>
      <c r="AL246" s="24">
        <v>0.91227126121520996</v>
      </c>
      <c r="AM246" s="24">
        <v>0.25</v>
      </c>
      <c r="AN246" s="24">
        <v>0.92461195825114362</v>
      </c>
      <c r="AO246" s="24">
        <v>3.3016983948641623</v>
      </c>
      <c r="AP246" s="24">
        <v>228.01145325623148</v>
      </c>
      <c r="AQ246" s="24">
        <v>1.466865062713623</v>
      </c>
      <c r="AR246" s="24">
        <v>27.365061094610763</v>
      </c>
      <c r="AS246" s="24">
        <v>22.652243388161754</v>
      </c>
      <c r="AT246" s="24">
        <v>23.899206161499023</v>
      </c>
      <c r="AU246" s="24">
        <v>0.40606647729873657</v>
      </c>
      <c r="AV246" s="24">
        <v>0.25</v>
      </c>
      <c r="AW246" s="24">
        <v>0.75648764340153085</v>
      </c>
      <c r="AX246" s="24">
        <v>2.590947199999976</v>
      </c>
      <c r="AY246" s="24">
        <v>174.93667341317158</v>
      </c>
      <c r="AZ246" s="24">
        <v>1.5003311634063721</v>
      </c>
      <c r="BA246" s="24">
        <v>27.524102802010997</v>
      </c>
      <c r="BB246" s="24">
        <v>20.523361336669947</v>
      </c>
      <c r="BC246" s="24">
        <v>20.985013961791992</v>
      </c>
      <c r="BD246" s="24">
        <v>0.27073490619659424</v>
      </c>
      <c r="BE246" s="24">
        <v>0.25</v>
      </c>
      <c r="BF246" s="24">
        <v>0.92461195825114362</v>
      </c>
      <c r="BH246" s="24">
        <f t="shared" si="50"/>
        <v>0.77209724861991669</v>
      </c>
    </row>
    <row r="247" spans="2:60">
      <c r="B247" s="20"/>
      <c r="C247" s="24">
        <v>0.5</v>
      </c>
      <c r="D247" s="24">
        <v>1.1302179491881466</v>
      </c>
      <c r="E247" s="24">
        <v>3.4570192492943459</v>
      </c>
      <c r="F247" s="24">
        <v>239.92803097589893</v>
      </c>
      <c r="G247" s="24">
        <v>1.4595879316329956</v>
      </c>
      <c r="H247" s="24">
        <v>27.330305621722449</v>
      </c>
      <c r="I247" s="24">
        <v>23.013816184231139</v>
      </c>
      <c r="J247" s="24">
        <v>24.454227447509766</v>
      </c>
      <c r="K247" s="24">
        <v>0.44597813487052917</v>
      </c>
      <c r="L247" s="24">
        <v>0.5</v>
      </c>
      <c r="M247" s="24">
        <v>1.1728547924983745</v>
      </c>
      <c r="N247" s="24">
        <v>3.6899417673291683</v>
      </c>
      <c r="O247" s="24">
        <v>258.01846919057317</v>
      </c>
      <c r="P247" s="24">
        <v>1.4486989974975586</v>
      </c>
      <c r="Q247" s="24">
        <v>27.278185561667822</v>
      </c>
      <c r="R247" s="24">
        <v>23.502197918206093</v>
      </c>
      <c r="S247" s="24">
        <v>25.237619400024414</v>
      </c>
      <c r="T247" s="24">
        <v>0.50132691860198975</v>
      </c>
      <c r="U247" s="24">
        <v>0.5</v>
      </c>
      <c r="V247" s="24">
        <v>1.0554831399868794</v>
      </c>
      <c r="W247" s="24">
        <v>3.6236711249413527</v>
      </c>
      <c r="X247" s="24">
        <v>252.84430766746718</v>
      </c>
      <c r="Y247" s="24">
        <v>1.4517941474914551</v>
      </c>
      <c r="Z247" s="24">
        <v>27.293014655437947</v>
      </c>
      <c r="AA247" s="24">
        <v>23.369463032462427</v>
      </c>
      <c r="AB247" s="24">
        <v>25.020668029785156</v>
      </c>
      <c r="AC247" s="24">
        <v>0.48502969741821289</v>
      </c>
      <c r="AD247" s="24">
        <v>0.5</v>
      </c>
      <c r="AE247" s="24">
        <v>1.1234820179565626</v>
      </c>
      <c r="AF247" s="24">
        <v>4.0348162150399736</v>
      </c>
      <c r="AG247" s="24">
        <v>285.29835425151629</v>
      </c>
      <c r="AH247" s="24">
        <v>1.4326297044754028</v>
      </c>
      <c r="AI247" s="24">
        <v>27.201014504624268</v>
      </c>
      <c r="AJ247" s="24">
        <v>24.123365579182028</v>
      </c>
      <c r="AK247" s="24">
        <v>26.29658317565918</v>
      </c>
      <c r="AL247" s="24">
        <v>0.5988771915435791</v>
      </c>
      <c r="AM247" s="24">
        <v>0.5</v>
      </c>
      <c r="AN247" s="24">
        <v>1.2401762880425469</v>
      </c>
      <c r="AO247" s="24">
        <v>3.1672600089399525</v>
      </c>
      <c r="AP247" s="24">
        <v>217.79053654783283</v>
      </c>
      <c r="AQ247" s="24">
        <v>1.4731743335723877</v>
      </c>
      <c r="AR247" s="24">
        <v>27.395143788234098</v>
      </c>
      <c r="AS247" s="24">
        <v>22.312564617834866</v>
      </c>
      <c r="AT247" s="24">
        <v>23.395561218261719</v>
      </c>
      <c r="AU247" s="24">
        <v>0.37988248467445374</v>
      </c>
      <c r="AV247" s="24">
        <v>0.5</v>
      </c>
      <c r="AW247" s="24">
        <v>1.0544060764297214</v>
      </c>
      <c r="AX247" s="24">
        <v>2.4529015331839772</v>
      </c>
      <c r="AY247" s="24">
        <v>164.89817829436322</v>
      </c>
      <c r="AZ247" s="24">
        <v>1.5068627595901489</v>
      </c>
      <c r="BA247" s="24">
        <v>27.554992681209605</v>
      </c>
      <c r="BB247" s="24">
        <v>19.998484081352238</v>
      </c>
      <c r="BC247" s="24">
        <v>20.343410491943359</v>
      </c>
      <c r="BD247" s="24">
        <v>0.25064301490783691</v>
      </c>
      <c r="BE247" s="24">
        <v>0.5</v>
      </c>
      <c r="BF247" s="24">
        <v>1.2401762880425469</v>
      </c>
      <c r="BH247" s="24">
        <f t="shared" si="50"/>
        <v>0.92812359509412679</v>
      </c>
    </row>
    <row r="248" spans="2:60">
      <c r="B248" s="20"/>
      <c r="C248" s="24">
        <v>0.75</v>
      </c>
      <c r="D248" s="24">
        <v>1.3197698336858856</v>
      </c>
      <c r="E248" s="24">
        <v>2.8815239147532781</v>
      </c>
      <c r="F248" s="24">
        <v>196.3508384024926</v>
      </c>
      <c r="G248" s="24">
        <v>1.4866163730621338</v>
      </c>
      <c r="H248" s="24">
        <v>27.459081712804181</v>
      </c>
      <c r="I248" s="24">
        <v>21.499748354022394</v>
      </c>
      <c r="J248" s="24">
        <v>22.253635406494141</v>
      </c>
      <c r="K248" s="24">
        <v>0.32079759240150452</v>
      </c>
      <c r="L248" s="24">
        <v>0.75</v>
      </c>
      <c r="M248" s="24">
        <v>1.2947449638359445</v>
      </c>
      <c r="N248" s="24">
        <v>2.7825790376580626</v>
      </c>
      <c r="O248" s="24">
        <v>189.01548004063733</v>
      </c>
      <c r="P248" s="24">
        <v>1.491281270980835</v>
      </c>
      <c r="Q248" s="24">
        <v>27.48122217813922</v>
      </c>
      <c r="R248" s="24">
        <v>21.186039003546167</v>
      </c>
      <c r="S248" s="24">
        <v>21.834617614746094</v>
      </c>
      <c r="T248" s="24">
        <v>0.30297309160232544</v>
      </c>
      <c r="U248" s="24">
        <v>0.75</v>
      </c>
      <c r="V248" s="24">
        <v>1.290212674920231</v>
      </c>
      <c r="W248" s="24">
        <v>3.1397480604253745</v>
      </c>
      <c r="X248" s="24">
        <v>215.70949869270697</v>
      </c>
      <c r="Y248" s="24">
        <v>1.4744666814804077</v>
      </c>
      <c r="Z248" s="24">
        <v>27.401300017442409</v>
      </c>
      <c r="AA248" s="24">
        <v>22.240036543717391</v>
      </c>
      <c r="AB248" s="24">
        <v>23.290143966674805</v>
      </c>
      <c r="AC248" s="24">
        <v>0.37489145994186401</v>
      </c>
      <c r="AD248" s="24">
        <v>0.75</v>
      </c>
      <c r="AE248" s="24">
        <v>1.2916798827867468</v>
      </c>
      <c r="AF248" s="24">
        <v>3.1812974003199797</v>
      </c>
      <c r="AG248" s="24">
        <v>218.85372630262509</v>
      </c>
      <c r="AH248" s="24">
        <v>1.4725151062011719</v>
      </c>
      <c r="AI248" s="24">
        <v>27.39200270214285</v>
      </c>
      <c r="AJ248" s="24">
        <v>22.349533341719169</v>
      </c>
      <c r="AK248" s="24">
        <v>23.449583053588867</v>
      </c>
      <c r="AL248" s="24">
        <v>0.37927708029747009</v>
      </c>
      <c r="AM248" s="24">
        <v>0.75</v>
      </c>
      <c r="AN248" s="24">
        <v>1.5300268054193755</v>
      </c>
      <c r="AO248" s="24">
        <v>2.9131304469933443</v>
      </c>
      <c r="AP248" s="24">
        <v>198.70357671316594</v>
      </c>
      <c r="AQ248" s="24">
        <v>1.485127329826355</v>
      </c>
      <c r="AR248" s="24">
        <v>27.452009256382322</v>
      </c>
      <c r="AS248" s="24">
        <v>21.596260865370517</v>
      </c>
      <c r="AT248" s="24">
        <v>22.384870529174805</v>
      </c>
      <c r="AU248" s="24">
        <v>0.32913419604301453</v>
      </c>
      <c r="AV248" s="24">
        <v>0.75</v>
      </c>
      <c r="AW248" s="24">
        <v>1.3553332950287864</v>
      </c>
      <c r="AX248" s="24">
        <v>2.3322670315519782</v>
      </c>
      <c r="AY248" s="24">
        <v>156.19591105365856</v>
      </c>
      <c r="AZ248" s="24">
        <v>1.5125789642333984</v>
      </c>
      <c r="BA248" s="24">
        <v>27.581986539608383</v>
      </c>
      <c r="BB248" s="24">
        <v>19.504428472767348</v>
      </c>
      <c r="BC248" s="24">
        <v>19.762411117553711</v>
      </c>
      <c r="BD248" s="24">
        <v>0.2319103330373764</v>
      </c>
      <c r="BE248" s="24">
        <v>0.75</v>
      </c>
      <c r="BF248" s="24">
        <v>1.5300268054193755</v>
      </c>
      <c r="BH248" s="24">
        <f t="shared" si="50"/>
        <v>1.0785993976754389</v>
      </c>
    </row>
    <row r="249" spans="2:60">
      <c r="B249" s="20"/>
      <c r="C249" s="24">
        <v>1</v>
      </c>
      <c r="D249" s="24">
        <v>1.5250572820919464</v>
      </c>
      <c r="E249" s="24">
        <v>2.32686438186649</v>
      </c>
      <c r="F249" s="24">
        <v>155.80769714019755</v>
      </c>
      <c r="G249" s="24">
        <v>1.5128351449966431</v>
      </c>
      <c r="H249" s="24">
        <v>27.583195467059614</v>
      </c>
      <c r="I249" s="24">
        <v>19.481554339335535</v>
      </c>
      <c r="J249" s="24">
        <v>19.736021041870117</v>
      </c>
      <c r="K249" s="24">
        <v>0.23341335356235504</v>
      </c>
      <c r="L249" s="24">
        <v>1</v>
      </c>
      <c r="M249" s="24">
        <v>1.4389511480374035</v>
      </c>
      <c r="N249" s="24">
        <v>1.9991015660113789</v>
      </c>
      <c r="O249" s="24">
        <v>132.49678063898091</v>
      </c>
      <c r="P249" s="24">
        <v>1.5284068584442139</v>
      </c>
      <c r="Q249" s="24">
        <v>27.656537528575058</v>
      </c>
      <c r="R249" s="24">
        <v>17.942336549427775</v>
      </c>
      <c r="S249" s="24">
        <v>18.052040100097656</v>
      </c>
      <c r="T249" s="24">
        <v>0.19385212659835815</v>
      </c>
      <c r="U249" s="24">
        <v>1</v>
      </c>
      <c r="V249" s="24">
        <v>1.5400780620523029</v>
      </c>
      <c r="W249" s="24">
        <v>2.6867776660898532</v>
      </c>
      <c r="X249" s="24">
        <v>181.95615220909215</v>
      </c>
      <c r="Y249" s="24">
        <v>1.4958031177520752</v>
      </c>
      <c r="Z249" s="24">
        <v>27.502659234897745</v>
      </c>
      <c r="AA249" s="24">
        <v>20.863723702888439</v>
      </c>
      <c r="AB249" s="24">
        <v>21.415580749511719</v>
      </c>
      <c r="AC249" s="24">
        <v>0.28891640901565552</v>
      </c>
      <c r="AD249" s="24">
        <v>1</v>
      </c>
      <c r="AE249" s="24">
        <v>1.4747383768557496</v>
      </c>
      <c r="AF249" s="24">
        <v>2.4134408375500618</v>
      </c>
      <c r="AG249" s="24">
        <v>162.04441976780254</v>
      </c>
      <c r="AH249" s="24">
        <v>1.5087317228317261</v>
      </c>
      <c r="AI249" s="24">
        <v>27.563822629655935</v>
      </c>
      <c r="AJ249" s="24">
        <v>19.840445227659629</v>
      </c>
      <c r="AK249" s="24">
        <v>20.155233383178711</v>
      </c>
      <c r="AL249" s="24">
        <v>0.24701003730297089</v>
      </c>
      <c r="AM249" s="24">
        <v>1</v>
      </c>
      <c r="AN249" s="24">
        <v>1.8392986592035729</v>
      </c>
      <c r="AO249" s="24">
        <v>2.720507127641139</v>
      </c>
      <c r="AP249" s="24">
        <v>184.43677578493859</v>
      </c>
      <c r="AQ249" s="24">
        <v>1.4942104816436768</v>
      </c>
      <c r="AR249" s="24">
        <v>27.495111739805836</v>
      </c>
      <c r="AS249" s="24">
        <v>20.979008667042407</v>
      </c>
      <c r="AT249" s="24">
        <v>21.564159393310547</v>
      </c>
      <c r="AU249" s="24">
        <v>0.29638639092445374</v>
      </c>
      <c r="AV249" s="24">
        <v>1</v>
      </c>
      <c r="AW249" s="24">
        <v>1.6534119427027862</v>
      </c>
      <c r="AX249" s="24">
        <v>2.1955479297023772</v>
      </c>
      <c r="AY249" s="24">
        <v>146.41159604673578</v>
      </c>
      <c r="AZ249" s="24">
        <v>1.5190669298171997</v>
      </c>
      <c r="BA249" s="24">
        <v>27.612579579127004</v>
      </c>
      <c r="BB249" s="24">
        <v>18.899395171291737</v>
      </c>
      <c r="BC249" s="24">
        <v>19.078481674194336</v>
      </c>
      <c r="BD249" s="24">
        <v>0.21589012444019318</v>
      </c>
      <c r="BE249" s="24">
        <v>1</v>
      </c>
      <c r="BF249" s="24">
        <v>1.8392986592035729</v>
      </c>
      <c r="BH249" s="24">
        <f t="shared" si="50"/>
        <v>1.3835284277291597</v>
      </c>
    </row>
    <row r="250" spans="2:60">
      <c r="B250" s="20"/>
      <c r="C250" s="24">
        <v>1.25</v>
      </c>
      <c r="D250" s="24">
        <v>1.7246959238032149</v>
      </c>
      <c r="E250" s="24">
        <v>1.7477336912686214</v>
      </c>
      <c r="F250" s="24">
        <v>114.93554899395691</v>
      </c>
      <c r="G250" s="24">
        <v>1.5403887033462524</v>
      </c>
      <c r="H250" s="24">
        <v>27.712785025974334</v>
      </c>
      <c r="I250" s="24">
        <v>16.54994554645949</v>
      </c>
      <c r="J250" s="24">
        <v>16.662368774414063</v>
      </c>
      <c r="K250" s="24">
        <v>0.17031456530094147</v>
      </c>
      <c r="L250" s="24">
        <v>1.25</v>
      </c>
      <c r="M250" s="24">
        <v>1.6045164529831597</v>
      </c>
      <c r="N250" s="24">
        <v>1.366941226359341</v>
      </c>
      <c r="O250" s="24">
        <v>88.842970942761283</v>
      </c>
      <c r="P250" s="24">
        <v>1.5586055517196655</v>
      </c>
      <c r="Q250" s="24">
        <v>27.797993301699975</v>
      </c>
      <c r="R250" s="24">
        <v>14.034443296400124</v>
      </c>
      <c r="S250" s="24">
        <v>14.396653175354004</v>
      </c>
      <c r="T250" s="24">
        <v>0.13675516843795776</v>
      </c>
      <c r="U250" s="24">
        <v>1.25</v>
      </c>
      <c r="V250" s="24">
        <v>1.779654464283718</v>
      </c>
      <c r="W250" s="24">
        <v>2.1841885383196749</v>
      </c>
      <c r="X250" s="24">
        <v>145.6023755992486</v>
      </c>
      <c r="Y250" s="24">
        <v>1.519606351852417</v>
      </c>
      <c r="Z250" s="24">
        <v>27.615121420791976</v>
      </c>
      <c r="AA250" s="24">
        <v>18.847333685111654</v>
      </c>
      <c r="AB250" s="24">
        <v>19.020969390869141</v>
      </c>
      <c r="AC250" s="24">
        <v>0.21538583934307098</v>
      </c>
      <c r="AD250" s="24">
        <v>1.25</v>
      </c>
      <c r="AE250" s="24">
        <v>1.6708047961649644</v>
      </c>
      <c r="AF250" s="24">
        <v>1.804952066382761</v>
      </c>
      <c r="AG250" s="24">
        <v>118.90915318409128</v>
      </c>
      <c r="AH250" s="24">
        <v>1.5376583337783813</v>
      </c>
      <c r="AI250" s="24">
        <v>27.699981518729359</v>
      </c>
      <c r="AJ250" s="24">
        <v>16.884237132135858</v>
      </c>
      <c r="AK250" s="24">
        <v>16.985927581787109</v>
      </c>
      <c r="AL250" s="24">
        <v>0.17339442670345306</v>
      </c>
      <c r="AM250" s="24">
        <v>1.25</v>
      </c>
      <c r="AN250" s="24">
        <v>2.1402340822015216</v>
      </c>
      <c r="AO250" s="24">
        <v>2.5231734767301957</v>
      </c>
      <c r="AP250" s="24">
        <v>169.99750657826397</v>
      </c>
      <c r="AQ250" s="24">
        <v>1.503536581993103</v>
      </c>
      <c r="AR250" s="24">
        <v>27.539268233660753</v>
      </c>
      <c r="AS250" s="24">
        <v>20.271118531970426</v>
      </c>
      <c r="AT250" s="24">
        <v>20.673406600952148</v>
      </c>
      <c r="AU250" s="24">
        <v>0.26441580057144165</v>
      </c>
      <c r="AV250" s="24">
        <v>1.25</v>
      </c>
      <c r="AW250" s="24">
        <v>1.9481086434771886</v>
      </c>
      <c r="AX250" s="24">
        <v>2.0700880480050983</v>
      </c>
      <c r="AY250" s="24">
        <v>137.50549219996051</v>
      </c>
      <c r="AZ250" s="24">
        <v>1.5250294208526611</v>
      </c>
      <c r="BA250" s="24">
        <v>27.640653191861738</v>
      </c>
      <c r="BB250" s="24">
        <v>18.301199137141143</v>
      </c>
      <c r="BC250" s="24">
        <v>18.429481506347656</v>
      </c>
      <c r="BD250" s="24">
        <v>0.20000004768371582</v>
      </c>
      <c r="BE250" s="24">
        <v>1.25</v>
      </c>
      <c r="BF250" s="24">
        <v>2.1402340822015216</v>
      </c>
      <c r="BH250" s="24">
        <f t="shared" si="50"/>
        <v>1.6874339587167542</v>
      </c>
    </row>
    <row r="251" spans="2:60">
      <c r="B251" s="20"/>
      <c r="C251" s="24">
        <v>1.5</v>
      </c>
      <c r="D251" s="24">
        <v>1.9348399249774275</v>
      </c>
      <c r="E251" s="24">
        <v>1.2432975816291643</v>
      </c>
      <c r="F251" s="24">
        <v>80.50048946604872</v>
      </c>
      <c r="G251" s="24">
        <v>1.5645376443862915</v>
      </c>
      <c r="H251" s="24">
        <v>27.825660502978238</v>
      </c>
      <c r="I251" s="24">
        <v>13.102135193598091</v>
      </c>
      <c r="J251" s="24">
        <v>13.620667457580566</v>
      </c>
      <c r="K251" s="24">
        <v>0.12989252805709839</v>
      </c>
      <c r="L251" s="24">
        <v>1.5</v>
      </c>
      <c r="M251" s="24">
        <v>1.7881580146102452</v>
      </c>
      <c r="N251" s="24">
        <v>0.89832161064039062</v>
      </c>
      <c r="O251" s="24">
        <v>57.55364959319769</v>
      </c>
      <c r="P251" s="24">
        <v>1.5811331272125244</v>
      </c>
      <c r="Q251" s="24">
        <v>27.902854277444693</v>
      </c>
      <c r="R251" s="24">
        <v>10.172513373627828</v>
      </c>
      <c r="S251" s="24">
        <v>11.354160308837891</v>
      </c>
      <c r="T251" s="24">
        <v>0.10854806751012802</v>
      </c>
      <c r="U251" s="24">
        <v>1.5</v>
      </c>
      <c r="V251" s="24">
        <v>2.0298884674129907</v>
      </c>
      <c r="W251" s="24">
        <v>1.7456293027437531</v>
      </c>
      <c r="X251" s="24">
        <v>114.78967302375244</v>
      </c>
      <c r="Y251" s="24">
        <v>1.5404891967773438</v>
      </c>
      <c r="Z251" s="24">
        <v>27.713255915853168</v>
      </c>
      <c r="AA251" s="24">
        <v>16.537355518932543</v>
      </c>
      <c r="AB251" s="24">
        <v>16.650297164916992</v>
      </c>
      <c r="AC251" s="24">
        <v>0.16815273463726044</v>
      </c>
      <c r="AD251" s="24">
        <v>1.5</v>
      </c>
      <c r="AE251" s="24">
        <v>1.8764914143099751</v>
      </c>
      <c r="AF251" s="24">
        <v>1.3210696478982957</v>
      </c>
      <c r="AG251" s="24">
        <v>85.740579402195593</v>
      </c>
      <c r="AH251" s="24">
        <v>1.5608053207397461</v>
      </c>
      <c r="AI251" s="24">
        <v>27.808257785547916</v>
      </c>
      <c r="AJ251" s="24">
        <v>13.696060975905205</v>
      </c>
      <c r="AK251" s="24">
        <v>14.111515045166016</v>
      </c>
      <c r="AL251" s="24">
        <v>0.13316445052623749</v>
      </c>
      <c r="AM251" s="24">
        <v>1.5</v>
      </c>
      <c r="AN251" s="24">
        <v>2.4552008952292139</v>
      </c>
      <c r="AO251" s="24">
        <v>2.3422434762037057</v>
      </c>
      <c r="AP251" s="24">
        <v>156.91312193871298</v>
      </c>
      <c r="AQ251" s="24">
        <v>1.5121059417724609</v>
      </c>
      <c r="AR251" s="24">
        <v>27.57975415392594</v>
      </c>
      <c r="AS251" s="24">
        <v>19.546129359450845</v>
      </c>
      <c r="AT251" s="24">
        <v>19.810630798339844</v>
      </c>
      <c r="AU251" s="24">
        <v>0.23709957301616669</v>
      </c>
      <c r="AV251" s="24">
        <v>1.5</v>
      </c>
      <c r="AW251" s="24">
        <v>2.2310368402456993</v>
      </c>
      <c r="AX251" s="24">
        <v>1.888673059070834</v>
      </c>
      <c r="AY251" s="24">
        <v>124.74850083630533</v>
      </c>
      <c r="AZ251" s="24">
        <v>1.5336663722991943</v>
      </c>
      <c r="BA251" s="24">
        <v>27.681247635876165</v>
      </c>
      <c r="BB251" s="24">
        <v>17.355285777806582</v>
      </c>
      <c r="BC251" s="24">
        <v>17.452346801757813</v>
      </c>
      <c r="BD251" s="24">
        <v>0.18066374957561493</v>
      </c>
      <c r="BE251" s="24">
        <v>1.5</v>
      </c>
      <c r="BF251" s="24">
        <v>2.4552008952292139</v>
      </c>
      <c r="BH251" s="24">
        <f t="shared" si="50"/>
        <v>1.9911901105134209</v>
      </c>
    </row>
    <row r="252" spans="2:60">
      <c r="B252" s="20"/>
      <c r="C252" s="24">
        <v>1.75</v>
      </c>
      <c r="D252" s="24">
        <v>2.1297750934963324</v>
      </c>
      <c r="E252" s="24">
        <v>0.80501819916524353</v>
      </c>
      <c r="F252" s="24">
        <v>51.429526167244326</v>
      </c>
      <c r="G252" s="24">
        <v>1.5856328010559082</v>
      </c>
      <c r="H252" s="24">
        <v>27.923732376524228</v>
      </c>
      <c r="I252" s="24">
        <v>9.292285731266718</v>
      </c>
      <c r="J252" s="24">
        <v>10.715886116027832</v>
      </c>
      <c r="K252" s="24">
        <v>0.10632101446390152</v>
      </c>
      <c r="L252" s="24">
        <v>1.75</v>
      </c>
      <c r="M252" s="24">
        <v>1.9865600441664082</v>
      </c>
      <c r="N252" s="24">
        <v>0.55732606047893696</v>
      </c>
      <c r="O252" s="24">
        <v>35.338681005328411</v>
      </c>
      <c r="P252" s="24">
        <v>1.5976015329360962</v>
      </c>
      <c r="Q252" s="24">
        <v>27.979157370433402</v>
      </c>
      <c r="R252" s="24">
        <v>6.7653168732928455</v>
      </c>
      <c r="S252" s="24">
        <v>8.9725742340087891</v>
      </c>
      <c r="T252" s="24">
        <v>9.2979945242404938E-2</v>
      </c>
      <c r="U252" s="24">
        <v>1.75</v>
      </c>
      <c r="V252" s="24">
        <v>2.2798071581916113</v>
      </c>
      <c r="W252" s="24">
        <v>1.3471517001791617</v>
      </c>
      <c r="X252" s="24">
        <v>87.503498086939956</v>
      </c>
      <c r="Y252" s="24">
        <v>1.5595544576644897</v>
      </c>
      <c r="Z252" s="24">
        <v>27.802421518008408</v>
      </c>
      <c r="AA252" s="24">
        <v>13.890141857769835</v>
      </c>
      <c r="AB252" s="24">
        <v>14.274560928344727</v>
      </c>
      <c r="AC252" s="24">
        <v>0.1345907598733902</v>
      </c>
      <c r="AD252" s="24">
        <v>1.75</v>
      </c>
      <c r="AE252" s="24">
        <v>2.0898569788601797</v>
      </c>
      <c r="AF252" s="24">
        <v>0.9457697299041623</v>
      </c>
      <c r="AG252" s="24">
        <v>60.68130406395106</v>
      </c>
      <c r="AH252" s="24">
        <v>1.5788466930389404</v>
      </c>
      <c r="AI252" s="24">
        <v>27.892237017909753</v>
      </c>
      <c r="AJ252" s="24">
        <v>10.60581374306653</v>
      </c>
      <c r="AK252" s="24">
        <v>11.674982070922852</v>
      </c>
      <c r="AL252" s="24">
        <v>0.10988796502351761</v>
      </c>
      <c r="AM252" s="24">
        <v>1.75</v>
      </c>
      <c r="AN252" s="24">
        <v>2.7553803293875263</v>
      </c>
      <c r="AO252" s="24">
        <v>2.1510429971892568</v>
      </c>
      <c r="AP252" s="24">
        <v>143.24439645926267</v>
      </c>
      <c r="AQ252" s="24">
        <v>1.5211809873580933</v>
      </c>
      <c r="AR252" s="24">
        <v>27.622538254547834</v>
      </c>
      <c r="AS252" s="24">
        <v>18.692267470636111</v>
      </c>
      <c r="AT252" s="24">
        <v>18.850841522216797</v>
      </c>
      <c r="AU252" s="24">
        <v>0.21222029626369476</v>
      </c>
      <c r="AV252" s="24">
        <v>1.75</v>
      </c>
      <c r="AW252" s="24">
        <v>2.4918528221308995</v>
      </c>
      <c r="AX252" s="24">
        <v>1.6707492445626613</v>
      </c>
      <c r="AY252" s="24">
        <v>109.61123823452036</v>
      </c>
      <c r="AZ252" s="24">
        <v>1.5440652370452881</v>
      </c>
      <c r="BA252" s="24">
        <v>27.730011501196397</v>
      </c>
      <c r="BB252" s="24">
        <v>16.083246908649013</v>
      </c>
      <c r="BC252" s="24">
        <v>16.220346450805664</v>
      </c>
      <c r="BD252" s="24">
        <v>0.16002944111824036</v>
      </c>
      <c r="BE252" s="24">
        <v>1.75</v>
      </c>
      <c r="BF252" s="24">
        <v>2.7553803293875263</v>
      </c>
      <c r="BH252" s="24">
        <f t="shared" si="50"/>
        <v>2.2975284915054588</v>
      </c>
    </row>
    <row r="253" spans="2:60">
      <c r="B253" s="20"/>
      <c r="C253" s="24">
        <v>2</v>
      </c>
      <c r="D253" s="24">
        <v>2.3448558977368918</v>
      </c>
      <c r="E253" s="24">
        <v>0.50241280346818706</v>
      </c>
      <c r="F253" s="24">
        <v>31.803851335015111</v>
      </c>
      <c r="G253" s="24">
        <v>1.60025954246521</v>
      </c>
      <c r="H253" s="24">
        <v>27.991445071413725</v>
      </c>
      <c r="I253" s="24">
        <v>6.1669601863086445</v>
      </c>
      <c r="J253" s="24">
        <v>8.5770111083984375</v>
      </c>
      <c r="K253" s="24">
        <v>9.2638500034809113E-2</v>
      </c>
      <c r="L253" s="24">
        <v>2</v>
      </c>
      <c r="M253" s="24">
        <v>2.196240772040404</v>
      </c>
      <c r="N253" s="24">
        <v>0.3259946792494044</v>
      </c>
      <c r="O253" s="24">
        <v>20.526510226323886</v>
      </c>
      <c r="P253" s="24">
        <v>1.6088103055953979</v>
      </c>
      <c r="Q253" s="24">
        <v>28.030921388716944</v>
      </c>
      <c r="R253" s="24">
        <v>4.1447138178021428</v>
      </c>
      <c r="S253" s="24">
        <v>7.2828412055969238</v>
      </c>
      <c r="T253" s="24">
        <v>8.1954896450042725E-2</v>
      </c>
      <c r="U253" s="24">
        <v>2</v>
      </c>
      <c r="V253" s="24">
        <v>2.5153978798002585</v>
      </c>
      <c r="W253" s="24">
        <v>1.0008838187257088</v>
      </c>
      <c r="X253" s="24">
        <v>64.32560689261382</v>
      </c>
      <c r="Y253" s="24">
        <v>1.5761923789978027</v>
      </c>
      <c r="Z253" s="24">
        <v>27.879904377667536</v>
      </c>
      <c r="AA253" s="24">
        <v>11.096335739602853</v>
      </c>
      <c r="AB253" s="24">
        <v>12.043769836425781</v>
      </c>
      <c r="AC253" s="24">
        <v>0.11473836004734039</v>
      </c>
      <c r="AD253" s="24">
        <v>2</v>
      </c>
      <c r="AE253" s="24">
        <v>2.3094710614866338</v>
      </c>
      <c r="AF253" s="24">
        <v>0.66956246226742999</v>
      </c>
      <c r="AG253" s="24">
        <v>42.60004241374493</v>
      </c>
      <c r="AH253" s="24">
        <v>1.5921739339828491</v>
      </c>
      <c r="AI253" s="24">
        <v>27.954042718355595</v>
      </c>
      <c r="AJ253" s="24">
        <v>7.9454575142911787</v>
      </c>
      <c r="AK253" s="24">
        <v>9.7713632583618164</v>
      </c>
      <c r="AL253" s="24">
        <v>9.8625443875789642E-2</v>
      </c>
      <c r="AM253" s="24">
        <v>2</v>
      </c>
      <c r="AN253" s="24">
        <v>3.0612301929592811</v>
      </c>
      <c r="AO253" s="24">
        <v>1.9765827143233068</v>
      </c>
      <c r="AP253" s="24">
        <v>130.91245315876736</v>
      </c>
      <c r="AQ253" s="24">
        <v>1.529478907585144</v>
      </c>
      <c r="AR253" s="24">
        <v>27.661576474196316</v>
      </c>
      <c r="AS253" s="24">
        <v>17.82553198012155</v>
      </c>
      <c r="AT253" s="24">
        <v>17.931007385253906</v>
      </c>
      <c r="AU253" s="24">
        <v>0.1924738734960556</v>
      </c>
      <c r="AV253" s="24">
        <v>2</v>
      </c>
      <c r="AW253" s="24">
        <v>2.7409820075410649</v>
      </c>
      <c r="AX253" s="24">
        <v>1.4767486221360526</v>
      </c>
      <c r="AY253" s="24">
        <v>96.304879811907128</v>
      </c>
      <c r="AZ253" s="24">
        <v>1.5533442497253418</v>
      </c>
      <c r="BA253" s="24">
        <v>27.773422177745918</v>
      </c>
      <c r="BB253" s="24">
        <v>14.814127303432747</v>
      </c>
      <c r="BC253" s="24">
        <v>15.070012092590332</v>
      </c>
      <c r="BD253" s="24">
        <v>0.14370504021644592</v>
      </c>
      <c r="BE253" s="24">
        <v>2</v>
      </c>
      <c r="BF253" s="24">
        <v>3.0612301929592811</v>
      </c>
      <c r="BH253" s="24">
        <f t="shared" si="50"/>
        <v>2.6030113749443857</v>
      </c>
    </row>
    <row r="254" spans="2:60">
      <c r="B254" s="20"/>
      <c r="C254" s="24">
        <v>2.25</v>
      </c>
      <c r="D254" s="24">
        <v>2.5500888012079073</v>
      </c>
      <c r="E254" s="24">
        <v>0.2824588517136094</v>
      </c>
      <c r="F254" s="24">
        <v>17.761916855980655</v>
      </c>
      <c r="G254" s="24">
        <v>1.6109230518341064</v>
      </c>
      <c r="H254" s="24">
        <v>28.040663211726752</v>
      </c>
      <c r="I254" s="24">
        <v>3.6217150684224921</v>
      </c>
      <c r="J254" s="24">
        <v>6.9581055641174316</v>
      </c>
      <c r="K254" s="24">
        <v>8.5419923067092896E-2</v>
      </c>
      <c r="L254" s="24">
        <v>2.25</v>
      </c>
      <c r="M254" s="24">
        <v>2.4145068400401839</v>
      </c>
      <c r="N254" s="24">
        <v>0.17786553173481662</v>
      </c>
      <c r="O254" s="24">
        <v>11.14959293828664</v>
      </c>
      <c r="P254" s="24">
        <v>1.6160032749176025</v>
      </c>
      <c r="Q254" s="24">
        <v>28.064067604589241</v>
      </c>
      <c r="R254" s="24">
        <v>2.3279923396474858</v>
      </c>
      <c r="S254" s="24">
        <v>6.171018123626709</v>
      </c>
      <c r="T254" s="24">
        <v>7.9885669052600861E-2</v>
      </c>
      <c r="U254" s="24">
        <v>2.25</v>
      </c>
      <c r="V254" s="24">
        <v>2.7548657142753661</v>
      </c>
      <c r="W254" s="24">
        <v>0.72666804104545313</v>
      </c>
      <c r="X254" s="24">
        <v>46.313561058641966</v>
      </c>
      <c r="Y254" s="24">
        <v>1.5894150733947754</v>
      </c>
      <c r="Z254" s="24">
        <v>27.941264451056767</v>
      </c>
      <c r="AA254" s="24">
        <v>8.5244434879101085</v>
      </c>
      <c r="AB254" s="24">
        <v>10.172890663146973</v>
      </c>
      <c r="AC254" s="24">
        <v>9.9131092429161072E-2</v>
      </c>
      <c r="AD254" s="24">
        <v>2.25</v>
      </c>
      <c r="AE254" s="24">
        <v>2.5338264523042584</v>
      </c>
      <c r="AF254" s="24">
        <v>0.46601547373813251</v>
      </c>
      <c r="AG254" s="24">
        <v>29.467360308147814</v>
      </c>
      <c r="AH254" s="24">
        <v>1.6020222902297974</v>
      </c>
      <c r="AI254" s="24">
        <v>27.999589543778885</v>
      </c>
      <c r="AJ254" s="24">
        <v>5.7618770742896288</v>
      </c>
      <c r="AK254" s="24">
        <v>8.3126182556152344</v>
      </c>
      <c r="AL254" s="24">
        <v>8.9123159646987915E-2</v>
      </c>
      <c r="AM254" s="24">
        <v>2.25</v>
      </c>
      <c r="AN254" s="24">
        <v>3.3503408376530284</v>
      </c>
      <c r="AO254" s="24">
        <v>1.7900797597972076</v>
      </c>
      <c r="AP254" s="24">
        <v>117.874983072636</v>
      </c>
      <c r="AQ254" s="24">
        <v>1.5383678674697876</v>
      </c>
      <c r="AR254" s="24">
        <v>27.703309430169305</v>
      </c>
      <c r="AS254" s="24">
        <v>16.798283784101574</v>
      </c>
      <c r="AT254" s="24">
        <v>16.90216064453125</v>
      </c>
      <c r="AU254" s="24">
        <v>0.17470477521419525</v>
      </c>
      <c r="AV254" s="24">
        <v>2.25</v>
      </c>
      <c r="AW254" s="24">
        <v>2.9915671019040166</v>
      </c>
      <c r="AX254" s="24">
        <v>1.289818416802375</v>
      </c>
      <c r="AY254" s="24">
        <v>83.631960966207046</v>
      </c>
      <c r="AZ254" s="24">
        <v>1.5623047351837158</v>
      </c>
      <c r="BA254" s="24">
        <v>27.815250737776161</v>
      </c>
      <c r="BB254" s="24">
        <v>13.460031953960659</v>
      </c>
      <c r="BC254" s="24">
        <v>13.915012359619141</v>
      </c>
      <c r="BD254" s="24">
        <v>0.13085590302944183</v>
      </c>
      <c r="BE254" s="24">
        <v>2.25</v>
      </c>
      <c r="BF254" s="24">
        <v>3.3503408376530284</v>
      </c>
      <c r="BH254" s="24">
        <f t="shared" si="50"/>
        <v>2.9055380638072625</v>
      </c>
    </row>
    <row r="255" spans="2:60">
      <c r="B255" s="20"/>
      <c r="C255" s="24">
        <v>2.5</v>
      </c>
      <c r="D255" s="24">
        <v>2.7598579167033273</v>
      </c>
      <c r="E255" s="24">
        <v>0.14562323021679358</v>
      </c>
      <c r="F255" s="24">
        <v>9.1196230430248519</v>
      </c>
      <c r="G255" s="24">
        <v>1.6175705194473267</v>
      </c>
      <c r="H255" s="24">
        <v>28.071282324340672</v>
      </c>
      <c r="I255" s="24">
        <v>1.9181026409052941</v>
      </c>
      <c r="J255" s="24">
        <v>5.9262447357177734</v>
      </c>
      <c r="K255" s="24">
        <v>8.4813825786113739E-2</v>
      </c>
      <c r="L255" s="24">
        <v>2.5</v>
      </c>
      <c r="M255" s="24">
        <v>2.6389979308126157</v>
      </c>
      <c r="N255" s="24">
        <v>8.9716173602689755E-2</v>
      </c>
      <c r="O255" s="24">
        <v>5.6090277140592679</v>
      </c>
      <c r="P255" s="24">
        <v>1.6202894449234009</v>
      </c>
      <c r="Q255" s="24">
        <v>28.08379240354121</v>
      </c>
      <c r="R255" s="24">
        <v>1.1942582742749317</v>
      </c>
      <c r="S255" s="24">
        <v>5.499140739440918</v>
      </c>
      <c r="T255" s="24">
        <v>7.5481578707695007E-2</v>
      </c>
      <c r="U255" s="24">
        <v>2.5</v>
      </c>
      <c r="V255" s="24">
        <v>2.9800956303324719</v>
      </c>
      <c r="W255" s="24">
        <v>0.50511370579883452</v>
      </c>
      <c r="X255" s="24">
        <v>31.977437709644711</v>
      </c>
      <c r="Y255" s="24">
        <v>1.6001287698745728</v>
      </c>
      <c r="Z255" s="24">
        <v>27.990840702231807</v>
      </c>
      <c r="AA255" s="24">
        <v>6.1959102099338264</v>
      </c>
      <c r="AB255" s="24">
        <v>8.5960044860839844</v>
      </c>
      <c r="AC255" s="24">
        <v>9.581371396780014E-2</v>
      </c>
      <c r="AD255" s="24">
        <v>2.5</v>
      </c>
      <c r="AE255" s="24">
        <v>2.7618138525753286</v>
      </c>
      <c r="AF255" s="24">
        <v>0.31693337413951522</v>
      </c>
      <c r="AG255" s="24">
        <v>19.950505992159631</v>
      </c>
      <c r="AH255" s="24">
        <v>1.6092499494552612</v>
      </c>
      <c r="AI255" s="24">
        <v>28.032948997599441</v>
      </c>
      <c r="AJ255" s="24">
        <v>4.0356875366571536</v>
      </c>
      <c r="AK255" s="24">
        <v>7.214818000793457</v>
      </c>
      <c r="AL255" s="24">
        <v>8.4989927709102631E-2</v>
      </c>
      <c r="AM255" s="24">
        <v>2.5</v>
      </c>
      <c r="AN255" s="24">
        <v>3.6647064139292396</v>
      </c>
      <c r="AO255" s="24">
        <v>1.6438134136120766</v>
      </c>
      <c r="AP255" s="24">
        <v>107.75426226611327</v>
      </c>
      <c r="AQ255" s="24">
        <v>1.5453523397445679</v>
      </c>
      <c r="AR255" s="24">
        <v>27.736038815080043</v>
      </c>
      <c r="AS255" s="24">
        <v>15.914643535730063</v>
      </c>
      <c r="AT255" s="24">
        <v>16.063297271728516</v>
      </c>
      <c r="AU255" s="24">
        <v>0.15878964960575104</v>
      </c>
      <c r="AV255" s="24">
        <v>2.5</v>
      </c>
      <c r="AW255" s="24">
        <v>3.2406768433744584</v>
      </c>
      <c r="AX255" s="24">
        <v>1.1341429418004865</v>
      </c>
      <c r="AY255" s="24">
        <v>73.187686241656408</v>
      </c>
      <c r="AZ255" s="24">
        <v>1.5697815418243408</v>
      </c>
      <c r="BA255" s="24">
        <v>27.850085562569348</v>
      </c>
      <c r="BB255" s="24">
        <v>12.228677298224326</v>
      </c>
      <c r="BC255" s="24">
        <v>12.919534683227539</v>
      </c>
      <c r="BD255" s="24">
        <v>0.12158564478158951</v>
      </c>
      <c r="BE255" s="24">
        <v>2.5</v>
      </c>
      <c r="BF255" s="24">
        <v>3.6647064139292396</v>
      </c>
      <c r="BH255" s="24">
        <f t="shared" si="50"/>
        <v>3.2079144434822688</v>
      </c>
    </row>
    <row r="256" spans="2:60">
      <c r="C256" s="24">
        <v>2.75</v>
      </c>
      <c r="D256" s="24">
        <v>2.9849175701028554</v>
      </c>
      <c r="E256" s="24">
        <v>6.9023507551123103E-2</v>
      </c>
      <c r="F256" s="24">
        <v>4.3126488349387664</v>
      </c>
      <c r="G256" s="24">
        <v>1.6212962865829468</v>
      </c>
      <c r="H256" s="24">
        <v>28.088422711535461</v>
      </c>
      <c r="I256" s="24">
        <v>0.92378692701655662</v>
      </c>
      <c r="J256" s="24">
        <v>5.3412032127380371</v>
      </c>
      <c r="K256" s="24">
        <v>7.7586650848388672E-2</v>
      </c>
      <c r="L256" s="24">
        <v>2.75</v>
      </c>
      <c r="M256" s="24">
        <v>2.8683768644361614</v>
      </c>
      <c r="N256" s="24">
        <v>4.1149818292433693E-2</v>
      </c>
      <c r="O256" s="24">
        <v>2.5689270150240033</v>
      </c>
      <c r="P256" s="24">
        <v>1.6226527690887451</v>
      </c>
      <c r="Q256" s="24">
        <v>28.094659885898697</v>
      </c>
      <c r="R256" s="24">
        <v>0.55321709311081191</v>
      </c>
      <c r="S256" s="24">
        <v>5.126220703125</v>
      </c>
      <c r="T256" s="24">
        <v>9.2000618577003479E-2</v>
      </c>
      <c r="U256" s="24">
        <v>2.75</v>
      </c>
      <c r="V256" s="24">
        <v>3.2052144279655264</v>
      </c>
      <c r="W256" s="24">
        <v>0.34261387771107249</v>
      </c>
      <c r="X256" s="24">
        <v>21.583767645128063</v>
      </c>
      <c r="Y256" s="24">
        <v>1.608004093170166</v>
      </c>
      <c r="Z256" s="24">
        <v>28.027202582870306</v>
      </c>
      <c r="AA256" s="24">
        <v>4.3416746294832329</v>
      </c>
      <c r="AB256" s="24">
        <v>7.4061541557312012</v>
      </c>
      <c r="AC256" s="24">
        <v>8.6654782295227051E-2</v>
      </c>
      <c r="AD256" s="24">
        <v>2.75</v>
      </c>
      <c r="AE256" s="24">
        <v>2.9927182788535753</v>
      </c>
      <c r="AF256" s="24">
        <v>0.21050272477731488</v>
      </c>
      <c r="AG256" s="24">
        <v>13.208434370102953</v>
      </c>
      <c r="AH256" s="24">
        <v>1.6144174337387085</v>
      </c>
      <c r="AI256" s="24">
        <v>28.056764521676772</v>
      </c>
      <c r="AJ256" s="24">
        <v>2.7378995611710608</v>
      </c>
      <c r="AK256" s="24">
        <v>6.4179787635803223</v>
      </c>
      <c r="AL256" s="24">
        <v>7.8863151371479034E-2</v>
      </c>
      <c r="AM256" s="24">
        <v>2.75</v>
      </c>
      <c r="AN256" s="24">
        <v>3.9404562142927428</v>
      </c>
      <c r="AO256" s="24">
        <v>1.4711950987185947</v>
      </c>
      <c r="AP256" s="24">
        <v>95.926289213378666</v>
      </c>
      <c r="AQ256" s="24">
        <v>1.5536102056503296</v>
      </c>
      <c r="AR256" s="24">
        <v>27.774664865556762</v>
      </c>
      <c r="AS256" s="24">
        <v>14.775854381135332</v>
      </c>
      <c r="AT256" s="24">
        <v>15.036401748657227</v>
      </c>
      <c r="AU256" s="24">
        <v>0.14416463673114777</v>
      </c>
      <c r="AV256" s="24">
        <v>2.75</v>
      </c>
      <c r="AW256" s="24">
        <v>3.4912509080165659</v>
      </c>
      <c r="AX256" s="24">
        <v>0.99058054410422203</v>
      </c>
      <c r="AY256" s="24">
        <v>63.64339723181007</v>
      </c>
      <c r="AZ256" s="24">
        <v>1.5766884088516235</v>
      </c>
      <c r="BA256" s="24">
        <v>27.882209896672578</v>
      </c>
      <c r="BB256" s="24">
        <v>11.004873742718878</v>
      </c>
      <c r="BC256" s="24">
        <v>11.97453498840332</v>
      </c>
      <c r="BD256" s="24">
        <v>0.11277218908071518</v>
      </c>
      <c r="BE256" s="24">
        <v>2.75</v>
      </c>
      <c r="BF256" s="24">
        <v>3.9404562142927428</v>
      </c>
      <c r="BH256" s="24">
        <f t="shared" si="50"/>
        <v>3.5041834147085731</v>
      </c>
    </row>
    <row r="257" spans="3:60">
      <c r="C257" s="24">
        <v>3</v>
      </c>
      <c r="D257" s="24">
        <v>3.1997526790193125</v>
      </c>
      <c r="E257" s="24">
        <v>2.7896038607362561E-2</v>
      </c>
      <c r="F257" s="24">
        <v>1.7408194597982005</v>
      </c>
      <c r="G257" s="24">
        <v>1.6232979297637939</v>
      </c>
      <c r="H257" s="24">
        <v>28.097625626604941</v>
      </c>
      <c r="I257" s="24">
        <v>0.44530725081060674</v>
      </c>
      <c r="J257" s="24">
        <v>5.064241886138916</v>
      </c>
      <c r="K257" s="24">
        <v>6.2923841178417206E-2</v>
      </c>
      <c r="L257" s="24">
        <v>3</v>
      </c>
      <c r="M257" s="24">
        <v>3.1017214809124156</v>
      </c>
      <c r="N257" s="24">
        <v>1.6756588797686382E-2</v>
      </c>
      <c r="O257" s="24">
        <v>1.0453259640777672</v>
      </c>
      <c r="P257" s="24">
        <v>1.62384033203125</v>
      </c>
      <c r="Q257" s="24">
        <v>28.100118252899531</v>
      </c>
      <c r="R257" s="24">
        <v>0.22687851324356015</v>
      </c>
      <c r="S257" s="24">
        <v>4.9382405281066895</v>
      </c>
      <c r="T257" s="24">
        <v>0.11273613572120667</v>
      </c>
      <c r="U257" s="24">
        <v>3</v>
      </c>
      <c r="V257" s="24">
        <v>3.4446816066620234</v>
      </c>
      <c r="W257" s="24">
        <v>0.23159592927211348</v>
      </c>
      <c r="X257" s="24">
        <v>14.541200497457405</v>
      </c>
      <c r="Y257" s="24">
        <v>1.61339271068573</v>
      </c>
      <c r="Z257" s="24">
        <v>28.052044586935001</v>
      </c>
      <c r="AA257" s="24">
        <v>3.0001687334195228</v>
      </c>
      <c r="AB257" s="24">
        <v>6.5771565437316895</v>
      </c>
      <c r="AC257" s="24">
        <v>7.928784191608429E-2</v>
      </c>
      <c r="AD257" s="24">
        <v>3</v>
      </c>
      <c r="AE257" s="24">
        <v>3.2258398199767506</v>
      </c>
      <c r="AF257" s="24">
        <v>0.13893179835302732</v>
      </c>
      <c r="AG257" s="24">
        <v>8.6988240278470172</v>
      </c>
      <c r="AH257" s="24">
        <v>1.6178958415985107</v>
      </c>
      <c r="AI257" s="24">
        <v>28.072779636981515</v>
      </c>
      <c r="AJ257" s="24">
        <v>1.8319719312634832</v>
      </c>
      <c r="AK257" s="24">
        <v>5.8750796318054199</v>
      </c>
      <c r="AL257" s="24">
        <v>8.0792933702468872E-2</v>
      </c>
      <c r="AM257" s="24">
        <v>3</v>
      </c>
      <c r="AN257" s="24">
        <v>4.2248625763792571</v>
      </c>
      <c r="AO257" s="24">
        <v>1.3224252097295877</v>
      </c>
      <c r="AP257" s="24">
        <v>85.832134415056714</v>
      </c>
      <c r="AQ257" s="24">
        <v>1.5607403516769409</v>
      </c>
      <c r="AR257" s="24">
        <v>27.807954457365433</v>
      </c>
      <c r="AS257" s="24">
        <v>13.705625089042293</v>
      </c>
      <c r="AT257" s="24">
        <v>14.119512557983398</v>
      </c>
      <c r="AU257" s="24">
        <v>0.13657772541046143</v>
      </c>
      <c r="AV257" s="24">
        <v>3</v>
      </c>
      <c r="AW257" s="24">
        <v>3.7404192223232071</v>
      </c>
      <c r="AX257" s="24">
        <v>0.87102177930276947</v>
      </c>
      <c r="AY257" s="24">
        <v>55.758193212062373</v>
      </c>
      <c r="AZ257" s="24">
        <v>1.582449197769165</v>
      </c>
      <c r="BA257" s="24">
        <v>27.908963042113747</v>
      </c>
      <c r="BB257" s="24">
        <v>9.9195678035916313</v>
      </c>
      <c r="BC257" s="24">
        <v>11.168943405151367</v>
      </c>
      <c r="BD257" s="24">
        <v>0.10703831911087036</v>
      </c>
      <c r="BE257" s="24">
        <v>3</v>
      </c>
      <c r="BF257" s="24">
        <v>4.2248625763792571</v>
      </c>
      <c r="BH257" s="24">
        <f t="shared" si="50"/>
        <v>3.7950915105635672</v>
      </c>
    </row>
    <row r="258" spans="3:60">
      <c r="C258" s="24">
        <v>3.25</v>
      </c>
      <c r="D258" s="24">
        <v>3.4294845230070923</v>
      </c>
      <c r="E258" s="24">
        <v>1.0097542655281384E-2</v>
      </c>
      <c r="F258" s="24">
        <v>0.6297890618161579</v>
      </c>
      <c r="G258" s="24">
        <v>1.6241645812988281</v>
      </c>
      <c r="H258" s="24">
        <v>28.101608318728189</v>
      </c>
      <c r="I258" s="24">
        <v>0.44687888127800407</v>
      </c>
      <c r="J258" s="24">
        <v>5.0662503242492676</v>
      </c>
      <c r="K258" s="24">
        <v>2.2611765190958977E-2</v>
      </c>
      <c r="L258" s="24">
        <v>3.25</v>
      </c>
      <c r="M258" s="24">
        <v>3.3380785296681714</v>
      </c>
      <c r="N258" s="24">
        <v>5.8951650753648619E-3</v>
      </c>
      <c r="O258" s="24">
        <v>0.36763823597074857</v>
      </c>
      <c r="P258" s="24">
        <v>1.6243691444396973</v>
      </c>
      <c r="Q258" s="24">
        <v>28.102548666504291</v>
      </c>
      <c r="R258" s="24">
        <v>0.14620947127962236</v>
      </c>
      <c r="S258" s="24">
        <v>4.8922591209411621</v>
      </c>
      <c r="T258" s="24">
        <v>4.0375351905822754E-2</v>
      </c>
      <c r="U258" s="24">
        <v>3.25</v>
      </c>
      <c r="V258" s="24">
        <v>3.6348224472720676</v>
      </c>
      <c r="W258" s="24">
        <v>0.13984909044935537</v>
      </c>
      <c r="X258" s="24">
        <v>8.7564990804274991</v>
      </c>
      <c r="Y258" s="24">
        <v>1.6178512573242188</v>
      </c>
      <c r="Z258" s="24">
        <v>28.072574378513799</v>
      </c>
      <c r="AA258" s="24">
        <v>1.8440294198057718</v>
      </c>
      <c r="AB258" s="24">
        <v>5.8822379112243652</v>
      </c>
      <c r="AC258" s="24">
        <v>8.7108217179775238E-2</v>
      </c>
      <c r="AD258" s="24">
        <v>3.25</v>
      </c>
      <c r="AE258" s="24">
        <v>3.4610442847761047</v>
      </c>
      <c r="AF258" s="24">
        <v>8.8419465455357477E-2</v>
      </c>
      <c r="AG258" s="24">
        <v>5.5277427025641046</v>
      </c>
      <c r="AH258" s="24">
        <v>1.6203525066375732</v>
      </c>
      <c r="AI258" s="24">
        <v>28.08408256229049</v>
      </c>
      <c r="AJ258" s="24">
        <v>1.1771733852894617</v>
      </c>
      <c r="AK258" s="24">
        <v>5.4891371726989746</v>
      </c>
      <c r="AL258" s="24">
        <v>7.7007822692394257E-2</v>
      </c>
      <c r="AM258" s="24">
        <v>3.25</v>
      </c>
      <c r="AN258" s="24">
        <v>4.4845328503952615</v>
      </c>
      <c r="AO258" s="24">
        <v>1.1716949497786751</v>
      </c>
      <c r="AP258" s="24">
        <v>75.697995359980283</v>
      </c>
      <c r="AQ258" s="24">
        <v>1.567976713180542</v>
      </c>
      <c r="AR258" s="24">
        <v>27.841682712868479</v>
      </c>
      <c r="AS258" s="24">
        <v>12.53480969302883</v>
      </c>
      <c r="AT258" s="24">
        <v>13.162592887878418</v>
      </c>
      <c r="AU258" s="24">
        <v>0.1242341548204422</v>
      </c>
      <c r="AV258" s="24">
        <v>3.25</v>
      </c>
      <c r="AW258" s="24">
        <v>3.9909631651246502</v>
      </c>
      <c r="AX258" s="24">
        <v>0.76076585787203876</v>
      </c>
      <c r="AY258" s="24">
        <v>48.537035018188483</v>
      </c>
      <c r="AZ258" s="24">
        <v>1.5877686738967896</v>
      </c>
      <c r="BA258" s="24">
        <v>27.933634530705024</v>
      </c>
      <c r="BB258" s="24">
        <v>8.8618033382434707</v>
      </c>
      <c r="BC258" s="24">
        <v>10.409942626953125</v>
      </c>
      <c r="BD258" s="24">
        <v>0.10095733404159546</v>
      </c>
      <c r="BE258" s="24">
        <v>3.25</v>
      </c>
      <c r="BF258" s="24">
        <v>4.4845328503952615</v>
      </c>
      <c r="BH258" s="24">
        <f t="shared" si="50"/>
        <v>4.0786395137491258</v>
      </c>
    </row>
    <row r="259" spans="3:60">
      <c r="C259" s="24">
        <v>3.5</v>
      </c>
      <c r="D259" s="24">
        <v>3.6150660738560214</v>
      </c>
      <c r="E259" s="24">
        <v>2.4507875300952254E-3</v>
      </c>
      <c r="F259" s="24">
        <v>0.15282187467556557</v>
      </c>
      <c r="G259" s="24">
        <v>1.6245368719100952</v>
      </c>
      <c r="H259" s="24">
        <v>28.103319399905356</v>
      </c>
      <c r="I259" s="24">
        <v>0.35827520387148326</v>
      </c>
      <c r="J259" s="24">
        <v>5.0152573585510254</v>
      </c>
      <c r="K259" s="24">
        <v>6.8327868357300758E-3</v>
      </c>
      <c r="L259" s="24">
        <v>3.5</v>
      </c>
      <c r="M259" s="24">
        <v>3.5773472385658711</v>
      </c>
      <c r="N259" s="24">
        <v>1.7896036835929039E-3</v>
      </c>
      <c r="O259" s="24">
        <v>0.11159072994703219</v>
      </c>
      <c r="P259" s="24">
        <v>1.6245690584182739</v>
      </c>
      <c r="Q259" s="24">
        <v>28.103467350142534</v>
      </c>
      <c r="R259" s="24">
        <v>0.14578716230340807</v>
      </c>
      <c r="S259" s="24">
        <v>4.8922648429870605</v>
      </c>
      <c r="T259" s="24">
        <v>1.2148846872150898E-2</v>
      </c>
      <c r="U259" s="24">
        <v>3.5</v>
      </c>
      <c r="V259" s="24">
        <v>3.8950622398287877</v>
      </c>
      <c r="W259" s="24">
        <v>9.2793984721689871E-2</v>
      </c>
      <c r="X259" s="24">
        <v>5.8019876782396231</v>
      </c>
      <c r="Y259" s="24">
        <v>1.6201397180557251</v>
      </c>
      <c r="Z259" s="24">
        <v>28.083103695117</v>
      </c>
      <c r="AA259" s="24">
        <v>1.2352816793047499</v>
      </c>
      <c r="AB259" s="24">
        <v>5.5231776237487793</v>
      </c>
      <c r="AC259" s="24">
        <v>7.197551429271698E-2</v>
      </c>
      <c r="AD259" s="24">
        <v>3.5</v>
      </c>
      <c r="AE259" s="24">
        <v>3.6980198476384962</v>
      </c>
      <c r="AF259" s="24">
        <v>5.4866383540417292E-2</v>
      </c>
      <c r="AG259" s="24">
        <v>3.4266433028471264</v>
      </c>
      <c r="AH259" s="24">
        <v>1.6219851970672607</v>
      </c>
      <c r="AI259" s="24">
        <v>28.091590589677363</v>
      </c>
      <c r="AJ259" s="24">
        <v>0.73624895414410219</v>
      </c>
      <c r="AK259" s="24">
        <v>5.2322025299072266</v>
      </c>
      <c r="AL259" s="24">
        <v>7.6674662530422211E-2</v>
      </c>
      <c r="AM259" s="24">
        <v>3.5</v>
      </c>
      <c r="AN259" s="24">
        <v>4.7606260295710037</v>
      </c>
      <c r="AO259" s="24">
        <v>1.042838781658304</v>
      </c>
      <c r="AP259" s="24">
        <v>67.107980991296543</v>
      </c>
      <c r="AQ259" s="24">
        <v>1.5741729736328125</v>
      </c>
      <c r="AR259" s="24">
        <v>27.870516297862778</v>
      </c>
      <c r="AS259" s="24">
        <v>11.460639942851689</v>
      </c>
      <c r="AT259" s="24">
        <v>12.321686744689941</v>
      </c>
      <c r="AU259" s="24">
        <v>0.11836008727550507</v>
      </c>
      <c r="AV259" s="24">
        <v>3.5</v>
      </c>
      <c r="AW259" s="24">
        <v>4.24012562802075</v>
      </c>
      <c r="AX259" s="24">
        <v>0.66894472650452619</v>
      </c>
      <c r="AY259" s="24">
        <v>42.559941769861929</v>
      </c>
      <c r="AZ259" s="24">
        <v>1.5922037363052368</v>
      </c>
      <c r="BA259" s="24">
        <v>27.954180946403842</v>
      </c>
      <c r="BB259" s="24">
        <v>7.9394857026994039</v>
      </c>
      <c r="BC259" s="24">
        <v>9.7672586441040039</v>
      </c>
      <c r="BD259" s="24">
        <v>9.6941329538822174E-2</v>
      </c>
      <c r="BE259" s="24">
        <v>3.5</v>
      </c>
      <c r="BF259" s="24">
        <v>4.7606260295710037</v>
      </c>
      <c r="BH259" s="24">
        <f t="shared" si="50"/>
        <v>4.3526194176595663</v>
      </c>
    </row>
    <row r="260" spans="3:60">
      <c r="C260" s="24">
        <v>3.75</v>
      </c>
      <c r="D260" s="24">
        <v>3.8547326307533067</v>
      </c>
      <c r="E260" s="24">
        <v>6.5092497861290489E-4</v>
      </c>
      <c r="F260" s="24">
        <v>4.0587038867890779E-2</v>
      </c>
      <c r="G260" s="24">
        <v>1.6246246099472046</v>
      </c>
      <c r="H260" s="24">
        <v>28.103722147329972</v>
      </c>
      <c r="I260" s="24">
        <v>0.38909321343088871</v>
      </c>
      <c r="J260" s="24">
        <v>5.033257007598877</v>
      </c>
      <c r="K260" s="24">
        <v>1.672234502620995E-3</v>
      </c>
      <c r="L260" s="24">
        <v>3.75</v>
      </c>
      <c r="M260" s="24">
        <v>3.8180934920535576</v>
      </c>
      <c r="N260" s="24">
        <v>4.6234937519647223E-4</v>
      </c>
      <c r="O260" s="24">
        <v>2.8828646319967139E-2</v>
      </c>
      <c r="P260" s="24">
        <v>1.6246337890625</v>
      </c>
      <c r="Q260" s="24">
        <v>28.103764344073582</v>
      </c>
      <c r="R260" s="24">
        <v>0.15430378489448138</v>
      </c>
      <c r="S260" s="24">
        <v>4.8972663879394531</v>
      </c>
      <c r="T260" s="24">
        <v>2.9677269048988819E-3</v>
      </c>
      <c r="U260" s="24">
        <v>3.75</v>
      </c>
      <c r="V260" s="24">
        <v>4.1303337001232938</v>
      </c>
      <c r="W260" s="24">
        <v>5.7398071113917412E-2</v>
      </c>
      <c r="X260" s="24">
        <v>3.585030487208607</v>
      </c>
      <c r="Y260" s="24">
        <v>1.6218619346618652</v>
      </c>
      <c r="Z260" s="24">
        <v>28.091024084946589</v>
      </c>
      <c r="AA260" s="24">
        <v>0.76901841773830226</v>
      </c>
      <c r="AB260" s="24">
        <v>5.2512145042419434</v>
      </c>
      <c r="AC260" s="24">
        <v>0.12941549718379974</v>
      </c>
      <c r="AD260" s="24">
        <v>3.75</v>
      </c>
      <c r="AE260" s="24">
        <v>3.9362513847189105</v>
      </c>
      <c r="AF260" s="24">
        <v>3.3578226726735244E-2</v>
      </c>
      <c r="AG260" s="24">
        <v>2.0957668512741612</v>
      </c>
      <c r="AH260" s="24">
        <v>1.6230213642120361</v>
      </c>
      <c r="AI260" s="24">
        <v>28.096354148052665</v>
      </c>
      <c r="AJ260" s="24">
        <v>0.45273656290159259</v>
      </c>
      <c r="AK260" s="24">
        <v>5.0682110786437988</v>
      </c>
      <c r="AL260" s="24">
        <v>7.7754653990268707E-2</v>
      </c>
      <c r="AM260" s="24">
        <v>3.75</v>
      </c>
      <c r="AN260" s="24">
        <v>5.019426939144477</v>
      </c>
      <c r="AO260" s="24">
        <v>0.92377869649445798</v>
      </c>
      <c r="AP260" s="24">
        <v>59.230593572474078</v>
      </c>
      <c r="AQ260" s="24">
        <v>1.5799062252044678</v>
      </c>
      <c r="AR260" s="24">
        <v>27.897157855927681</v>
      </c>
      <c r="AS260" s="24">
        <v>10.406402776022315</v>
      </c>
      <c r="AT260" s="24">
        <v>11.526774406433105</v>
      </c>
      <c r="AU260" s="24">
        <v>0.10722238570451736</v>
      </c>
      <c r="AV260" s="24">
        <v>3.75</v>
      </c>
      <c r="AW260" s="24">
        <v>4.4909946927440192</v>
      </c>
      <c r="AX260" s="24">
        <v>0.58426817884572524</v>
      </c>
      <c r="AY260" s="24">
        <v>37.077266753597648</v>
      </c>
      <c r="AZ260" s="24">
        <v>1.5962979793548584</v>
      </c>
      <c r="BA260" s="24">
        <v>27.973128649641943</v>
      </c>
      <c r="BB260" s="24">
        <v>7.0549116856973031</v>
      </c>
      <c r="BC260" s="24">
        <v>9.166254997253418</v>
      </c>
      <c r="BD260" s="24">
        <v>9.3085944652557373E-2</v>
      </c>
      <c r="BE260" s="24">
        <v>3.75</v>
      </c>
      <c r="BF260" s="24">
        <v>5.019426939144477</v>
      </c>
      <c r="BH260" s="24">
        <f t="shared" si="50"/>
        <v>4.6223620988725003</v>
      </c>
    </row>
    <row r="261" spans="3:60">
      <c r="C261" s="24">
        <v>4</v>
      </c>
      <c r="D261" s="24">
        <v>4.054806118567063</v>
      </c>
      <c r="E261" s="24">
        <v>9.1763140790296842E-5</v>
      </c>
      <c r="F261" s="24">
        <v>5.7215990486146661E-3</v>
      </c>
      <c r="G261" s="24">
        <v>1.6246517896652222</v>
      </c>
      <c r="H261" s="24">
        <v>28.103847268545444</v>
      </c>
      <c r="I261" s="24">
        <v>0.41830045500003793</v>
      </c>
      <c r="J261" s="24">
        <v>5.0502562522888184</v>
      </c>
      <c r="K261" s="24">
        <v>2.1941642626188695E-4</v>
      </c>
      <c r="L261" s="24">
        <v>4</v>
      </c>
      <c r="M261" s="24">
        <v>4.0583153487330144</v>
      </c>
      <c r="N261" s="24">
        <v>9.7113917652379001E-5</v>
      </c>
      <c r="O261" s="24">
        <v>6.0552307078975678E-3</v>
      </c>
      <c r="P261" s="24">
        <v>1.6246515512466431</v>
      </c>
      <c r="Q261" s="24">
        <v>28.103846071225348</v>
      </c>
      <c r="R261" s="24">
        <v>0.23898393383876412</v>
      </c>
      <c r="S261" s="24">
        <v>4.946263313293457</v>
      </c>
      <c r="T261" s="24">
        <v>4.0443020407110453E-4</v>
      </c>
      <c r="U261" s="24">
        <v>4</v>
      </c>
      <c r="V261" s="24">
        <v>4.3646835396711365</v>
      </c>
      <c r="W261" s="24">
        <v>3.4193705072968067E-2</v>
      </c>
      <c r="X261" s="24">
        <v>2.1342209974676654</v>
      </c>
      <c r="Y261" s="24">
        <v>1.6229914426803589</v>
      </c>
      <c r="Z261" s="24">
        <v>28.096216425136742</v>
      </c>
      <c r="AA261" s="24">
        <v>0.46144809111263424</v>
      </c>
      <c r="AB261" s="24">
        <v>5.0732383728027344</v>
      </c>
      <c r="AC261" s="24">
        <v>7.6444819569587708E-2</v>
      </c>
      <c r="AD261" s="24">
        <v>4</v>
      </c>
      <c r="AE261" s="24">
        <v>4.1757510304837595</v>
      </c>
      <c r="AF261" s="24">
        <v>1.9743997315320418E-2</v>
      </c>
      <c r="AG261" s="24">
        <v>1.2317997497339694</v>
      </c>
      <c r="AH261" s="24">
        <v>1.623694896697998</v>
      </c>
      <c r="AI261" s="24">
        <v>28.099449773472724</v>
      </c>
      <c r="AJ261" s="24">
        <v>0.26691237078672159</v>
      </c>
      <c r="AK261" s="24">
        <v>4.9612340927124023</v>
      </c>
      <c r="AL261" s="24">
        <v>6.8389251828193665E-2</v>
      </c>
      <c r="AM261" s="24">
        <v>4</v>
      </c>
      <c r="AN261" s="24">
        <v>5.2859730962289202</v>
      </c>
      <c r="AO261" s="24">
        <v>0.81824397874342047</v>
      </c>
      <c r="AP261" s="24">
        <v>52.295516537263879</v>
      </c>
      <c r="AQ261" s="24">
        <v>1.5849946737289429</v>
      </c>
      <c r="AR261" s="24">
        <v>27.920772901280273</v>
      </c>
      <c r="AS261" s="24">
        <v>9.4205554250345926</v>
      </c>
      <c r="AT261" s="24">
        <v>10.807826995849609</v>
      </c>
      <c r="AU261" s="24">
        <v>0.10177264362573624</v>
      </c>
      <c r="AV261" s="24">
        <v>4</v>
      </c>
      <c r="AW261" s="24">
        <v>4.7401981892253078</v>
      </c>
      <c r="AX261" s="24">
        <v>0.51642532886149406</v>
      </c>
      <c r="AY261" s="24">
        <v>32.704740597583822</v>
      </c>
      <c r="AZ261" s="24">
        <v>1.5995811223983765</v>
      </c>
      <c r="BA261" s="24">
        <v>27.988309549476309</v>
      </c>
      <c r="BB261" s="24">
        <v>6.3213310516188441</v>
      </c>
      <c r="BC261" s="24">
        <v>8.6784830093383789</v>
      </c>
      <c r="BD261" s="24">
        <v>9.1514617204666138E-2</v>
      </c>
      <c r="BE261" s="24">
        <v>4</v>
      </c>
      <c r="BF261" s="24">
        <v>5.2859730962289202</v>
      </c>
      <c r="BH261" s="24">
        <f t="shared" si="50"/>
        <v>4.887639728834916</v>
      </c>
    </row>
    <row r="262" spans="3:60">
      <c r="C262" s="24"/>
      <c r="D262" s="24"/>
      <c r="E262" s="24"/>
      <c r="F262" s="24"/>
      <c r="G262" s="24"/>
      <c r="H262" s="24"/>
      <c r="I262" s="24"/>
      <c r="J262" s="24"/>
      <c r="L262" s="24"/>
      <c r="M262" s="24"/>
      <c r="N262" s="24"/>
      <c r="O262" s="24"/>
      <c r="P262" s="24"/>
      <c r="Q262" s="24"/>
      <c r="R262" s="24"/>
      <c r="S262" s="24"/>
      <c r="T262" s="24"/>
      <c r="U262" s="24">
        <v>4.25</v>
      </c>
      <c r="V262" s="24">
        <v>4.5501116773459422</v>
      </c>
      <c r="W262" s="24">
        <v>1.7704740626670084E-2</v>
      </c>
      <c r="X262" s="24">
        <v>1.1045059021544406</v>
      </c>
      <c r="Y262" s="24">
        <v>1.6237941980361938</v>
      </c>
      <c r="Z262" s="24">
        <v>28.099906089083493</v>
      </c>
      <c r="AA262" s="24">
        <v>0.40465611506328425</v>
      </c>
      <c r="AB262" s="24">
        <v>5.0412478446960449</v>
      </c>
      <c r="AC262" s="24">
        <v>4.3931316584348679E-2</v>
      </c>
      <c r="AD262" s="24">
        <v>4.25</v>
      </c>
      <c r="AE262" s="24">
        <v>4.4164116772611743</v>
      </c>
      <c r="AF262" s="24">
        <v>1.1293566464363265E-2</v>
      </c>
      <c r="AG262" s="24">
        <v>0.70441095575699564</v>
      </c>
      <c r="AH262" s="24">
        <v>1.6241062879562378</v>
      </c>
      <c r="AI262" s="24">
        <v>28.101340689675911</v>
      </c>
      <c r="AJ262" s="24">
        <v>0.15368644815498583</v>
      </c>
      <c r="AK262" s="24">
        <v>4.8962507247924805</v>
      </c>
      <c r="AL262" s="24">
        <v>7.7979438006877899E-2</v>
      </c>
      <c r="AM262" s="24">
        <v>4.25</v>
      </c>
      <c r="AN262" s="24">
        <v>5.5007425551037805</v>
      </c>
      <c r="AO262" s="24">
        <v>0.70853048429628707</v>
      </c>
      <c r="AP262" s="24">
        <v>45.132703166837345</v>
      </c>
      <c r="AQ262" s="24">
        <v>1.5902911424636841</v>
      </c>
      <c r="AR262" s="24">
        <v>27.945323013341714</v>
      </c>
      <c r="AS262" s="24">
        <v>8.3423406625022807</v>
      </c>
      <c r="AT262" s="24">
        <v>10.045888900756836</v>
      </c>
      <c r="AU262" s="24">
        <v>9.7815021872520447E-2</v>
      </c>
      <c r="AV262" s="24">
        <v>4.25</v>
      </c>
      <c r="AW262" s="24">
        <v>4.9909619024217733</v>
      </c>
      <c r="AX262" s="24">
        <v>0.45105503406889985</v>
      </c>
      <c r="AY262" s="24">
        <v>28.508476079653338</v>
      </c>
      <c r="AZ262" s="24">
        <v>1.6027469635009766</v>
      </c>
      <c r="BA262" s="24">
        <v>28.002937176376122</v>
      </c>
      <c r="BB262" s="24">
        <v>5.5934614078683387</v>
      </c>
      <c r="BC262" s="24">
        <v>8.2034816741943359</v>
      </c>
      <c r="BD262" s="24">
        <v>8.7992765009403229E-2</v>
      </c>
      <c r="BE262" s="24">
        <v>4.25</v>
      </c>
      <c r="BF262" s="24">
        <v>5.5007425551037805</v>
      </c>
      <c r="BH262" s="24">
        <f t="shared" si="50"/>
        <v>5.1416921550120449</v>
      </c>
    </row>
    <row r="263" spans="3:60">
      <c r="C263" s="24" t="s">
        <v>269</v>
      </c>
      <c r="D263" s="24"/>
      <c r="E263" s="24"/>
      <c r="F263" s="24"/>
      <c r="G263" s="24"/>
      <c r="H263" s="24"/>
      <c r="I263" s="24"/>
      <c r="J263" s="24"/>
      <c r="L263" s="24"/>
      <c r="M263" s="24"/>
      <c r="N263" s="24"/>
      <c r="O263" s="24"/>
      <c r="P263" s="24"/>
      <c r="Q263" s="24"/>
      <c r="R263" s="24"/>
      <c r="S263" s="24"/>
      <c r="U263" s="24">
        <v>4.5</v>
      </c>
      <c r="V263" s="24">
        <v>4.8701184501951129</v>
      </c>
      <c r="W263" s="24">
        <v>1.1688674827461764E-2</v>
      </c>
      <c r="X263" s="24">
        <v>0.72906359273740851</v>
      </c>
      <c r="Y263" s="24">
        <v>1.6240870952606201</v>
      </c>
      <c r="Z263" s="24">
        <v>28.101252277993837</v>
      </c>
      <c r="AA263" s="24">
        <v>0.47971573796317363</v>
      </c>
      <c r="AB263" s="24">
        <v>5.0852484703063965</v>
      </c>
      <c r="AC263" s="24">
        <v>2.4397848173975945E-2</v>
      </c>
      <c r="AD263" s="24">
        <v>4.5</v>
      </c>
      <c r="AE263" s="24">
        <v>4.6580343644961317</v>
      </c>
      <c r="AF263" s="24">
        <v>6.2792229541859665E-3</v>
      </c>
      <c r="AG263" s="24">
        <v>0.39159361937198478</v>
      </c>
      <c r="AH263" s="24">
        <v>1.6243504285812378</v>
      </c>
      <c r="AI263" s="24">
        <v>28.102462727541077</v>
      </c>
      <c r="AJ263" s="24">
        <v>0.14451826115454261</v>
      </c>
      <c r="AK263" s="24">
        <v>4.891258716583252</v>
      </c>
      <c r="AL263" s="24">
        <v>4.3507866561412811E-2</v>
      </c>
      <c r="AM263" s="24">
        <v>4.5</v>
      </c>
      <c r="AN263" s="24">
        <v>5.7653890977424638</v>
      </c>
      <c r="AO263" s="24">
        <v>0.6247721875732849</v>
      </c>
      <c r="AP263" s="24">
        <v>39.696337543757629</v>
      </c>
      <c r="AQ263" s="24">
        <v>1.59433913230896</v>
      </c>
      <c r="AR263" s="24">
        <v>27.964065243556757</v>
      </c>
      <c r="AS263" s="24">
        <v>7.4824433864654472</v>
      </c>
      <c r="AT263" s="24">
        <v>9.454925537109375</v>
      </c>
      <c r="AU263" s="24">
        <v>9.1834157705307007E-2</v>
      </c>
      <c r="AV263" s="24">
        <v>4.5</v>
      </c>
      <c r="AW263" s="24">
        <v>5.2405438903589205</v>
      </c>
      <c r="AX263" s="24">
        <v>0.39868035388107287</v>
      </c>
      <c r="AY263" s="24">
        <v>25.158345074280831</v>
      </c>
      <c r="AZ263" s="24">
        <v>1.6052852869033813</v>
      </c>
      <c r="BA263" s="24">
        <v>28.014656831048256</v>
      </c>
      <c r="BB263" s="24">
        <v>4.9955878847157731</v>
      </c>
      <c r="BC263" s="24">
        <v>7.8196706771850586</v>
      </c>
      <c r="BD263" s="24">
        <v>8.6862087249755859E-2</v>
      </c>
      <c r="BE263" s="24">
        <v>4.5</v>
      </c>
      <c r="BF263" s="24">
        <v>5.7653890977424638</v>
      </c>
      <c r="BH263" s="24">
        <f t="shared" si="50"/>
        <v>5.3928829220549108</v>
      </c>
    </row>
    <row r="264" spans="3:60">
      <c r="C264" s="25" t="s">
        <v>237</v>
      </c>
      <c r="D264" s="24" t="s">
        <v>154</v>
      </c>
      <c r="E264" s="24" t="s">
        <v>155</v>
      </c>
      <c r="F264" s="24" t="s">
        <v>156</v>
      </c>
      <c r="G264" s="24" t="s">
        <v>159</v>
      </c>
      <c r="H264" s="24" t="s">
        <v>238</v>
      </c>
      <c r="I264" s="24" t="s">
        <v>157</v>
      </c>
      <c r="J264" s="24" t="s">
        <v>160</v>
      </c>
      <c r="K264" s="24" t="s">
        <v>265</v>
      </c>
      <c r="L264" s="25" t="s">
        <v>237</v>
      </c>
      <c r="M264" s="24" t="s">
        <v>154</v>
      </c>
      <c r="N264" s="24" t="s">
        <v>155</v>
      </c>
      <c r="O264" s="24" t="s">
        <v>156</v>
      </c>
      <c r="P264" s="24" t="s">
        <v>159</v>
      </c>
      <c r="Q264" s="24" t="s">
        <v>238</v>
      </c>
      <c r="R264" s="24" t="s">
        <v>157</v>
      </c>
      <c r="S264" s="24" t="s">
        <v>160</v>
      </c>
      <c r="T264" s="25" t="s">
        <v>265</v>
      </c>
      <c r="U264" s="24">
        <v>4.75</v>
      </c>
      <c r="V264" s="24">
        <v>5.0352077414230161</v>
      </c>
      <c r="W264" s="24">
        <v>5.4933968649543427E-3</v>
      </c>
      <c r="X264" s="24">
        <v>0.34257877142091359</v>
      </c>
      <c r="Y264" s="24">
        <v>1.6243886947631836</v>
      </c>
      <c r="Z264" s="24">
        <v>28.102638568431466</v>
      </c>
      <c r="AA264" s="24">
        <v>0.42402963179116149</v>
      </c>
      <c r="AB264" s="24">
        <v>5.053253173828125</v>
      </c>
      <c r="AC264" s="24">
        <v>1.2958949431777E-2</v>
      </c>
      <c r="AD264" s="24">
        <v>4.75</v>
      </c>
      <c r="AE264" s="24">
        <v>4.9005196685079451</v>
      </c>
      <c r="AF264" s="24">
        <v>3.3807941611646119E-3</v>
      </c>
      <c r="AG264" s="24">
        <v>0.21081946068857557</v>
      </c>
      <c r="AH264" s="24">
        <v>1.6244915723800659</v>
      </c>
      <c r="AI264" s="24">
        <v>28.103111296361433</v>
      </c>
      <c r="AJ264" s="24">
        <v>0.14421974361243797</v>
      </c>
      <c r="AK264" s="24">
        <v>4.8912625312805176</v>
      </c>
      <c r="AL264" s="24">
        <v>2.3196032270789146E-2</v>
      </c>
      <c r="AM264" s="24">
        <v>4.75</v>
      </c>
      <c r="AN264" s="24">
        <v>5.999788575507746</v>
      </c>
      <c r="AO264" s="24">
        <v>0.54480134756390663</v>
      </c>
      <c r="AP264" s="24">
        <v>34.531418919977341</v>
      </c>
      <c r="AQ264" s="24">
        <v>1.5982075929641724</v>
      </c>
      <c r="AR264" s="24">
        <v>27.98195997103555</v>
      </c>
      <c r="AS264" s="24">
        <v>6.6305764653324823</v>
      </c>
      <c r="AT264" s="24">
        <v>8.8829679489135742</v>
      </c>
      <c r="AU264" s="24">
        <v>9.214375913143158E-2</v>
      </c>
      <c r="AV264" s="24">
        <v>4.75</v>
      </c>
      <c r="AW264" s="24">
        <v>5.4912542476080288</v>
      </c>
      <c r="AX264" s="24">
        <v>0.34821448630119028</v>
      </c>
      <c r="AY264" s="24">
        <v>21.940297910557724</v>
      </c>
      <c r="AZ264" s="24">
        <v>1.6077324151992798</v>
      </c>
      <c r="BA264" s="24">
        <v>28.025949359014913</v>
      </c>
      <c r="BB264" s="24">
        <v>4.4077809941943071</v>
      </c>
      <c r="BC264" s="24">
        <v>7.4476690292358398</v>
      </c>
      <c r="BD264" s="24">
        <v>8.3419091999530792E-2</v>
      </c>
      <c r="BE264" s="24">
        <v>4.75</v>
      </c>
      <c r="BF264" s="24">
        <v>5.999788575507746</v>
      </c>
      <c r="BH264" s="24">
        <f t="shared" si="50"/>
        <v>5.6379733311457274</v>
      </c>
    </row>
    <row r="265" spans="3:60">
      <c r="C265" s="24">
        <v>0</v>
      </c>
      <c r="D265" s="24">
        <v>0.4045734678429872</v>
      </c>
      <c r="E265" s="24">
        <v>4.7364948148148027</v>
      </c>
      <c r="F265" s="24">
        <v>342.68739813077167</v>
      </c>
      <c r="G265" s="24">
        <v>1.400130033493042</v>
      </c>
      <c r="H265" s="24">
        <v>27.044002932416195</v>
      </c>
      <c r="I265" s="24">
        <v>25.099039986812457</v>
      </c>
      <c r="J265" s="24">
        <v>28.12939453125</v>
      </c>
      <c r="K265" s="24">
        <v>0.84941011667251587</v>
      </c>
      <c r="L265" s="24">
        <v>0</v>
      </c>
      <c r="M265" s="24">
        <v>0.49290811704776255</v>
      </c>
      <c r="N265" s="24">
        <v>5.7123555555555523</v>
      </c>
      <c r="O265" s="24">
        <v>426.94233003503166</v>
      </c>
      <c r="P265" s="24">
        <v>1.3553625345230103</v>
      </c>
      <c r="Q265" s="24">
        <v>26.825638813560339</v>
      </c>
      <c r="R265" s="24">
        <v>26.024354325510053</v>
      </c>
      <c r="S265" s="24">
        <v>30.120397567749023</v>
      </c>
      <c r="T265" s="19">
        <v>1.3153897523880005</v>
      </c>
      <c r="U265" s="24">
        <v>5</v>
      </c>
      <c r="V265" s="24">
        <v>5.2193153234778391</v>
      </c>
      <c r="W265" s="24">
        <v>2.4432465641014123E-3</v>
      </c>
      <c r="X265" s="24">
        <v>0.15235161401510516</v>
      </c>
      <c r="Y265" s="24">
        <v>1.6245372295379639</v>
      </c>
      <c r="Z265" s="24">
        <v>28.103321087314558</v>
      </c>
      <c r="AA265" s="24">
        <v>0.37033493731318012</v>
      </c>
      <c r="AB265" s="24">
        <v>5.0222568511962891</v>
      </c>
      <c r="AC265" s="24">
        <v>6.5918085165321827E-3</v>
      </c>
      <c r="AD265" s="24">
        <v>5</v>
      </c>
      <c r="AE265" s="24">
        <v>5.1434118337578187</v>
      </c>
      <c r="AF265" s="24">
        <v>1.7583349442018982E-3</v>
      </c>
      <c r="AG265" s="24">
        <v>0.10964086507070908</v>
      </c>
      <c r="AH265" s="24">
        <v>1.6245706081390381</v>
      </c>
      <c r="AI265" s="24">
        <v>28.103474347012515</v>
      </c>
      <c r="AJ265" s="24">
        <v>0.1475146090292011</v>
      </c>
      <c r="AK265" s="24">
        <v>4.8932647705078125</v>
      </c>
      <c r="AL265" s="24">
        <v>1.1798638850450516E-2</v>
      </c>
      <c r="AM265" s="24">
        <v>5</v>
      </c>
      <c r="AN265" s="24">
        <v>6.2207211052463638</v>
      </c>
      <c r="AO265" s="24">
        <v>0.47163358248587461</v>
      </c>
      <c r="AP265" s="24">
        <v>29.827674573010043</v>
      </c>
      <c r="AQ265" s="24">
        <v>1.6017501354217529</v>
      </c>
      <c r="AR265" s="24">
        <v>27.998332403989242</v>
      </c>
      <c r="AS265" s="24">
        <v>5.8240306066674892</v>
      </c>
      <c r="AT265" s="24">
        <v>8.3530063629150391</v>
      </c>
      <c r="AU265" s="24">
        <v>9.5027826726436615E-2</v>
      </c>
      <c r="AV265" s="24">
        <v>5</v>
      </c>
      <c r="AW265" s="24">
        <v>5.7410098845892694</v>
      </c>
      <c r="AX265" s="24">
        <v>0.30778123319618766</v>
      </c>
      <c r="AY265" s="24">
        <v>19.369046392035752</v>
      </c>
      <c r="AZ265" s="24">
        <v>1.6096940040588379</v>
      </c>
      <c r="BA265" s="24">
        <v>28.034996932421798</v>
      </c>
      <c r="BB265" s="24">
        <v>3.9263921212718427</v>
      </c>
      <c r="BC265" s="24">
        <v>7.1468052864074707</v>
      </c>
      <c r="BD265" s="24">
        <v>8.3451077342033386E-2</v>
      </c>
      <c r="BE265" s="24">
        <v>5</v>
      </c>
      <c r="BF265" s="24">
        <v>6.2207211052463638</v>
      </c>
      <c r="BH265">
        <f t="shared" si="50"/>
        <v>5.8716603334000883</v>
      </c>
    </row>
    <row r="266" spans="3:60">
      <c r="C266" s="24">
        <v>0.25</v>
      </c>
      <c r="D266" s="24">
        <v>0.56972875400610057</v>
      </c>
      <c r="E266" s="24">
        <v>3.5205035720164779</v>
      </c>
      <c r="F266" s="24">
        <v>244.8323507329803</v>
      </c>
      <c r="G266" s="24">
        <v>1.4566172361373901</v>
      </c>
      <c r="H266" s="24">
        <v>27.316100010600255</v>
      </c>
      <c r="I266" s="24">
        <v>23.152893782176772</v>
      </c>
      <c r="J266" s="24">
        <v>24.673223495483398</v>
      </c>
      <c r="K266" s="24">
        <v>0.46195137500762939</v>
      </c>
      <c r="L266" s="24">
        <v>0.25</v>
      </c>
      <c r="M266" s="24">
        <v>0.58666753106820935</v>
      </c>
      <c r="N266" s="24">
        <v>3.6892296296296205</v>
      </c>
      <c r="O266" s="24">
        <v>257.9627528755957</v>
      </c>
      <c r="P266" s="24">
        <v>1.4487322568893433</v>
      </c>
      <c r="Q266" s="24">
        <v>27.27834491362735</v>
      </c>
      <c r="R266" s="24">
        <v>23.500847393169181</v>
      </c>
      <c r="S266" s="24">
        <v>25.235395431518555</v>
      </c>
      <c r="T266" s="24">
        <v>0.50102871656417847</v>
      </c>
      <c r="U266" s="24">
        <v>5.25</v>
      </c>
      <c r="V266" s="24">
        <v>5.4445313982846253</v>
      </c>
      <c r="W266" s="24">
        <v>1.1673289139595637E-3</v>
      </c>
      <c r="X266" s="24">
        <v>7.278743165830194E-2</v>
      </c>
      <c r="Y266" s="24">
        <v>1.6245994567871094</v>
      </c>
      <c r="Z266" s="24">
        <v>28.103606593864598</v>
      </c>
      <c r="AA266" s="24">
        <v>0.37020090061606814</v>
      </c>
      <c r="AB266" s="24">
        <v>5.0222573280334473</v>
      </c>
      <c r="AC266" s="24">
        <v>3.1505734659731388E-3</v>
      </c>
      <c r="AD266" s="24">
        <v>5.25</v>
      </c>
      <c r="AE266" s="24">
        <v>5.3871470829630299</v>
      </c>
      <c r="AF266" s="24">
        <v>8.9307058561324251E-4</v>
      </c>
      <c r="AG266" s="24">
        <v>5.5685915975779723E-2</v>
      </c>
      <c r="AH266" s="24">
        <v>1.6246128082275391</v>
      </c>
      <c r="AI266" s="24">
        <v>28.103667963459365</v>
      </c>
      <c r="AJ266" s="24">
        <v>0.15607873741804495</v>
      </c>
      <c r="AK266" s="24">
        <v>4.8982658386230469</v>
      </c>
      <c r="AL266" s="24">
        <v>5.6680310517549515E-3</v>
      </c>
      <c r="AM266" s="24">
        <v>5.25</v>
      </c>
      <c r="AN266" s="24">
        <v>6.494867379207224</v>
      </c>
      <c r="AO266" s="24">
        <v>0.41889836703024641</v>
      </c>
      <c r="AP266" s="24">
        <v>26.450331071965778</v>
      </c>
      <c r="AQ266" s="24">
        <v>1.6043052673339844</v>
      </c>
      <c r="AR266" s="24">
        <v>28.010132734072098</v>
      </c>
      <c r="AS266" s="24">
        <v>5.2277094054034094</v>
      </c>
      <c r="AT266" s="24">
        <v>7.9680185317993164</v>
      </c>
      <c r="AU266" s="24">
        <v>8.8338546454906464E-2</v>
      </c>
      <c r="AV266" s="24">
        <v>5.25</v>
      </c>
      <c r="AW266" s="24">
        <v>5.9916001212410448</v>
      </c>
      <c r="AX266" s="24">
        <v>0.27271754840168538</v>
      </c>
      <c r="AY266" s="24">
        <v>17.144319813338036</v>
      </c>
      <c r="AZ266" s="24">
        <v>1.6113959550857544</v>
      </c>
      <c r="BA266" s="24">
        <v>28.042842980853031</v>
      </c>
      <c r="BB266" s="24">
        <v>3.5044123306094717</v>
      </c>
      <c r="BC266" s="24">
        <v>6.8858070373535156</v>
      </c>
      <c r="BD266" s="24">
        <v>7.9917944967746735E-2</v>
      </c>
      <c r="BE266" s="24">
        <v>5.25</v>
      </c>
      <c r="BF266" s="24">
        <v>6.494867379207224</v>
      </c>
      <c r="BH266" s="24">
        <f t="shared" si="50"/>
        <v>6.1201915394259503</v>
      </c>
    </row>
    <row r="267" spans="3:60">
      <c r="C267" s="24">
        <v>0.5</v>
      </c>
      <c r="D267" s="24">
        <v>0.75497502989768128</v>
      </c>
      <c r="E267" s="24">
        <v>2.2838138556927445</v>
      </c>
      <c r="F267" s="24">
        <v>152.71888437612381</v>
      </c>
      <c r="G267" s="24">
        <v>1.5148770809173584</v>
      </c>
      <c r="H267" s="24">
        <v>27.592828696291765</v>
      </c>
      <c r="I267" s="24">
        <v>19.295568584269372</v>
      </c>
      <c r="J267" s="24">
        <v>19.523017883300781</v>
      </c>
      <c r="K267" s="24">
        <v>0.22677150368690491</v>
      </c>
      <c r="L267" s="24">
        <v>0.5</v>
      </c>
      <c r="M267" s="24">
        <v>0.71992648601718001</v>
      </c>
      <c r="N267" s="24">
        <v>2.0153190399999983</v>
      </c>
      <c r="O267" s="24">
        <v>133.63913320483363</v>
      </c>
      <c r="P267" s="24">
        <v>1.5276349782943726</v>
      </c>
      <c r="Q267" s="24">
        <v>27.652908614868679</v>
      </c>
      <c r="R267" s="24">
        <v>18.025753261001242</v>
      </c>
      <c r="S267" s="24">
        <v>18.139017105102539</v>
      </c>
      <c r="T267" s="24">
        <v>0.19448958337306976</v>
      </c>
      <c r="U267" s="24">
        <v>5.5</v>
      </c>
      <c r="V267" s="24">
        <v>5.6443824980601454</v>
      </c>
      <c r="W267" s="24">
        <v>4.7047879763244878E-4</v>
      </c>
      <c r="X267" s="24">
        <v>2.9335543402257032E-2</v>
      </c>
      <c r="Y267" s="24">
        <v>1.6246333122253418</v>
      </c>
      <c r="Z267" s="24">
        <v>28.103762524988039</v>
      </c>
      <c r="AA267" s="24">
        <v>0.34600406303455794</v>
      </c>
      <c r="AB267" s="24">
        <v>5.0082588195800781</v>
      </c>
      <c r="AC267" s="24">
        <v>1.3578236103057861E-3</v>
      </c>
      <c r="AD267" s="24">
        <v>5.5</v>
      </c>
      <c r="AE267" s="24">
        <v>5.631358974976572</v>
      </c>
      <c r="AF267" s="24">
        <v>4.3683909787710622E-4</v>
      </c>
      <c r="AG267" s="24">
        <v>2.7237995544416801E-2</v>
      </c>
      <c r="AH267" s="24">
        <v>1.6246349811553955</v>
      </c>
      <c r="AI267" s="24">
        <v>28.103770052397522</v>
      </c>
      <c r="AJ267" s="24">
        <v>0.17852221326497358</v>
      </c>
      <c r="AK267" s="24">
        <v>4.9112658500671387</v>
      </c>
      <c r="AL267" s="24">
        <v>2.4278787896037102E-3</v>
      </c>
      <c r="AM267" s="24">
        <v>5.5</v>
      </c>
      <c r="AN267" s="24">
        <v>6.6496787841970191</v>
      </c>
      <c r="AO267" s="24">
        <v>0.35082791861206214</v>
      </c>
      <c r="AP267" s="24">
        <v>22.106708073951374</v>
      </c>
      <c r="AQ267" s="24">
        <v>1.6076055765151978</v>
      </c>
      <c r="AR267" s="24">
        <v>28.025364562619352</v>
      </c>
      <c r="AS267" s="24">
        <v>4.4386410395368125</v>
      </c>
      <c r="AT267" s="24">
        <v>7.467071533203125</v>
      </c>
      <c r="AU267" s="24">
        <v>8.2396656274795532E-2</v>
      </c>
      <c r="AV267" s="24">
        <v>5.5</v>
      </c>
      <c r="AW267" s="24">
        <v>6.2415059267251483</v>
      </c>
      <c r="AX267" s="24">
        <v>0.23883823696024126</v>
      </c>
      <c r="AY267" s="24">
        <v>14.999192907934907</v>
      </c>
      <c r="AZ267" s="24">
        <v>1.6130410432815552</v>
      </c>
      <c r="BA267" s="24">
        <v>28.050424007203919</v>
      </c>
      <c r="BB267" s="24">
        <v>3.0883782176464147</v>
      </c>
      <c r="BC267" s="24">
        <v>6.6308932304382324</v>
      </c>
      <c r="BD267" s="24">
        <v>8.3751119673252106E-2</v>
      </c>
      <c r="BE267" s="24">
        <v>5.5</v>
      </c>
      <c r="BF267" s="24">
        <v>6.6496787841970191</v>
      </c>
      <c r="BH267" s="24">
        <f t="shared" si="50"/>
        <v>6.341263961039588</v>
      </c>
    </row>
    <row r="268" spans="3:60">
      <c r="C268" s="24">
        <v>0.75</v>
      </c>
      <c r="D268" s="24">
        <v>0.96473500316934502</v>
      </c>
      <c r="E268" s="24">
        <v>1.2444709319111171</v>
      </c>
      <c r="F268" s="24">
        <v>80.579362426753036</v>
      </c>
      <c r="G268" s="24">
        <v>1.564481258392334</v>
      </c>
      <c r="H268" s="24">
        <v>27.825397947482635</v>
      </c>
      <c r="I268" s="24">
        <v>13.111919363816881</v>
      </c>
      <c r="J268" s="24">
        <v>13.628664970397949</v>
      </c>
      <c r="K268" s="24">
        <v>0.12668204307556152</v>
      </c>
      <c r="L268" s="24">
        <v>0.75</v>
      </c>
      <c r="M268" s="24">
        <v>0.89487767778936367</v>
      </c>
      <c r="N268" s="24">
        <v>0.90890888704000172</v>
      </c>
      <c r="O268" s="24">
        <v>58.250754542052867</v>
      </c>
      <c r="P268" s="24">
        <v>1.5806227922439575</v>
      </c>
      <c r="Q268" s="24">
        <v>27.900485208595452</v>
      </c>
      <c r="R268" s="24">
        <v>10.270282506067295</v>
      </c>
      <c r="S268" s="24">
        <v>11.42615795135498</v>
      </c>
      <c r="T268" s="24">
        <v>0.10906179994344711</v>
      </c>
      <c r="U268" s="24">
        <v>5.75</v>
      </c>
      <c r="V268" s="24">
        <v>5.7547474163310159</v>
      </c>
      <c r="W268" s="24">
        <v>9.3731652109858101E-6</v>
      </c>
      <c r="X268" s="24">
        <v>5.8443248833173135E-4</v>
      </c>
      <c r="Y268" s="24">
        <v>1.6246558427810669</v>
      </c>
      <c r="Z268" s="24">
        <v>28.10386570459238</v>
      </c>
      <c r="AA268" s="24">
        <v>0.18193705484356346</v>
      </c>
      <c r="AB268" s="24">
        <v>4.9132661819458008</v>
      </c>
      <c r="AC268" s="24">
        <v>5.1128081395290792E-5</v>
      </c>
      <c r="AD268" s="24">
        <v>5.75</v>
      </c>
      <c r="AE268" s="24">
        <v>5.7687866520048212</v>
      </c>
      <c r="AF268" s="24">
        <v>3.5383966928045454E-5</v>
      </c>
      <c r="AG268" s="24">
        <v>2.2062510898403997E-3</v>
      </c>
      <c r="AH268" s="24">
        <v>1.6246545314788818</v>
      </c>
      <c r="AI268" s="24">
        <v>28.103859884268271</v>
      </c>
      <c r="AJ268" s="24">
        <v>0.402803197486372</v>
      </c>
      <c r="AK268" s="24">
        <v>5.0412569046020508</v>
      </c>
      <c r="AL268" s="24">
        <v>8.7834159785415977E-5</v>
      </c>
      <c r="AM268" s="24">
        <v>5.75</v>
      </c>
      <c r="AN268" s="24">
        <v>6.9991432271386618</v>
      </c>
      <c r="AO268" s="24">
        <v>0.3228979289749816</v>
      </c>
      <c r="AP268" s="24">
        <v>20.329622305680772</v>
      </c>
      <c r="AQ268" s="24">
        <v>1.6089605093002319</v>
      </c>
      <c r="AR268" s="24">
        <v>28.031614335073694</v>
      </c>
      <c r="AS268" s="24">
        <v>4.10673337968844</v>
      </c>
      <c r="AT268" s="24">
        <v>7.2591209411621094</v>
      </c>
      <c r="AU268" s="24">
        <v>8.4788300096988678E-2</v>
      </c>
      <c r="AV268" s="24">
        <v>5.75</v>
      </c>
      <c r="AW268" s="24">
        <v>6.4912462037113654</v>
      </c>
      <c r="AX268" s="24">
        <v>0.21162881755970755</v>
      </c>
      <c r="AY268" s="24">
        <v>13.279543418552961</v>
      </c>
      <c r="AZ268" s="24">
        <v>1.6143627166748047</v>
      </c>
      <c r="BA268" s="24">
        <v>28.056512540786557</v>
      </c>
      <c r="BB268" s="24">
        <v>2.750987776755359</v>
      </c>
      <c r="BC268" s="24">
        <v>6.4258952140808105</v>
      </c>
      <c r="BD268" s="24">
        <v>8.3128049969673157E-2</v>
      </c>
      <c r="BE268" s="24">
        <v>5.75</v>
      </c>
      <c r="BF268" s="24">
        <v>6.9991432271386618</v>
      </c>
      <c r="BH268" s="24">
        <f t="shared" si="50"/>
        <v>6.5911026239473163</v>
      </c>
    </row>
    <row r="269" spans="3:60">
      <c r="C269" s="24">
        <v>1</v>
      </c>
      <c r="D269" s="24">
        <v>1.1649633063792597</v>
      </c>
      <c r="E269" s="24">
        <v>0.48993574411315743</v>
      </c>
      <c r="F269" s="24">
        <v>31.002320694396122</v>
      </c>
      <c r="G269" s="24">
        <v>1.6008636951446533</v>
      </c>
      <c r="H269" s="24">
        <v>27.994237008785756</v>
      </c>
      <c r="I269" s="24">
        <v>6.0280081648649135</v>
      </c>
      <c r="J269" s="24">
        <v>8.4860095977783203</v>
      </c>
      <c r="K269" s="24">
        <v>9.294264018535614E-2</v>
      </c>
      <c r="L269" s="24">
        <v>1</v>
      </c>
      <c r="M269" s="24">
        <v>1.0990655577149517</v>
      </c>
      <c r="N269" s="24">
        <v>0.32772132961393841</v>
      </c>
      <c r="O269" s="24">
        <v>20.636304666295679</v>
      </c>
      <c r="P269" s="24">
        <v>1.6087265014648437</v>
      </c>
      <c r="Q269" s="24">
        <v>28.030535023665372</v>
      </c>
      <c r="R269" s="24">
        <v>4.1655127200333295</v>
      </c>
      <c r="S269" s="24">
        <v>7.2958378791809082</v>
      </c>
      <c r="T269" s="24">
        <v>8.2424946129322052E-2</v>
      </c>
      <c r="AM269" s="24">
        <v>6</v>
      </c>
      <c r="AN269" s="24">
        <v>6.9844802002480773</v>
      </c>
      <c r="AO269" s="24">
        <v>0.24266510201403632</v>
      </c>
      <c r="AP269" s="24">
        <v>15.241278529425312</v>
      </c>
      <c r="AQ269" s="24">
        <v>1.6128551959991455</v>
      </c>
      <c r="AR269" s="24">
        <v>28.049567686234582</v>
      </c>
      <c r="AS269" s="24">
        <v>3.1363236493526245</v>
      </c>
      <c r="AT269" s="24">
        <v>6.660153865814209</v>
      </c>
      <c r="AU269" s="24">
        <v>8.0506622791290283E-2</v>
      </c>
      <c r="AV269" s="24">
        <v>6</v>
      </c>
      <c r="AW269" s="24">
        <v>6.7417644923535915</v>
      </c>
      <c r="AX269" s="24">
        <v>0.18533847188114722</v>
      </c>
      <c r="AY269" s="24">
        <v>11.620649591596662</v>
      </c>
      <c r="AZ269" s="24">
        <v>1.6156400442123413</v>
      </c>
      <c r="BA269" s="24">
        <v>28.062395417234846</v>
      </c>
      <c r="BB269" s="24">
        <v>2.4228897377330769</v>
      </c>
      <c r="BC269" s="24">
        <v>6.2279996871948242</v>
      </c>
      <c r="BD269" s="24">
        <v>7.8319527208805084E-2</v>
      </c>
      <c r="BE269" s="24">
        <v>6</v>
      </c>
      <c r="BF269" s="24"/>
      <c r="BH269" s="24">
        <f t="shared" si="50"/>
        <v>6.7145631301809674</v>
      </c>
    </row>
    <row r="270" spans="3:60">
      <c r="C270" s="24">
        <v>1.25</v>
      </c>
      <c r="D270" s="24">
        <v>1.3900136948001509</v>
      </c>
      <c r="E270" s="24">
        <v>0.15361941895363784</v>
      </c>
      <c r="F270" s="24">
        <v>9.6226951683063948</v>
      </c>
      <c r="G270" s="24">
        <v>1.6171817779541016</v>
      </c>
      <c r="H270" s="24">
        <v>28.069493051922148</v>
      </c>
      <c r="I270" s="24">
        <v>2.0205864519621719</v>
      </c>
      <c r="J270" s="24">
        <v>5.9872455596923828</v>
      </c>
      <c r="K270" s="24">
        <v>6.8630136549472809E-2</v>
      </c>
      <c r="L270" s="24">
        <v>1.25</v>
      </c>
      <c r="M270" s="24">
        <v>1.3202000041188329</v>
      </c>
      <c r="N270" s="24">
        <v>9.1306012181135612E-2</v>
      </c>
      <c r="O270" s="24">
        <v>5.7086964346288918</v>
      </c>
      <c r="P270" s="24">
        <v>1.6202120780944824</v>
      </c>
      <c r="Q270" s="24">
        <v>28.083436652268706</v>
      </c>
      <c r="R270" s="24">
        <v>1.2147493197746551</v>
      </c>
      <c r="S270" s="24">
        <v>5.511141300201416</v>
      </c>
      <c r="T270" s="24">
        <v>8.5764594376087189E-2</v>
      </c>
      <c r="AM270" s="24">
        <v>6.25</v>
      </c>
      <c r="AN270" s="24">
        <v>7.5250211254214667</v>
      </c>
      <c r="AO270" s="24">
        <v>0.25120820312962822</v>
      </c>
      <c r="AP270" s="24">
        <v>15.781912010878068</v>
      </c>
      <c r="AQ270" s="24">
        <v>1.6124403476715088</v>
      </c>
      <c r="AR270" s="24">
        <v>28.047656033608831</v>
      </c>
      <c r="AS270" s="24">
        <v>3.2409445058475379</v>
      </c>
      <c r="AT270" s="24">
        <v>6.7240986824035645</v>
      </c>
      <c r="AU270" s="24">
        <v>7.8724130988121033E-2</v>
      </c>
      <c r="AV270" s="24">
        <v>6.25</v>
      </c>
      <c r="AW270" s="24">
        <v>6.9915711328277865</v>
      </c>
      <c r="AX270" s="24">
        <v>0.16422396242633294</v>
      </c>
      <c r="AY270" s="24">
        <v>10.29024212840071</v>
      </c>
      <c r="AZ270" s="24">
        <v>1.616666316986084</v>
      </c>
      <c r="BA270" s="24">
        <v>28.067120119294973</v>
      </c>
      <c r="BB270" s="24">
        <v>2.155911057265691</v>
      </c>
      <c r="BC270" s="24">
        <v>6.0679984092712402</v>
      </c>
      <c r="BD270" s="24">
        <v>7.786858081817627E-2</v>
      </c>
      <c r="BE270" s="24">
        <v>6.25</v>
      </c>
      <c r="BF270" s="24">
        <v>7.5250211254214667</v>
      </c>
      <c r="BH270" s="24">
        <f t="shared" si="50"/>
        <v>7.0579477122523828</v>
      </c>
    </row>
    <row r="271" spans="3:60">
      <c r="C271" s="24">
        <v>1.5</v>
      </c>
      <c r="D271" s="24">
        <v>1.5849790395721273</v>
      </c>
      <c r="E271" s="24">
        <v>2.4960118991368418E-2</v>
      </c>
      <c r="F271" s="24">
        <v>1.557469715237694</v>
      </c>
      <c r="G271" s="24">
        <v>1.6234408617019653</v>
      </c>
      <c r="H271" s="24">
        <v>28.098282584583895</v>
      </c>
      <c r="I271" s="24">
        <v>0.39508511067889962</v>
      </c>
      <c r="J271" s="24">
        <v>5.0352439880371094</v>
      </c>
      <c r="K271" s="24">
        <v>6.3425265252590179E-2</v>
      </c>
      <c r="L271" s="24">
        <v>1.5</v>
      </c>
      <c r="M271" s="24">
        <v>1.5516952983637529</v>
      </c>
      <c r="N271" s="24">
        <v>1.693983003522373E-2</v>
      </c>
      <c r="O271" s="24">
        <v>1.0567629049449125</v>
      </c>
      <c r="P271" s="24">
        <v>1.6238313913345337</v>
      </c>
      <c r="Q271" s="24">
        <v>28.1000772498038</v>
      </c>
      <c r="R271" s="24">
        <v>0.22862576560384307</v>
      </c>
      <c r="S271" s="24">
        <v>4.9392404556274414</v>
      </c>
      <c r="T271" s="24">
        <v>0.11264874786138535</v>
      </c>
      <c r="AM271" s="24">
        <v>6.5</v>
      </c>
      <c r="AN271" s="24">
        <v>7.6045750385441613</v>
      </c>
      <c r="AO271" s="24">
        <v>0.20426198194260672</v>
      </c>
      <c r="AP271" s="24">
        <v>12.814439268925206</v>
      </c>
      <c r="AQ271" s="24">
        <v>1.6147205829620361</v>
      </c>
      <c r="AR271" s="24">
        <v>28.058160985591357</v>
      </c>
      <c r="AS271" s="24">
        <v>2.6604185599517605</v>
      </c>
      <c r="AT271" s="24">
        <v>6.371131420135498</v>
      </c>
      <c r="AU271" s="24">
        <v>7.7525772154331207E-2</v>
      </c>
      <c r="AV271" s="24">
        <v>6.5</v>
      </c>
      <c r="AW271" s="24">
        <v>7.2414112208201766</v>
      </c>
      <c r="AX271" s="24">
        <v>0.1445640080672948</v>
      </c>
      <c r="AY271" s="24">
        <v>9.0530012740262542</v>
      </c>
      <c r="AZ271" s="24">
        <v>1.6176220178604126</v>
      </c>
      <c r="BA271" s="24">
        <v>28.071519341879846</v>
      </c>
      <c r="BB271" s="24">
        <v>1.9043158005290441</v>
      </c>
      <c r="BC271" s="24">
        <v>5.9180474281311035</v>
      </c>
      <c r="BD271" s="24">
        <v>7.7675804495811462E-2</v>
      </c>
      <c r="BE271" s="24">
        <v>6.5</v>
      </c>
      <c r="BF271" s="24"/>
      <c r="BH271" s="24">
        <f t="shared" si="50"/>
        <v>7.2620821762800638</v>
      </c>
    </row>
    <row r="272" spans="3:60">
      <c r="C272" s="24">
        <v>1.75</v>
      </c>
      <c r="D272" s="24">
        <v>1.7944913662990791</v>
      </c>
      <c r="E272" s="24">
        <v>2.0173347272906309E-3</v>
      </c>
      <c r="F272" s="24">
        <v>0.12579175689680513</v>
      </c>
      <c r="G272" s="24">
        <v>1.6245579719543457</v>
      </c>
      <c r="H272" s="24">
        <v>28.103416391756138</v>
      </c>
      <c r="I272" s="24">
        <v>0.29615595200651568</v>
      </c>
      <c r="J272" s="24">
        <v>4.9792599678039551</v>
      </c>
      <c r="K272" s="24">
        <v>6.7927590571343899E-3</v>
      </c>
      <c r="L272" s="24">
        <v>1.75</v>
      </c>
      <c r="M272" s="24">
        <v>1.7896699867326891</v>
      </c>
      <c r="N272" s="24">
        <v>1.8507749187321174E-3</v>
      </c>
      <c r="O272" s="24">
        <v>0.11540527366281385</v>
      </c>
      <c r="P272" s="24">
        <v>1.6245660781860352</v>
      </c>
      <c r="Q272" s="24">
        <v>28.10345366212097</v>
      </c>
      <c r="R272" s="24">
        <v>0.14925501794621598</v>
      </c>
      <c r="S272" s="24">
        <v>4.8942646980285645</v>
      </c>
      <c r="T272" s="24">
        <v>1.2275995686650276E-2</v>
      </c>
      <c r="AM272" s="24">
        <v>6.75</v>
      </c>
      <c r="AN272" s="24">
        <v>7.9451458603640086</v>
      </c>
      <c r="AO272" s="24">
        <v>0.18787996570238494</v>
      </c>
      <c r="AP272" s="24">
        <v>11.780900820793265</v>
      </c>
      <c r="AQ272" s="24">
        <v>1.6155165433883667</v>
      </c>
      <c r="AR272" s="24">
        <v>28.061826718202617</v>
      </c>
      <c r="AS272" s="24">
        <v>2.454758184803687</v>
      </c>
      <c r="AT272" s="24">
        <v>6.247159481048584</v>
      </c>
      <c r="AU272" s="24">
        <v>7.7616184949874878E-2</v>
      </c>
      <c r="AV272" s="24">
        <v>6.75</v>
      </c>
      <c r="AW272" s="24">
        <v>7.4936005389042979</v>
      </c>
      <c r="AX272" s="24">
        <v>0.1280946906925397</v>
      </c>
      <c r="AY272" s="24">
        <v>8.0176776395577569</v>
      </c>
      <c r="AZ272" s="24">
        <v>1.6184227466583252</v>
      </c>
      <c r="BA272" s="24">
        <v>28.075204609486743</v>
      </c>
      <c r="BB272" s="24">
        <v>1.6935388790157817</v>
      </c>
      <c r="BC272" s="24">
        <v>5.7930479049682617</v>
      </c>
      <c r="BD272" s="24">
        <v>7.7328689396381378E-2</v>
      </c>
      <c r="BE272" s="24">
        <v>6.75</v>
      </c>
      <c r="BF272" s="24">
        <v>7.9451458603640086</v>
      </c>
      <c r="BH272" s="24">
        <f t="shared" si="50"/>
        <v>7.7350834928927377</v>
      </c>
    </row>
    <row r="273" spans="3:60">
      <c r="C273" s="24">
        <v>2</v>
      </c>
      <c r="D273" s="24">
        <v>2.0000995240654125</v>
      </c>
      <c r="E273" s="24">
        <v>3.9095634249818361E-7</v>
      </c>
      <c r="F273" s="24">
        <v>2.4376773631341255E-5</v>
      </c>
      <c r="G273" s="24">
        <v>1.6246562004089355</v>
      </c>
      <c r="H273" s="24">
        <v>28.103867714502243</v>
      </c>
      <c r="I273" s="24">
        <v>1.7360752165653498E-3</v>
      </c>
      <c r="J273" s="24">
        <v>4.8092737197875977</v>
      </c>
      <c r="K273" s="24">
        <v>6.7927590571343899E-3</v>
      </c>
      <c r="L273" s="24">
        <v>2</v>
      </c>
      <c r="M273" s="24">
        <v>2.0298529610988196</v>
      </c>
      <c r="N273" s="24">
        <v>1.0032476456023741E-4</v>
      </c>
      <c r="O273" s="24">
        <v>6.2554334979034636E-3</v>
      </c>
      <c r="P273" s="24">
        <v>1.6246514320373535</v>
      </c>
      <c r="Q273" s="24">
        <v>28.103845352748085</v>
      </c>
      <c r="R273" s="24">
        <v>0.22516296628578711</v>
      </c>
      <c r="S273" s="24">
        <v>4.9382638931274414</v>
      </c>
      <c r="T273" s="24">
        <v>4.4318733853287995E-4</v>
      </c>
      <c r="AM273" s="24">
        <v>7</v>
      </c>
      <c r="AN273" s="24">
        <v>7.8144338674358185</v>
      </c>
      <c r="AO273" s="24">
        <v>0.12462704391591552</v>
      </c>
      <c r="AP273" s="24">
        <v>7.7998187000777088</v>
      </c>
      <c r="AQ273" s="24">
        <v>1.6185914278030396</v>
      </c>
      <c r="AR273" s="24">
        <v>28.075980549742631</v>
      </c>
      <c r="AS273" s="24">
        <v>1.6481211930969908</v>
      </c>
      <c r="AT273" s="24">
        <v>5.7661819458007813</v>
      </c>
      <c r="AU273" s="24">
        <v>7.8694522380828857E-2</v>
      </c>
      <c r="AV273" s="24">
        <v>7</v>
      </c>
      <c r="AW273" s="24">
        <v>7.7428340503174367</v>
      </c>
      <c r="AX273" s="24">
        <v>0.11275992629249061</v>
      </c>
      <c r="AY273" s="24">
        <v>7.0545963895247326</v>
      </c>
      <c r="AZ273" s="24">
        <v>1.6191685199737549</v>
      </c>
      <c r="BA273" s="24">
        <v>28.078636003102947</v>
      </c>
      <c r="BB273" s="24">
        <v>1.4955129755607302</v>
      </c>
      <c r="BC273" s="24">
        <v>5.6761131286621094</v>
      </c>
      <c r="BD273" s="24">
        <v>7.6453521847724915E-2</v>
      </c>
      <c r="BE273" s="24">
        <v>7</v>
      </c>
      <c r="BF273" s="24"/>
      <c r="BH273" s="24">
        <f t="shared" si="50"/>
        <v>7.7350834928927377</v>
      </c>
    </row>
    <row r="274" spans="3:60">
      <c r="C274" s="24"/>
      <c r="D274" s="24"/>
      <c r="E274" s="24"/>
      <c r="F274" s="24"/>
      <c r="G274" s="24"/>
      <c r="H274" s="24"/>
      <c r="I274" s="24"/>
      <c r="J274" s="24"/>
      <c r="L274" s="24"/>
      <c r="M274" s="24"/>
      <c r="N274" s="24"/>
      <c r="O274" s="24"/>
      <c r="P274" s="24"/>
      <c r="Q274" s="24"/>
      <c r="R274" s="24"/>
      <c r="S274" s="24"/>
      <c r="AM274" s="24">
        <v>7.25</v>
      </c>
      <c r="AN274" s="24">
        <v>8.6602785791926085</v>
      </c>
      <c r="AO274" s="24">
        <v>0.16157842984277956</v>
      </c>
      <c r="AP274" s="24">
        <v>10.123668296357621</v>
      </c>
      <c r="AQ274" s="24">
        <v>1.6167948246002197</v>
      </c>
      <c r="AR274" s="24">
        <v>28.067712098629109</v>
      </c>
      <c r="AS274" s="24">
        <v>2.121119615568849</v>
      </c>
      <c r="AT274" s="24">
        <v>6.0472092628479004</v>
      </c>
      <c r="AU274" s="24">
        <v>8.3483211696147919E-2</v>
      </c>
      <c r="AV274" s="24">
        <v>7.25</v>
      </c>
      <c r="AW274" s="24">
        <v>7.9914034599065689</v>
      </c>
      <c r="AX274" s="24">
        <v>9.9913858740181494E-2</v>
      </c>
      <c r="AY274" s="24">
        <v>6.2484969387609217</v>
      </c>
      <c r="AZ274" s="24">
        <v>1.6197934150695801</v>
      </c>
      <c r="BA274" s="24">
        <v>28.081510511836328</v>
      </c>
      <c r="BB274" s="24">
        <v>1.3272244928815564</v>
      </c>
      <c r="BC274" s="24">
        <v>5.5771117210388184</v>
      </c>
      <c r="BD274" s="24">
        <v>7.6183691620826721E-2</v>
      </c>
      <c r="BE274" s="24">
        <v>7.25</v>
      </c>
      <c r="BF274" s="24">
        <v>8.6602785791926085</v>
      </c>
      <c r="BH274" s="24">
        <f t="shared" si="50"/>
        <v>8.302712219778309</v>
      </c>
    </row>
    <row r="275" spans="3:60">
      <c r="C275" s="24" t="s">
        <v>270</v>
      </c>
      <c r="D275" s="24"/>
      <c r="E275" s="24"/>
      <c r="F275" s="24"/>
      <c r="G275" s="24"/>
      <c r="H275" s="24"/>
      <c r="I275" s="24"/>
      <c r="J275" s="24"/>
      <c r="L275" s="24"/>
      <c r="M275" s="24"/>
      <c r="N275" s="24"/>
      <c r="O275" s="24"/>
      <c r="P275" s="24"/>
      <c r="Q275" s="24"/>
      <c r="R275" s="24"/>
      <c r="S275" s="24"/>
      <c r="AM275" s="24">
        <v>7.5</v>
      </c>
      <c r="AN275" s="24">
        <v>8.4403420785084275</v>
      </c>
      <c r="AO275" s="24">
        <v>0.10632000578399348</v>
      </c>
      <c r="AP275" s="24">
        <v>6.6504093057872531</v>
      </c>
      <c r="AQ275" s="24">
        <v>1.6194818019866943</v>
      </c>
      <c r="AR275" s="24">
        <v>28.080077036140377</v>
      </c>
      <c r="AS275" s="24">
        <v>1.4107494637425311</v>
      </c>
      <c r="AT275" s="24">
        <v>5.6262021064758301</v>
      </c>
      <c r="AU275" s="24">
        <v>8.2234814763069153E-2</v>
      </c>
      <c r="AV275" s="24">
        <v>7.5</v>
      </c>
      <c r="AW275" s="24">
        <v>8.242465019397077</v>
      </c>
      <c r="AX275" s="24">
        <v>8.8609319294149835E-2</v>
      </c>
      <c r="AY275" s="24">
        <v>5.5396434212507542</v>
      </c>
      <c r="AZ275" s="24">
        <v>1.6203433275222778</v>
      </c>
      <c r="BA275" s="24">
        <v>28.084040079521703</v>
      </c>
      <c r="BB275" s="24">
        <v>1.1805675425483566</v>
      </c>
      <c r="BC275" s="24">
        <v>5.4911284446716309</v>
      </c>
      <c r="BD275" s="24">
        <v>7.2070404887199402E-2</v>
      </c>
      <c r="BE275" s="24">
        <v>7.5</v>
      </c>
      <c r="BF275" s="24">
        <v>8.4403420785084275</v>
      </c>
      <c r="BH275" s="24">
        <f t="shared" si="50"/>
        <v>8.3485888393550152</v>
      </c>
    </row>
    <row r="276" spans="3:60">
      <c r="C276" s="25" t="s">
        <v>237</v>
      </c>
      <c r="D276" s="24" t="s">
        <v>154</v>
      </c>
      <c r="E276" s="24" t="s">
        <v>155</v>
      </c>
      <c r="F276" s="24" t="s">
        <v>156</v>
      </c>
      <c r="G276" s="24" t="s">
        <v>159</v>
      </c>
      <c r="H276" s="24" t="s">
        <v>238</v>
      </c>
      <c r="I276" s="24" t="s">
        <v>157</v>
      </c>
      <c r="J276" s="24" t="s">
        <v>160</v>
      </c>
      <c r="K276" s="24" t="s">
        <v>265</v>
      </c>
      <c r="L276" s="25" t="s">
        <v>237</v>
      </c>
      <c r="M276" s="24" t="s">
        <v>154</v>
      </c>
      <c r="N276" s="24" t="s">
        <v>155</v>
      </c>
      <c r="O276" s="24" t="s">
        <v>156</v>
      </c>
      <c r="P276" s="24" t="s">
        <v>159</v>
      </c>
      <c r="Q276" s="24" t="s">
        <v>238</v>
      </c>
      <c r="R276" s="24" t="s">
        <v>157</v>
      </c>
      <c r="S276" s="24" t="s">
        <v>160</v>
      </c>
      <c r="T276" s="25" t="s">
        <v>265</v>
      </c>
      <c r="AM276" s="24">
        <v>7.75</v>
      </c>
      <c r="AN276" s="24">
        <v>8.8558466584285132</v>
      </c>
      <c r="AO276" s="24">
        <v>0.10778734621469767</v>
      </c>
      <c r="AP276" s="24">
        <v>6.7424898723196698</v>
      </c>
      <c r="AQ276" s="24">
        <v>1.6194103956222534</v>
      </c>
      <c r="AR276" s="24">
        <v>28.079748695746265</v>
      </c>
      <c r="AS276" s="24">
        <v>1.429514052392254</v>
      </c>
      <c r="AT276" s="24">
        <v>5.6372408866882324</v>
      </c>
      <c r="AU276" s="24">
        <v>8.0454304814338684E-2</v>
      </c>
      <c r="AV276" s="24">
        <v>7.75</v>
      </c>
      <c r="AW276" s="24">
        <v>8.4930227572510297</v>
      </c>
      <c r="AX276" s="24">
        <v>7.7533154382381148E-2</v>
      </c>
      <c r="AY276" s="24">
        <v>4.845576484689742</v>
      </c>
      <c r="AZ276" s="24">
        <v>1.6208821535110474</v>
      </c>
      <c r="BA276" s="24">
        <v>28.086518544829595</v>
      </c>
      <c r="BB276" s="24">
        <v>1.0351590203969778</v>
      </c>
      <c r="BC276" s="24">
        <v>5.4061298370361328</v>
      </c>
      <c r="BD276" s="24">
        <v>7.1853093802928925E-2</v>
      </c>
      <c r="BE276" s="24">
        <v>7.75</v>
      </c>
      <c r="BF276" s="24">
        <v>8.8558466584285132</v>
      </c>
      <c r="BH276" s="24">
        <f t="shared" si="50"/>
        <v>8.6521557720431819</v>
      </c>
    </row>
    <row r="277" spans="3:60">
      <c r="C277" s="24">
        <v>0</v>
      </c>
      <c r="D277" s="24">
        <v>1.2351478685234683</v>
      </c>
      <c r="E277" s="24">
        <v>4.7827254992593042</v>
      </c>
      <c r="F277" s="24">
        <v>346.55994999705553</v>
      </c>
      <c r="G277" s="24">
        <v>1.3979979753494263</v>
      </c>
      <c r="H277" s="24">
        <v>27.033658092982275</v>
      </c>
      <c r="I277" s="24">
        <v>25.152790668255115</v>
      </c>
      <c r="J277" s="24">
        <v>28.237436294555664</v>
      </c>
      <c r="K277" s="24">
        <v>0.85839492082595825</v>
      </c>
      <c r="L277" s="24">
        <v>0</v>
      </c>
      <c r="M277" s="24">
        <v>1.4830090640570652</v>
      </c>
      <c r="N277" s="24">
        <v>5.697070080000068</v>
      </c>
      <c r="O277" s="24">
        <v>425.58091653599666</v>
      </c>
      <c r="P277" s="24">
        <v>1.3560599088668823</v>
      </c>
      <c r="Q277" s="24">
        <v>26.829059178025901</v>
      </c>
      <c r="R277" s="24">
        <v>26.013068679430461</v>
      </c>
      <c r="S277" s="24">
        <v>30.094165802001953</v>
      </c>
      <c r="T277" s="19">
        <v>1.2838454246520996</v>
      </c>
      <c r="AM277" s="24">
        <v>8</v>
      </c>
      <c r="AN277" s="24">
        <v>9.0800172502727694</v>
      </c>
      <c r="AO277" s="24">
        <v>9.4601178479803108E-2</v>
      </c>
      <c r="AP277" s="24">
        <v>5.9153043032341133</v>
      </c>
      <c r="AQ277" s="24">
        <v>1.6200517416000366</v>
      </c>
      <c r="AR277" s="24">
        <v>28.082699307220121</v>
      </c>
      <c r="AS277" s="24">
        <v>1.2592493003420617</v>
      </c>
      <c r="AT277" s="24">
        <v>5.5372304916381836</v>
      </c>
      <c r="AU277" s="24">
        <v>7.115192711353302E-2</v>
      </c>
      <c r="AV277" s="24">
        <v>8</v>
      </c>
      <c r="AW277" s="24">
        <v>8.7421059092733948</v>
      </c>
      <c r="AX277" s="24">
        <v>6.8601334997530405E-2</v>
      </c>
      <c r="AY277" s="24">
        <v>4.2862168165952816</v>
      </c>
      <c r="AZ277" s="24">
        <v>1.6213167905807495</v>
      </c>
      <c r="BA277" s="24">
        <v>28.088517179253881</v>
      </c>
      <c r="BB277" s="24">
        <v>0.91686726526752305</v>
      </c>
      <c r="BC277" s="24">
        <v>5.3371677398681641</v>
      </c>
      <c r="BD277" s="24">
        <v>8.4183573722839355E-2</v>
      </c>
      <c r="BE277" s="24">
        <v>8</v>
      </c>
      <c r="BF277" s="24">
        <v>9.0800172502727694</v>
      </c>
      <c r="BH277" s="24">
        <f t="shared" ref="BH277:BH296" si="51">AVERAGE(BF274:BF277)</f>
        <v>8.7591211416005788</v>
      </c>
    </row>
    <row r="278" spans="3:60">
      <c r="C278" s="24">
        <v>0.25</v>
      </c>
      <c r="D278" s="24">
        <v>1.3644531989229565</v>
      </c>
      <c r="E278" s="24">
        <v>4.2903861096296705</v>
      </c>
      <c r="F278" s="24">
        <v>305.90347994625239</v>
      </c>
      <c r="G278" s="24">
        <v>1.4207621812820435</v>
      </c>
      <c r="H278" s="24">
        <v>27.143826739497246</v>
      </c>
      <c r="I278" s="24">
        <v>24.517942949052127</v>
      </c>
      <c r="J278" s="24">
        <v>27.010435104370117</v>
      </c>
      <c r="K278" s="24">
        <v>0.68828755617141724</v>
      </c>
      <c r="L278" s="24">
        <v>0.25</v>
      </c>
      <c r="M278" s="24">
        <v>1.5711556651333618</v>
      </c>
      <c r="N278" s="24">
        <v>5.0218617742222804</v>
      </c>
      <c r="O278" s="24">
        <v>366.77672369876984</v>
      </c>
      <c r="P278" s="24">
        <v>1.3869870901107788</v>
      </c>
      <c r="Q278" s="24">
        <v>26.980147607532146</v>
      </c>
      <c r="R278" s="24">
        <v>25.41233232275038</v>
      </c>
      <c r="S278" s="24">
        <v>28.771167755126953</v>
      </c>
      <c r="T278" s="24">
        <v>0.95842987298965454</v>
      </c>
      <c r="AM278" s="24">
        <v>8.25</v>
      </c>
      <c r="AN278" s="24">
        <v>9.2697618834692239</v>
      </c>
      <c r="AO278" s="24">
        <v>8.0236892416385555E-2</v>
      </c>
      <c r="AP278" s="24">
        <v>5.0149585560373584</v>
      </c>
      <c r="AQ278" s="24">
        <v>1.6207506656646729</v>
      </c>
      <c r="AR278" s="24">
        <v>28.085913541114653</v>
      </c>
      <c r="AS278" s="24">
        <v>1.07124774127407</v>
      </c>
      <c r="AT278" s="24">
        <v>5.4272046089172363</v>
      </c>
      <c r="AU278" s="24">
        <v>6.2745355069637299E-2</v>
      </c>
      <c r="AV278" s="24">
        <v>8.25</v>
      </c>
      <c r="AW278" s="24">
        <v>8.9926462582279907</v>
      </c>
      <c r="AX278" s="24">
        <v>6.0785993035786474E-2</v>
      </c>
      <c r="AY278" s="24">
        <v>3.7970229595296265</v>
      </c>
      <c r="AZ278" s="24">
        <v>1.6216970682144165</v>
      </c>
      <c r="BA278" s="24">
        <v>28.090265984375129</v>
      </c>
      <c r="BB278" s="24">
        <v>0.81370868865639345</v>
      </c>
      <c r="BC278" s="24">
        <v>5.277167797088623</v>
      </c>
      <c r="BD278" s="24">
        <v>8.4005266427993774E-2</v>
      </c>
      <c r="BE278" s="24">
        <v>8.25</v>
      </c>
      <c r="BF278" s="24">
        <v>9.2697618834692239</v>
      </c>
      <c r="BH278" s="24">
        <f t="shared" si="51"/>
        <v>8.9114919676697326</v>
      </c>
    </row>
    <row r="279" spans="3:60">
      <c r="C279" s="24">
        <v>0.5</v>
      </c>
      <c r="D279" s="24">
        <v>1.526788675834019</v>
      </c>
      <c r="E279" s="24">
        <v>3.870881690021478</v>
      </c>
      <c r="F279" s="24">
        <v>272.25656988113121</v>
      </c>
      <c r="G279" s="24">
        <v>1.4402602910995483</v>
      </c>
      <c r="H279" s="24">
        <v>27.237697421162693</v>
      </c>
      <c r="I279" s="24">
        <v>23.84160412110187</v>
      </c>
      <c r="J279" s="24">
        <v>25.806968688964844</v>
      </c>
      <c r="K279" s="24">
        <v>0.56092596054077148</v>
      </c>
      <c r="L279" s="24">
        <v>0.5</v>
      </c>
      <c r="M279" s="24">
        <v>1.6586731854224588</v>
      </c>
      <c r="N279" s="24">
        <v>4.3466534684444946</v>
      </c>
      <c r="O279" s="24">
        <v>310.48529387672534</v>
      </c>
      <c r="P279" s="24">
        <v>1.4181541204452515</v>
      </c>
      <c r="Q279" s="24">
        <v>27.131236037038391</v>
      </c>
      <c r="R279" s="24">
        <v>24.59831638754034</v>
      </c>
      <c r="S279" s="24">
        <v>27.160167694091797</v>
      </c>
      <c r="T279" s="24">
        <v>0.70284587144851685</v>
      </c>
      <c r="AM279" s="24">
        <v>8.5</v>
      </c>
      <c r="AN279" s="24">
        <v>9.5388190307671064</v>
      </c>
      <c r="AO279" s="24">
        <v>7.1543847280791439E-2</v>
      </c>
      <c r="AP279" s="24">
        <v>4.4704600112998447</v>
      </c>
      <c r="AQ279" s="24">
        <v>1.621173620223999</v>
      </c>
      <c r="AR279" s="24">
        <v>28.087858746062409</v>
      </c>
      <c r="AS279" s="24">
        <v>0.95638260005627851</v>
      </c>
      <c r="AT279" s="24">
        <v>5.3601880073547363</v>
      </c>
      <c r="AU279" s="24">
        <v>7.3547594249248505E-2</v>
      </c>
      <c r="AV279" s="24">
        <v>8.5</v>
      </c>
      <c r="AW279" s="24">
        <v>9.2419928511553664</v>
      </c>
      <c r="AX279" s="24">
        <v>5.3509041298073622E-2</v>
      </c>
      <c r="AY279" s="24">
        <v>3.3417352990811633</v>
      </c>
      <c r="AZ279" s="24">
        <v>1.6220512390136719</v>
      </c>
      <c r="BA279" s="24">
        <v>28.091894316254692</v>
      </c>
      <c r="BB279" s="24">
        <v>0.71728467985354705</v>
      </c>
      <c r="BC279" s="24">
        <v>5.2211990356445312</v>
      </c>
      <c r="BD279" s="24">
        <v>7.8517720103263855E-2</v>
      </c>
      <c r="BE279" s="24">
        <v>8.5</v>
      </c>
      <c r="BF279" s="24">
        <v>9.5388190307671064</v>
      </c>
      <c r="BH279" s="24">
        <f t="shared" si="51"/>
        <v>9.1861112057344041</v>
      </c>
    </row>
    <row r="280" spans="3:60">
      <c r="C280" s="24">
        <v>0.75</v>
      </c>
      <c r="D280" s="24">
        <v>1.6945044804604945</v>
      </c>
      <c r="E280" s="24">
        <v>3.4654454994344532</v>
      </c>
      <c r="F280" s="24">
        <v>240.57785061045604</v>
      </c>
      <c r="G280" s="24">
        <v>1.4591934680938721</v>
      </c>
      <c r="H280" s="24">
        <v>27.328420116331888</v>
      </c>
      <c r="I280" s="24">
        <v>23.032354063615504</v>
      </c>
      <c r="J280" s="24">
        <v>24.483232498168945</v>
      </c>
      <c r="K280" s="24">
        <v>0.45337355136871338</v>
      </c>
      <c r="L280" s="24">
        <v>0.75</v>
      </c>
      <c r="M280" s="24">
        <v>1.7591930116924837</v>
      </c>
      <c r="N280" s="24">
        <v>3.7165153170773704</v>
      </c>
      <c r="O280" s="24">
        <v>260.09932874888682</v>
      </c>
      <c r="P280" s="24">
        <v>1.4474586248397827</v>
      </c>
      <c r="Q280" s="24">
        <v>27.272239313875094</v>
      </c>
      <c r="R280" s="24">
        <v>23.55368937285591</v>
      </c>
      <c r="S280" s="24">
        <v>25.322616577148438</v>
      </c>
      <c r="T280" s="24">
        <v>0.51400959491729736</v>
      </c>
      <c r="AM280" s="24">
        <v>8.75</v>
      </c>
      <c r="AN280" s="24">
        <v>9.6443373200270077</v>
      </c>
      <c r="AO280" s="24">
        <v>5.6915422775054306E-2</v>
      </c>
      <c r="AP280" s="24">
        <v>3.5548332342229214</v>
      </c>
      <c r="AQ280" s="24">
        <v>1.6218854188919067</v>
      </c>
      <c r="AR280" s="24">
        <v>28.091132085068772</v>
      </c>
      <c r="AS280" s="24">
        <v>0.76381883717730414</v>
      </c>
      <c r="AT280" s="24">
        <v>5.248201847076416</v>
      </c>
      <c r="AU280" s="24">
        <v>6.4849711954593658E-2</v>
      </c>
      <c r="AV280" s="24">
        <v>8.75</v>
      </c>
      <c r="AW280" s="24">
        <v>9.4922212151774161</v>
      </c>
      <c r="AX280" s="24">
        <v>4.7413074567913355E-2</v>
      </c>
      <c r="AY280" s="24">
        <v>2.9604897652740716</v>
      </c>
      <c r="AZ280" s="24">
        <v>1.6223479509353638</v>
      </c>
      <c r="BA280" s="24">
        <v>28.093258384249264</v>
      </c>
      <c r="BB280" s="24">
        <v>0.6361649511334545</v>
      </c>
      <c r="BC280" s="24">
        <v>5.1741981506347656</v>
      </c>
      <c r="BD280" s="24">
        <v>7.8387588262557983E-2</v>
      </c>
      <c r="BE280" s="24">
        <v>8.75</v>
      </c>
      <c r="BF280" s="24">
        <v>9.6443373200270077</v>
      </c>
      <c r="BH280" s="24">
        <f t="shared" si="51"/>
        <v>9.383233871134026</v>
      </c>
    </row>
    <row r="281" spans="3:60">
      <c r="C281" s="24">
        <v>1</v>
      </c>
      <c r="D281" s="24">
        <v>1.8761250487063279</v>
      </c>
      <c r="E281" s="24">
        <v>3.0627510127040338</v>
      </c>
      <c r="F281" s="24">
        <v>209.9043835839108</v>
      </c>
      <c r="G281" s="24">
        <v>1.4780857563018799</v>
      </c>
      <c r="H281" s="24">
        <v>27.418529312338944</v>
      </c>
      <c r="I281" s="24">
        <v>22.030434355906117</v>
      </c>
      <c r="J281" s="24">
        <v>22.989498138427734</v>
      </c>
      <c r="K281" s="24">
        <v>0.35819074511528015</v>
      </c>
      <c r="L281" s="24">
        <v>1</v>
      </c>
      <c r="M281" s="24">
        <v>1.8772655845424797</v>
      </c>
      <c r="N281" s="24">
        <v>3.1122038834062571</v>
      </c>
      <c r="O281" s="24">
        <v>213.62961526852089</v>
      </c>
      <c r="P281" s="24">
        <v>1.4757609367370605</v>
      </c>
      <c r="Q281" s="24">
        <v>27.407463458283182</v>
      </c>
      <c r="R281" s="24">
        <v>22.166235782704138</v>
      </c>
      <c r="S281" s="24">
        <v>23.183614730834961</v>
      </c>
      <c r="T281" s="24">
        <v>0.3669247031211853</v>
      </c>
      <c r="AM281" s="24">
        <v>9</v>
      </c>
      <c r="AN281" s="24">
        <v>9.950640976710563</v>
      </c>
      <c r="AO281" s="24">
        <v>5.1853298114120164E-2</v>
      </c>
      <c r="AP281" s="24">
        <v>3.2381703036346994</v>
      </c>
      <c r="AQ281" s="24">
        <v>1.6221318244934082</v>
      </c>
      <c r="AR281" s="24">
        <v>28.092264814714483</v>
      </c>
      <c r="AS281" s="24">
        <v>0.69659427397352491</v>
      </c>
      <c r="AT281" s="24">
        <v>5.2092094421386719</v>
      </c>
      <c r="AU281" s="24">
        <v>5.7034719735383987E-2</v>
      </c>
      <c r="AV281" s="24">
        <v>9</v>
      </c>
      <c r="AW281" s="24">
        <v>9.7414198756619683</v>
      </c>
      <c r="AX281" s="24">
        <v>4.2265369329111388E-2</v>
      </c>
      <c r="AY281" s="24">
        <v>2.6386576435725102</v>
      </c>
      <c r="AZ281" s="24">
        <v>1.6225985288619995</v>
      </c>
      <c r="BA281" s="24">
        <v>28.094410263889127</v>
      </c>
      <c r="BB281" s="24">
        <v>0.56878637219268136</v>
      </c>
      <c r="BC281" s="24">
        <v>5.1352238655090332</v>
      </c>
      <c r="BD281" s="24">
        <v>7.6338320970535278E-2</v>
      </c>
      <c r="BE281" s="24">
        <v>9</v>
      </c>
      <c r="BF281" s="24">
        <v>9.950640976710563</v>
      </c>
      <c r="BH281" s="24">
        <f t="shared" si="51"/>
        <v>9.6008898027434739</v>
      </c>
    </row>
    <row r="282" spans="3:60">
      <c r="C282" s="24">
        <v>1.25</v>
      </c>
      <c r="D282" s="24">
        <v>2.0766422046805944</v>
      </c>
      <c r="E282" s="24">
        <v>2.6940485462943129</v>
      </c>
      <c r="F282" s="24">
        <v>182.49044663992566</v>
      </c>
      <c r="G282" s="24">
        <v>1.4954597949981689</v>
      </c>
      <c r="H282" s="24">
        <v>27.501032261618803</v>
      </c>
      <c r="I282" s="24">
        <v>20.888788097250767</v>
      </c>
      <c r="J282" s="24">
        <v>21.447763442993164</v>
      </c>
      <c r="K282" s="24">
        <v>0.29093965888023376</v>
      </c>
      <c r="L282" s="24">
        <v>1.25</v>
      </c>
      <c r="M282" s="24">
        <v>2.0098578348922174</v>
      </c>
      <c r="N282" s="24">
        <v>2.5266261041789337</v>
      </c>
      <c r="O282" s="24">
        <v>170.24862243748802</v>
      </c>
      <c r="P282" s="24">
        <v>1.5033732652664185</v>
      </c>
      <c r="Q282" s="24">
        <v>27.538495654214625</v>
      </c>
      <c r="R282" s="24">
        <v>20.284323317070285</v>
      </c>
      <c r="S282" s="24">
        <v>20.689569473266602</v>
      </c>
      <c r="T282" s="24">
        <v>0.26237282156944275</v>
      </c>
      <c r="AM282" s="24">
        <v>9.25</v>
      </c>
      <c r="AN282" s="24">
        <v>10.264897886073596</v>
      </c>
      <c r="AO282" s="24">
        <v>4.8206544698771142E-2</v>
      </c>
      <c r="AP282" s="24">
        <v>3.0101059865642359</v>
      </c>
      <c r="AQ282" s="24">
        <v>1.6223093271255493</v>
      </c>
      <c r="AR282" s="24">
        <v>28.093080832884887</v>
      </c>
      <c r="AS282" s="24">
        <v>0.64827257506121638</v>
      </c>
      <c r="AT282" s="24">
        <v>5.1812152862548828</v>
      </c>
      <c r="AU282" s="24">
        <v>7.5445152819156647E-2</v>
      </c>
      <c r="AV282" s="24">
        <v>9.25</v>
      </c>
      <c r="AW282" s="24">
        <v>9.9919042507726648</v>
      </c>
      <c r="AX282" s="24">
        <v>3.7510515279586355E-2</v>
      </c>
      <c r="AY282" s="24">
        <v>2.3414746675595421</v>
      </c>
      <c r="AZ282" s="24">
        <v>1.6228299140930176</v>
      </c>
      <c r="BA282" s="24">
        <v>28.095474236924897</v>
      </c>
      <c r="BB282" s="24">
        <v>0.50474654048426526</v>
      </c>
      <c r="BC282" s="24">
        <v>5.0982222557067871</v>
      </c>
      <c r="BD282" s="24">
        <v>7.6238825917243958E-2</v>
      </c>
      <c r="BE282" s="24">
        <v>9.25</v>
      </c>
      <c r="BF282" s="24">
        <v>10.264897886073596</v>
      </c>
      <c r="BH282" s="24">
        <f t="shared" si="51"/>
        <v>9.8496738033945679</v>
      </c>
    </row>
    <row r="283" spans="3:60">
      <c r="C283" s="24">
        <v>1.5</v>
      </c>
      <c r="D283" s="24">
        <v>2.269822869595814</v>
      </c>
      <c r="E283" s="24">
        <v>2.3012496162728961</v>
      </c>
      <c r="F283" s="24">
        <v>153.96888334502057</v>
      </c>
      <c r="G283" s="24">
        <v>1.5140500068664551</v>
      </c>
      <c r="H283" s="24">
        <v>27.588927171886983</v>
      </c>
      <c r="I283" s="24">
        <v>19.3709655266968</v>
      </c>
      <c r="J283" s="24">
        <v>19.609018325805664</v>
      </c>
      <c r="K283" s="24">
        <v>0.23208554089069366</v>
      </c>
      <c r="L283" s="24">
        <v>1.5</v>
      </c>
      <c r="M283" s="24">
        <v>2.1588020144028213</v>
      </c>
      <c r="N283" s="24">
        <v>2.0123570741248145</v>
      </c>
      <c r="O283" s="24">
        <v>133.43040825700666</v>
      </c>
      <c r="P283" s="24">
        <v>1.5277760028839111</v>
      </c>
      <c r="Q283" s="24">
        <v>27.653571401105907</v>
      </c>
      <c r="R283" s="24">
        <v>18.010965402110148</v>
      </c>
      <c r="S283" s="24">
        <v>18.123571395874023</v>
      </c>
      <c r="T283" s="24">
        <v>0.19390936195850372</v>
      </c>
      <c r="AM283" s="24">
        <v>9.5</v>
      </c>
      <c r="AN283" s="24">
        <v>10.360432071657156</v>
      </c>
      <c r="AO283" s="24">
        <v>3.8026712196615894E-2</v>
      </c>
      <c r="AP283" s="24">
        <v>2.3737333730392716</v>
      </c>
      <c r="AQ283" s="24">
        <v>1.6228047609329224</v>
      </c>
      <c r="AR283" s="24">
        <v>28.095358729783111</v>
      </c>
      <c r="AS283" s="24">
        <v>0.51167871126622666</v>
      </c>
      <c r="AT283" s="24">
        <v>5.1022248268127441</v>
      </c>
      <c r="AU283" s="24">
        <v>6.6600307822227478E-2</v>
      </c>
      <c r="AV283" s="24">
        <v>9.5</v>
      </c>
      <c r="AW283" s="24">
        <v>10.243148806667618</v>
      </c>
      <c r="AX283" s="24">
        <v>3.2966988076707025E-2</v>
      </c>
      <c r="AY283" s="24">
        <v>2.057578999638495</v>
      </c>
      <c r="AZ283" s="24">
        <v>1.6230511665344238</v>
      </c>
      <c r="BA283" s="24">
        <v>28.096490922270185</v>
      </c>
      <c r="BB283" s="24">
        <v>0.44407291055163639</v>
      </c>
      <c r="BC283" s="24">
        <v>5.0632123947143555</v>
      </c>
      <c r="BD283" s="24">
        <v>7.91759192943573E-2</v>
      </c>
      <c r="BE283" s="24">
        <v>9.5</v>
      </c>
      <c r="BF283" s="24">
        <v>10.360432071657156</v>
      </c>
      <c r="BH283" s="24">
        <f t="shared" si="51"/>
        <v>10.055077063617082</v>
      </c>
    </row>
    <row r="284" spans="3:60">
      <c r="C284" s="24">
        <v>1.75</v>
      </c>
      <c r="D284" s="24">
        <v>2.4800998093113633</v>
      </c>
      <c r="E284" s="24">
        <v>1.9285347134571318</v>
      </c>
      <c r="F284" s="24">
        <v>127.53934362404379</v>
      </c>
      <c r="G284" s="24">
        <v>1.5317670106887817</v>
      </c>
      <c r="H284" s="24">
        <v>27.67232796663156</v>
      </c>
      <c r="I284" s="24">
        <v>17.572007360598946</v>
      </c>
      <c r="J284" s="24">
        <v>17.671276092529297</v>
      </c>
      <c r="K284" s="24">
        <v>0.18508781492710114</v>
      </c>
      <c r="L284" s="24">
        <v>1.75</v>
      </c>
      <c r="M284" s="24">
        <v>2.320374931481076</v>
      </c>
      <c r="N284" s="24">
        <v>1.5626623466270653</v>
      </c>
      <c r="O284" s="24">
        <v>102.1781415487699</v>
      </c>
      <c r="P284" s="24">
        <v>1.5492324829101562</v>
      </c>
      <c r="Q284" s="24">
        <v>27.754197636822319</v>
      </c>
      <c r="R284" s="24">
        <v>15.392581054030591</v>
      </c>
      <c r="S284" s="24">
        <v>15.585453033447266</v>
      </c>
      <c r="T284" s="24">
        <v>0.1504862904548645</v>
      </c>
      <c r="AM284" s="24">
        <v>9.75</v>
      </c>
      <c r="AN284" s="24">
        <v>10.444278441900508</v>
      </c>
      <c r="AO284" s="24">
        <v>2.8190469308424879E-2</v>
      </c>
      <c r="AP284" s="24">
        <v>1.7592085950903531</v>
      </c>
      <c r="AQ284" s="24">
        <v>1.6232836246490479</v>
      </c>
      <c r="AR284" s="24">
        <v>28.097559743125959</v>
      </c>
      <c r="AS284" s="24">
        <v>0.37990726552709708</v>
      </c>
      <c r="AT284" s="24">
        <v>5.0262336730957031</v>
      </c>
      <c r="AU284" s="24">
        <v>0.1162969246506691</v>
      </c>
      <c r="AV284" s="24">
        <v>9.75</v>
      </c>
      <c r="AW284" s="24">
        <v>10.493722902444436</v>
      </c>
      <c r="AX284" s="24">
        <v>2.9258201918077483E-2</v>
      </c>
      <c r="AY284" s="24">
        <v>1.8258982485492825</v>
      </c>
      <c r="AZ284" s="24">
        <v>1.6232316493988037</v>
      </c>
      <c r="BA284" s="24">
        <v>28.097320821238085</v>
      </c>
      <c r="BB284" s="24">
        <v>0.39548730010977257</v>
      </c>
      <c r="BC284" s="24">
        <v>5.0352139472961426</v>
      </c>
      <c r="BD284" s="24">
        <v>5.944562703371048E-2</v>
      </c>
      <c r="BE284" s="24">
        <v>9.75</v>
      </c>
      <c r="BF284" s="24">
        <v>10.444278441900508</v>
      </c>
      <c r="BH284" s="24">
        <f t="shared" si="51"/>
        <v>10.255062344085456</v>
      </c>
    </row>
    <row r="285" spans="3:60">
      <c r="C285" s="24">
        <v>2</v>
      </c>
      <c r="D285" s="24">
        <v>2.6953118194455574</v>
      </c>
      <c r="E285" s="24">
        <v>1.5853859667612173</v>
      </c>
      <c r="F285" s="24">
        <v>103.73675288593154</v>
      </c>
      <c r="G285" s="24">
        <v>1.5481456518173218</v>
      </c>
      <c r="H285" s="24">
        <v>27.749112871055388</v>
      </c>
      <c r="I285" s="24">
        <v>15.540384605707812</v>
      </c>
      <c r="J285" s="24">
        <v>15.719468116760254</v>
      </c>
      <c r="K285" s="24">
        <v>0.15461815893650055</v>
      </c>
      <c r="L285" s="24">
        <v>2</v>
      </c>
      <c r="M285" s="24">
        <v>2.4955772635531761</v>
      </c>
      <c r="N285" s="24">
        <v>1.190027479354457</v>
      </c>
      <c r="O285" s="24">
        <v>76.925590754158762</v>
      </c>
      <c r="P285" s="24">
        <v>1.5670959949493408</v>
      </c>
      <c r="Q285" s="24">
        <v>27.837580522361076</v>
      </c>
      <c r="R285" s="24">
        <v>12.682459546191302</v>
      </c>
      <c r="S285" s="24">
        <v>13.280840873718262</v>
      </c>
      <c r="T285" s="24">
        <v>0.1239016130566597</v>
      </c>
      <c r="U285" s="24"/>
      <c r="V285" s="24"/>
      <c r="W285" s="24"/>
      <c r="X285" s="24"/>
      <c r="Y285" s="24"/>
      <c r="Z285" s="24"/>
      <c r="AA285" s="24"/>
      <c r="AB285" s="24"/>
      <c r="AC285" s="24"/>
      <c r="AD285" s="24"/>
      <c r="AE285" s="24"/>
      <c r="AF285" s="24"/>
      <c r="AG285" s="24"/>
      <c r="AH285" s="24"/>
      <c r="AI285" s="24"/>
      <c r="AJ285" s="24"/>
      <c r="AK285" s="24"/>
      <c r="AM285" s="24">
        <v>10</v>
      </c>
      <c r="AN285" s="24">
        <v>10.653751142273466</v>
      </c>
      <c r="AO285" s="24">
        <v>2.32599539729463E-2</v>
      </c>
      <c r="AP285" s="24">
        <v>1.4513082625353324</v>
      </c>
      <c r="AQ285" s="24">
        <v>1.6235237121582031</v>
      </c>
      <c r="AR285" s="24">
        <v>28.098663023124619</v>
      </c>
      <c r="AS285" s="24">
        <v>0.31389004798845493</v>
      </c>
      <c r="AT285" s="24">
        <v>4.9882392883300781</v>
      </c>
      <c r="AU285" s="24">
        <v>0.10260462015867233</v>
      </c>
      <c r="AV285" s="24">
        <v>10</v>
      </c>
      <c r="AW285" s="24">
        <v>10.740734864142787</v>
      </c>
      <c r="AX285" s="24">
        <v>2.5714250699831489E-2</v>
      </c>
      <c r="AY285" s="24">
        <v>1.6045625613063095</v>
      </c>
      <c r="AZ285" s="24">
        <v>1.6234041452407837</v>
      </c>
      <c r="BA285" s="24">
        <v>28.098113835807411</v>
      </c>
      <c r="BB285" s="24">
        <v>0.34688152770838243</v>
      </c>
      <c r="BC285" s="24">
        <v>5.0072207450866699</v>
      </c>
      <c r="BD285" s="24">
        <v>9.2327535152435303E-2</v>
      </c>
      <c r="BE285" s="24">
        <v>10</v>
      </c>
      <c r="BF285" s="24">
        <v>10.653751142273466</v>
      </c>
      <c r="BH285" s="24">
        <f t="shared" si="51"/>
        <v>10.430839885476182</v>
      </c>
    </row>
    <row r="286" spans="3:60">
      <c r="C286" s="24">
        <v>2.25</v>
      </c>
      <c r="D286" s="24">
        <v>2.8999547023020549</v>
      </c>
      <c r="E286" s="24">
        <v>1.2495878047638254</v>
      </c>
      <c r="F286" s="24">
        <v>80.923386116217571</v>
      </c>
      <c r="G286" s="24">
        <v>1.5642356872558594</v>
      </c>
      <c r="H286" s="24">
        <v>27.824252967071871</v>
      </c>
      <c r="I286" s="24">
        <v>13.151077550745162</v>
      </c>
      <c r="J286" s="24">
        <v>13.66066837310791</v>
      </c>
      <c r="K286" s="24">
        <v>0.13027085363864899</v>
      </c>
      <c r="L286" s="24">
        <v>2.25</v>
      </c>
      <c r="M286" s="24">
        <v>2.6820526204940234</v>
      </c>
      <c r="N286" s="24">
        <v>0.89566228206133636</v>
      </c>
      <c r="O286" s="24">
        <v>57.378620033542866</v>
      </c>
      <c r="P286" s="24">
        <v>1.5812612771987915</v>
      </c>
      <c r="Q286" s="24">
        <v>27.903449343848813</v>
      </c>
      <c r="R286" s="24">
        <v>10.148023565845643</v>
      </c>
      <c r="S286" s="24">
        <v>11.336162567138672</v>
      </c>
      <c r="T286" s="24">
        <v>0.10814496874809265</v>
      </c>
      <c r="U286" s="24"/>
      <c r="V286" s="24"/>
      <c r="W286" s="24"/>
      <c r="X286" s="24"/>
      <c r="Y286" s="24"/>
      <c r="Z286" s="24"/>
      <c r="AA286" s="24"/>
      <c r="AB286" s="24"/>
      <c r="AC286" s="26"/>
      <c r="AD286" s="24"/>
      <c r="AE286" s="24"/>
      <c r="AF286" s="24"/>
      <c r="AG286" s="24"/>
      <c r="AH286" s="24"/>
      <c r="AI286" s="24"/>
      <c r="AJ286" s="24"/>
      <c r="AK286" s="24"/>
      <c r="AM286" s="24">
        <v>10.25</v>
      </c>
      <c r="AN286" s="24">
        <v>11.360667760889566</v>
      </c>
      <c r="AO286" s="24">
        <v>3.1096371628549765E-2</v>
      </c>
      <c r="AP286" s="24">
        <v>1.9407187403230954</v>
      </c>
      <c r="AQ286" s="24">
        <v>1.6231421232223511</v>
      </c>
      <c r="AR286" s="24">
        <v>28.096909501986907</v>
      </c>
      <c r="AS286" s="24">
        <v>0.41982592087786647</v>
      </c>
      <c r="AT286" s="24">
        <v>5.0492372512817383</v>
      </c>
      <c r="AU286" s="24">
        <v>9.0836368501186371E-2</v>
      </c>
      <c r="AV286" s="24">
        <v>10.25</v>
      </c>
      <c r="AW286" s="24">
        <v>10.993370779582689</v>
      </c>
      <c r="AX286" s="24">
        <v>2.2821397496100435E-2</v>
      </c>
      <c r="AY286" s="24">
        <v>1.4239257398821885</v>
      </c>
      <c r="AZ286" s="24">
        <v>1.6235450506210327</v>
      </c>
      <c r="BA286" s="24">
        <v>28.098761157002372</v>
      </c>
      <c r="BB286" s="24">
        <v>0.30863944471909288</v>
      </c>
      <c r="BC286" s="24">
        <v>4.985222339630127</v>
      </c>
      <c r="BD286" s="24">
        <v>6.1699755489826202E-2</v>
      </c>
      <c r="BE286" s="24">
        <v>10.25</v>
      </c>
      <c r="BF286" s="24">
        <v>11.360667760889566</v>
      </c>
      <c r="BH286" s="24">
        <f t="shared" si="51"/>
        <v>10.704782354180175</v>
      </c>
    </row>
    <row r="287" spans="3:60">
      <c r="C287" s="24">
        <v>2.5</v>
      </c>
      <c r="D287" s="24">
        <v>3.0951335890882796</v>
      </c>
      <c r="E287" s="24">
        <v>0.93962202440390818</v>
      </c>
      <c r="F287" s="24">
        <v>60.275555532645384</v>
      </c>
      <c r="G287" s="24">
        <v>1.5791428089141846</v>
      </c>
      <c r="H287" s="24">
        <v>27.893612663264161</v>
      </c>
      <c r="I287" s="24">
        <v>10.550557675829758</v>
      </c>
      <c r="J287" s="24">
        <v>11.633819580078125</v>
      </c>
      <c r="K287" s="24">
        <v>0.10929586738348007</v>
      </c>
      <c r="L287" s="24">
        <v>2.5</v>
      </c>
      <c r="M287" s="24">
        <v>2.8782320677744688</v>
      </c>
      <c r="N287" s="24">
        <v>0.6529195248006292</v>
      </c>
      <c r="O287" s="24">
        <v>41.520180651905534</v>
      </c>
      <c r="P287" s="24">
        <v>1.5929783582687378</v>
      </c>
      <c r="Q287" s="24">
        <v>27.95776683617629</v>
      </c>
      <c r="R287" s="24">
        <v>7.7750658226824205</v>
      </c>
      <c r="S287" s="24">
        <v>9.6544456481933594</v>
      </c>
      <c r="T287" s="24">
        <v>9.5934070646762848E-2</v>
      </c>
      <c r="U287" s="25"/>
      <c r="V287" s="24"/>
      <c r="W287" s="24"/>
      <c r="X287" s="24"/>
      <c r="Y287" s="24"/>
      <c r="Z287" s="24"/>
      <c r="AA287" s="24"/>
      <c r="AB287" s="24"/>
      <c r="AC287" s="24"/>
      <c r="AD287" s="24"/>
      <c r="AE287" s="24"/>
      <c r="AF287" s="24"/>
      <c r="AG287" s="24"/>
      <c r="AH287" s="24"/>
      <c r="AI287" s="24"/>
      <c r="AJ287" s="24"/>
      <c r="AK287" s="24"/>
      <c r="AM287" s="24">
        <v>10.5</v>
      </c>
      <c r="AN287" s="24">
        <v>10.919021405368493</v>
      </c>
      <c r="AO287" s="24">
        <v>1.1680870560978048E-2</v>
      </c>
      <c r="AP287" s="24">
        <v>0.72857664282588996</v>
      </c>
      <c r="AQ287" s="24">
        <v>1.6240874528884888</v>
      </c>
      <c r="AR287" s="24">
        <v>28.101254024320646</v>
      </c>
      <c r="AS287" s="24">
        <v>0.15891448359201715</v>
      </c>
      <c r="AT287" s="24">
        <v>4.8992481231689453</v>
      </c>
      <c r="AU287" s="24">
        <v>9.0360142290592194E-2</v>
      </c>
      <c r="AV287" s="24">
        <v>10.5</v>
      </c>
      <c r="AW287" s="24">
        <v>11.240556911891117</v>
      </c>
      <c r="AX287" s="24">
        <v>2.030782949019189E-2</v>
      </c>
      <c r="AY287" s="24">
        <v>1.2669978535682527</v>
      </c>
      <c r="AZ287" s="24">
        <v>1.6236673593521118</v>
      </c>
      <c r="BA287" s="24">
        <v>28.099323607196215</v>
      </c>
      <c r="BB287" s="24">
        <v>0.27387496628964592</v>
      </c>
      <c r="BC287" s="24">
        <v>4.9652323722839355</v>
      </c>
      <c r="BD287" s="24">
        <v>0.14304770529270172</v>
      </c>
      <c r="BE287" s="24">
        <v>10.5</v>
      </c>
      <c r="BF287" s="24">
        <v>10.919021405368493</v>
      </c>
      <c r="BH287" s="24">
        <f t="shared" si="51"/>
        <v>10.84442968760801</v>
      </c>
    </row>
    <row r="288" spans="3:60">
      <c r="C288" s="24">
        <v>2.75</v>
      </c>
      <c r="D288" s="24">
        <v>3.3200282610566303</v>
      </c>
      <c r="E288" s="24">
        <v>0.71272070591822267</v>
      </c>
      <c r="F288" s="24">
        <v>45.405395259490867</v>
      </c>
      <c r="G288" s="24">
        <v>1.5900887250900269</v>
      </c>
      <c r="H288" s="24">
        <v>27.944385385651525</v>
      </c>
      <c r="I288" s="24">
        <v>8.3841121026203105</v>
      </c>
      <c r="J288" s="24">
        <v>10.074959754943848</v>
      </c>
      <c r="K288" s="24">
        <v>9.6930414438247681E-2</v>
      </c>
      <c r="L288" s="24">
        <v>2.75</v>
      </c>
      <c r="M288" s="24">
        <v>3.0828525931423272</v>
      </c>
      <c r="N288" s="24">
        <v>0.46531856323265308</v>
      </c>
      <c r="O288" s="24">
        <v>29.422672854000606</v>
      </c>
      <c r="P288" s="24">
        <v>1.6020560264587402</v>
      </c>
      <c r="Q288" s="24">
        <v>27.999745488415346</v>
      </c>
      <c r="R288" s="24">
        <v>5.7542652801002916</v>
      </c>
      <c r="S288" s="24">
        <v>8.3076772689819336</v>
      </c>
      <c r="T288" s="24">
        <v>8.7746910750865936E-2</v>
      </c>
      <c r="U288" s="24"/>
      <c r="V288" s="24"/>
      <c r="W288" s="24"/>
      <c r="X288" s="24"/>
      <c r="Y288" s="24"/>
      <c r="Z288" s="24"/>
      <c r="AA288" s="24"/>
      <c r="AB288" s="24"/>
      <c r="AC288" s="24"/>
      <c r="AD288" s="24"/>
      <c r="AE288" s="24"/>
      <c r="AF288" s="24"/>
      <c r="AG288" s="24"/>
      <c r="AH288" s="24"/>
      <c r="AI288" s="24"/>
      <c r="AJ288" s="24"/>
      <c r="AK288" s="24"/>
      <c r="AM288" s="24">
        <v>10.75</v>
      </c>
      <c r="AN288" s="24">
        <v>11.540023662869221</v>
      </c>
      <c r="AO288" s="24">
        <v>1.8661330746066917E-2</v>
      </c>
      <c r="AP288" s="24">
        <v>1.16421593517235</v>
      </c>
      <c r="AQ288" s="24">
        <v>1.6237475872039795</v>
      </c>
      <c r="AR288" s="24">
        <v>28.099692037067864</v>
      </c>
      <c r="AS288" s="24">
        <v>0.26509533839650323</v>
      </c>
      <c r="AT288" s="24">
        <v>4.9602479934692383</v>
      </c>
      <c r="AU288" s="24">
        <v>7.0575229823589325E-2</v>
      </c>
      <c r="AV288" s="24">
        <v>10.75</v>
      </c>
      <c r="AW288" s="24">
        <v>11.493100679765066</v>
      </c>
      <c r="AX288" s="24">
        <v>1.8051403991281679E-2</v>
      </c>
      <c r="AY288" s="24">
        <v>1.126144116900107</v>
      </c>
      <c r="AZ288" s="24">
        <v>1.6237772703170776</v>
      </c>
      <c r="BA288" s="24">
        <v>28.099828517728284</v>
      </c>
      <c r="BB288" s="24">
        <v>0.24428102837673379</v>
      </c>
      <c r="BC288" s="24">
        <v>4.9482336044311523</v>
      </c>
      <c r="BD288" s="24">
        <v>7.2018139064311981E-2</v>
      </c>
      <c r="BE288" s="24">
        <v>10.75</v>
      </c>
      <c r="BF288" s="24">
        <v>11.540023662869221</v>
      </c>
      <c r="BH288" s="24">
        <f t="shared" si="51"/>
        <v>11.118365992850187</v>
      </c>
    </row>
    <row r="289" spans="3:60">
      <c r="C289" s="24">
        <v>3</v>
      </c>
      <c r="D289" s="24">
        <v>3.5300222363269693</v>
      </c>
      <c r="E289" s="24">
        <v>0.51313416101438447</v>
      </c>
      <c r="F289" s="24">
        <v>32.493077318651324</v>
      </c>
      <c r="G289" s="24">
        <v>1.5997405052185059</v>
      </c>
      <c r="H289" s="24">
        <v>27.989045999808756</v>
      </c>
      <c r="I289" s="24">
        <v>6.2841695403214697</v>
      </c>
      <c r="J289" s="24">
        <v>8.6540126800537109</v>
      </c>
      <c r="K289" s="24">
        <v>9.2714548110961914E-2</v>
      </c>
      <c r="L289" s="24">
        <v>3</v>
      </c>
      <c r="M289" s="24">
        <v>3.2940919499337786</v>
      </c>
      <c r="N289" s="24">
        <v>0.32590311757765594</v>
      </c>
      <c r="O289" s="24">
        <v>20.520688310970524</v>
      </c>
      <c r="P289" s="24">
        <v>1.6088147163391113</v>
      </c>
      <c r="Q289" s="24">
        <v>28.03094187707449</v>
      </c>
      <c r="R289" s="24">
        <v>4.1431176144592872</v>
      </c>
      <c r="S289" s="24">
        <v>7.2818412780761719</v>
      </c>
      <c r="T289" s="24">
        <v>8.5052505135536194E-2</v>
      </c>
      <c r="U289" s="24"/>
      <c r="V289" s="24"/>
      <c r="W289" s="24"/>
      <c r="X289" s="24"/>
      <c r="Y289" s="24"/>
      <c r="Z289" s="24"/>
      <c r="AA289" s="24"/>
      <c r="AB289" s="24"/>
      <c r="AC289" s="24"/>
      <c r="AD289" s="24"/>
      <c r="AE289" s="24"/>
      <c r="AF289" s="24"/>
      <c r="AG289" s="24"/>
      <c r="AH289" s="24"/>
      <c r="AI289" s="24"/>
      <c r="AJ289" s="24"/>
      <c r="AK289" s="24"/>
      <c r="AM289" s="24">
        <v>11</v>
      </c>
      <c r="AN289" s="24">
        <v>11.469925396869657</v>
      </c>
      <c r="AO289" s="24">
        <v>1.085849362124946E-2</v>
      </c>
      <c r="AP289" s="24">
        <v>0.67726542575979787</v>
      </c>
      <c r="AQ289" s="24">
        <v>1.6241275072097778</v>
      </c>
      <c r="AR289" s="24">
        <v>28.101438044036076</v>
      </c>
      <c r="AS289" s="24">
        <v>0.17440857388929548</v>
      </c>
      <c r="AT289" s="24">
        <v>4.9082531929016113</v>
      </c>
      <c r="AU289" s="24">
        <v>6.2359463423490524E-2</v>
      </c>
      <c r="AV289" s="24">
        <v>11</v>
      </c>
      <c r="AW289" s="24">
        <v>11.742367809458274</v>
      </c>
      <c r="AX289" s="24">
        <v>1.5953429705183788E-2</v>
      </c>
      <c r="AY289" s="24">
        <v>0.99519853902740141</v>
      </c>
      <c r="AZ289" s="24">
        <v>1.6238794326782227</v>
      </c>
      <c r="BA289" s="24">
        <v>28.100297972320771</v>
      </c>
      <c r="BB289" s="24">
        <v>0.21642589835725193</v>
      </c>
      <c r="BC289" s="24">
        <v>4.9322414398193359</v>
      </c>
      <c r="BD289" s="24">
        <v>5.5947724729776382E-2</v>
      </c>
      <c r="BE289" s="24">
        <v>11</v>
      </c>
      <c r="BF289" s="24">
        <v>11.469925396869657</v>
      </c>
      <c r="BH289" s="24">
        <f t="shared" si="51"/>
        <v>11.322409556499235</v>
      </c>
    </row>
    <row r="290" spans="3:60">
      <c r="C290" s="24">
        <v>3.25</v>
      </c>
      <c r="D290" s="24">
        <v>3.7300085008769028</v>
      </c>
      <c r="E290" s="24">
        <v>0.35099692342002031</v>
      </c>
      <c r="F290" s="24">
        <v>22.117470347751158</v>
      </c>
      <c r="G290" s="24">
        <v>1.6075974702835083</v>
      </c>
      <c r="H290" s="24">
        <v>28.025326745147627</v>
      </c>
      <c r="I290" s="24">
        <v>4.440379212887831</v>
      </c>
      <c r="J290" s="24">
        <v>7.4681634902954102</v>
      </c>
      <c r="K290" s="24">
        <v>8.5217051208019257E-2</v>
      </c>
      <c r="L290" s="24">
        <v>3.25</v>
      </c>
      <c r="M290" s="24">
        <v>3.5109460035911599</v>
      </c>
      <c r="N290" s="24">
        <v>0.21934696783052676</v>
      </c>
      <c r="O290" s="24">
        <v>13.767048759095859</v>
      </c>
      <c r="P290" s="24">
        <v>1.6139876842498779</v>
      </c>
      <c r="Q290" s="24">
        <v>28.054785483827789</v>
      </c>
      <c r="R290" s="24">
        <v>2.8468511676001085</v>
      </c>
      <c r="S290" s="24">
        <v>6.4839859008789062</v>
      </c>
      <c r="T290" s="24">
        <v>8.2093589007854462E-2</v>
      </c>
      <c r="U290" s="24"/>
      <c r="V290" s="24"/>
      <c r="W290" s="24"/>
      <c r="X290" s="24"/>
      <c r="Y290" s="24"/>
      <c r="Z290" s="24"/>
      <c r="AA290" s="24"/>
      <c r="AB290" s="24"/>
      <c r="AC290" s="24"/>
      <c r="AD290" s="24"/>
      <c r="AE290" s="24"/>
      <c r="AF290" s="24"/>
      <c r="AG290" s="24"/>
      <c r="AH290" s="24"/>
      <c r="AI290" s="24"/>
      <c r="AJ290" s="24"/>
      <c r="AK290" s="24"/>
      <c r="AM290" s="24">
        <v>11.25</v>
      </c>
      <c r="AN290" s="24">
        <v>12.240095062584514</v>
      </c>
      <c r="AO290" s="24">
        <v>1.7390963383793156E-2</v>
      </c>
      <c r="AP290" s="24">
        <v>1.0849207783218873</v>
      </c>
      <c r="AQ290" s="24">
        <v>1.6238094568252563</v>
      </c>
      <c r="AR290" s="24">
        <v>28.099976301654095</v>
      </c>
      <c r="AS290" s="24">
        <v>0.31673733546156091</v>
      </c>
      <c r="AT290" s="24">
        <v>4.9902491569519043</v>
      </c>
      <c r="AU290" s="24">
        <v>5.5079072713851929E-2</v>
      </c>
      <c r="AV290" s="24">
        <v>11.25</v>
      </c>
      <c r="AW290" s="24">
        <v>11.992909493882195</v>
      </c>
      <c r="AX290" s="24">
        <v>1.4007889497234544E-2</v>
      </c>
      <c r="AY290" s="24">
        <v>0.87378189144153373</v>
      </c>
      <c r="AZ290" s="24">
        <v>1.6239742040634155</v>
      </c>
      <c r="BA290" s="24">
        <v>28.100733317401755</v>
      </c>
      <c r="BB290" s="24">
        <v>0.19028892434368236</v>
      </c>
      <c r="BC290" s="24">
        <v>4.9172425270080566</v>
      </c>
      <c r="BD290" s="12">
        <v>5.591815710067749E-2</v>
      </c>
      <c r="BE290" s="24">
        <v>11.25</v>
      </c>
      <c r="BF290" s="24">
        <v>12.240095062584514</v>
      </c>
      <c r="BH290" s="24">
        <f t="shared" si="51"/>
        <v>11.542266381922971</v>
      </c>
    </row>
    <row r="291" spans="3:60">
      <c r="C291" s="24">
        <v>3.5</v>
      </c>
      <c r="D291" s="24">
        <v>3.9298813856507833</v>
      </c>
      <c r="E291" s="24">
        <v>0.22974563100700468</v>
      </c>
      <c r="F291" s="24">
        <v>14.424222461909498</v>
      </c>
      <c r="G291" s="24">
        <v>1.6134825944900513</v>
      </c>
      <c r="H291" s="24">
        <v>28.052458620140161</v>
      </c>
      <c r="I291" s="24">
        <v>2.9771687006490657</v>
      </c>
      <c r="J291" s="24">
        <v>6.5631599426269531</v>
      </c>
      <c r="K291" s="24">
        <v>7.801065593957901E-2</v>
      </c>
      <c r="L291" s="24">
        <v>3.5</v>
      </c>
      <c r="M291" s="24">
        <v>3.7322995385557305</v>
      </c>
      <c r="N291" s="24">
        <v>0.14240980026970418</v>
      </c>
      <c r="O291" s="24">
        <v>8.9175213980300612</v>
      </c>
      <c r="P291" s="24">
        <v>1.6177266836166382</v>
      </c>
      <c r="Q291" s="24">
        <v>28.07200137960092</v>
      </c>
      <c r="R291" s="24">
        <v>1.8774422772261823</v>
      </c>
      <c r="S291" s="24">
        <v>5.9020824432373047</v>
      </c>
      <c r="T291" s="24">
        <v>7.3964320123195648E-2</v>
      </c>
      <c r="U291" s="24"/>
      <c r="V291" s="24"/>
      <c r="W291" s="24"/>
      <c r="X291" s="24"/>
      <c r="Y291" s="24"/>
      <c r="Z291" s="24"/>
      <c r="AA291" s="24"/>
      <c r="AB291" s="24"/>
      <c r="AC291" s="24"/>
      <c r="AD291" s="24"/>
      <c r="AE291" s="24"/>
      <c r="AF291" s="24"/>
      <c r="AG291" s="24"/>
      <c r="AH291" s="24"/>
      <c r="AI291" s="24"/>
      <c r="AJ291" s="24"/>
      <c r="AK291" s="24"/>
      <c r="AM291" s="24">
        <v>11.5</v>
      </c>
      <c r="AN291" s="24">
        <v>11.660688604459846</v>
      </c>
      <c r="AO291" s="24">
        <v>2.8734373200182111E-3</v>
      </c>
      <c r="AP291" s="24">
        <v>0.17917899292142173</v>
      </c>
      <c r="AQ291" s="24">
        <v>1.6245163679122925</v>
      </c>
      <c r="AR291" s="24">
        <v>28.103224825397838</v>
      </c>
      <c r="AS291" s="24">
        <v>5.9271779852692948E-2</v>
      </c>
      <c r="AT291" s="24">
        <v>4.8422608375549316</v>
      </c>
      <c r="AU291" s="24">
        <v>4.8492800444364548E-2</v>
      </c>
      <c r="BE291" s="24">
        <v>11.5</v>
      </c>
      <c r="BF291" s="24">
        <v>11.660688604459846</v>
      </c>
      <c r="BH291" s="24">
        <f t="shared" si="51"/>
        <v>11.727683181695809</v>
      </c>
    </row>
    <row r="292" spans="3:60">
      <c r="C292" s="24">
        <v>3.75</v>
      </c>
      <c r="D292" s="24">
        <v>4.1502770215976863</v>
      </c>
      <c r="E292" s="24">
        <v>0.14824376727121283</v>
      </c>
      <c r="F292" s="24">
        <v>9.2844648645325574</v>
      </c>
      <c r="G292" s="24">
        <v>1.6174430847167969</v>
      </c>
      <c r="H292" s="24">
        <v>28.070695938147512</v>
      </c>
      <c r="I292" s="24">
        <v>1.9517287847225082</v>
      </c>
      <c r="J292" s="24">
        <v>5.9462451934814453</v>
      </c>
      <c r="K292" s="24">
        <v>8.5065856575965881E-2</v>
      </c>
      <c r="L292" s="24">
        <v>3.75</v>
      </c>
      <c r="M292" s="24">
        <v>3.9575948477344287</v>
      </c>
      <c r="N292" s="24">
        <v>8.9543398505945851E-2</v>
      </c>
      <c r="O292" s="24">
        <v>5.5981968270630285</v>
      </c>
      <c r="P292" s="24">
        <v>1.6202977895736694</v>
      </c>
      <c r="Q292" s="24">
        <v>28.083831064674079</v>
      </c>
      <c r="R292" s="24">
        <v>1.1925461735680902</v>
      </c>
      <c r="S292" s="24">
        <v>5.498140811920166</v>
      </c>
      <c r="T292" s="24">
        <v>7.5335390865802765E-2</v>
      </c>
      <c r="U292" s="24"/>
      <c r="V292" s="24"/>
      <c r="W292" s="24"/>
      <c r="X292" s="24"/>
      <c r="Y292" s="24"/>
      <c r="Z292" s="24"/>
      <c r="AA292" s="24"/>
      <c r="AB292" s="24"/>
      <c r="AC292" s="24"/>
      <c r="AD292" s="24"/>
      <c r="AE292" s="24"/>
      <c r="AF292" s="24"/>
      <c r="AG292" s="24"/>
      <c r="AH292" s="24"/>
      <c r="AI292" s="24"/>
      <c r="AJ292" s="24"/>
      <c r="AK292" s="24"/>
      <c r="AM292" s="24">
        <v>11.75</v>
      </c>
      <c r="AN292" s="24">
        <v>12.810456575648695</v>
      </c>
      <c r="AO292" s="24">
        <v>1.4355166993000735E-2</v>
      </c>
      <c r="AP292" s="24">
        <v>0.89545363523421295</v>
      </c>
      <c r="AQ292" s="24">
        <v>1.6239572763442993</v>
      </c>
      <c r="AR292" s="24">
        <v>28.100655608625086</v>
      </c>
      <c r="AS292" s="24">
        <v>0.33711329055191758</v>
      </c>
      <c r="AT292" s="24">
        <v>5.0022506713867188</v>
      </c>
      <c r="AU292" s="24">
        <v>4.2726673185825348E-2</v>
      </c>
      <c r="BE292" s="24">
        <v>11.75</v>
      </c>
      <c r="BF292" s="24">
        <v>12.810456575648695</v>
      </c>
      <c r="BH292" s="24">
        <f t="shared" si="51"/>
        <v>12.045291409890678</v>
      </c>
    </row>
    <row r="293" spans="3:60">
      <c r="C293" s="24">
        <v>4</v>
      </c>
      <c r="D293" s="24">
        <v>4.3948469609748884</v>
      </c>
      <c r="E293" s="24">
        <v>9.4795879287483717E-2</v>
      </c>
      <c r="F293" s="24">
        <v>5.9275133781344511</v>
      </c>
      <c r="G293" s="24">
        <v>1.6200423240661621</v>
      </c>
      <c r="H293" s="24">
        <v>28.082655739866162</v>
      </c>
      <c r="I293" s="24">
        <v>1.260874842318024</v>
      </c>
      <c r="J293" s="24">
        <v>5.5381789207458496</v>
      </c>
      <c r="K293" s="24">
        <v>0.10154362767934799</v>
      </c>
      <c r="L293" s="24">
        <v>4</v>
      </c>
      <c r="M293" s="24">
        <v>4.1862531115082922</v>
      </c>
      <c r="N293" s="24">
        <v>5.3816611736538858E-2</v>
      </c>
      <c r="O293" s="24">
        <v>3.3609746396172655</v>
      </c>
      <c r="P293" s="24">
        <v>1.6220362186431885</v>
      </c>
      <c r="Q293" s="24">
        <v>28.091825492553749</v>
      </c>
      <c r="R293" s="24">
        <v>0.72246514385460125</v>
      </c>
      <c r="S293" s="24">
        <v>5.2242083549499512</v>
      </c>
      <c r="T293" s="24">
        <v>7.2595149278640747E-2</v>
      </c>
      <c r="U293" s="24"/>
      <c r="V293" s="24"/>
      <c r="W293" s="24"/>
      <c r="X293" s="24"/>
      <c r="Y293" s="24"/>
      <c r="Z293" s="24"/>
      <c r="AA293" s="24"/>
      <c r="AB293" s="24"/>
      <c r="AC293" s="24"/>
      <c r="AD293" s="24"/>
      <c r="AE293" s="24"/>
      <c r="AF293" s="24"/>
      <c r="AG293" s="24"/>
      <c r="AH293" s="24"/>
      <c r="AI293" s="24"/>
      <c r="AJ293" s="24"/>
      <c r="AK293" s="24"/>
      <c r="AM293" s="24">
        <v>12</v>
      </c>
      <c r="AN293" s="24">
        <v>12.082067005902084</v>
      </c>
      <c r="AO293" s="24">
        <v>1.1097711573397765E-3</v>
      </c>
      <c r="AP293" s="24">
        <v>6.9198365549541979E-2</v>
      </c>
      <c r="AQ293" s="24">
        <v>1.624602198600769</v>
      </c>
      <c r="AR293" s="24">
        <v>28.103619473313767</v>
      </c>
      <c r="AS293" s="24">
        <v>2.9605732395574701E-2</v>
      </c>
      <c r="AT293" s="24">
        <v>4.8252644538879395</v>
      </c>
      <c r="AU293" s="24">
        <v>3.7478480488061905E-2</v>
      </c>
      <c r="BE293" s="24">
        <v>12</v>
      </c>
      <c r="BF293" s="24">
        <v>12.082067005902084</v>
      </c>
      <c r="BH293" s="24">
        <f t="shared" si="51"/>
        <v>12.198326812148784</v>
      </c>
    </row>
    <row r="294" spans="3:60">
      <c r="C294" s="24">
        <v>4.25</v>
      </c>
      <c r="D294" s="24">
        <v>4.6399183752158955</v>
      </c>
      <c r="E294" s="24">
        <v>5.7178466871815284E-2</v>
      </c>
      <c r="F294" s="24">
        <v>3.5712906757416985</v>
      </c>
      <c r="G294" s="24">
        <v>1.6218726634979248</v>
      </c>
      <c r="H294" s="24">
        <v>28.091073224833892</v>
      </c>
      <c r="I294" s="24">
        <v>0.76729130565698533</v>
      </c>
      <c r="J294" s="24">
        <v>5.2502174377441406</v>
      </c>
      <c r="K294" s="24">
        <v>5.8337472379207611E-2</v>
      </c>
      <c r="L294" s="24">
        <v>4.25</v>
      </c>
      <c r="M294" s="24">
        <v>4.4179343563278595</v>
      </c>
      <c r="N294" s="24">
        <v>3.0637922216522579E-2</v>
      </c>
      <c r="O294" s="24">
        <v>1.9120807073345942</v>
      </c>
      <c r="P294" s="24">
        <v>1.6231645345687866</v>
      </c>
      <c r="Q294" s="24">
        <v>28.097012087220349</v>
      </c>
      <c r="R294" s="24">
        <v>0.41285078616024701</v>
      </c>
      <c r="S294" s="24">
        <v>5.0452132225036621</v>
      </c>
      <c r="T294" s="24">
        <v>6.9281026721000671E-2</v>
      </c>
      <c r="U294" s="24"/>
      <c r="V294" s="24"/>
      <c r="W294" s="24"/>
      <c r="X294" s="24"/>
      <c r="Y294" s="24"/>
      <c r="Z294" s="24"/>
      <c r="AA294" s="24"/>
      <c r="AB294" s="24"/>
      <c r="AC294" s="24"/>
      <c r="AD294" s="24"/>
      <c r="AE294" s="24"/>
      <c r="AF294" s="24"/>
      <c r="AG294" s="24"/>
      <c r="AH294" s="24"/>
      <c r="AI294" s="24"/>
      <c r="AJ294" s="24"/>
      <c r="AK294" s="24"/>
      <c r="AM294" s="24">
        <v>12.25</v>
      </c>
      <c r="AN294" s="24">
        <v>13.70084293019903</v>
      </c>
      <c r="AO294" s="24">
        <v>1.4081907975703236E-2</v>
      </c>
      <c r="AP294" s="24">
        <v>0.87840095365958926</v>
      </c>
      <c r="AQ294" s="24">
        <v>1.6239705085754395</v>
      </c>
      <c r="AR294" s="24">
        <v>28.10071675460836</v>
      </c>
      <c r="AS294" s="24">
        <v>0.42665159305486849</v>
      </c>
      <c r="AT294" s="24">
        <v>5.0542488098144531</v>
      </c>
      <c r="AU294" s="24">
        <v>3.3015176653862E-2</v>
      </c>
      <c r="BE294" s="24">
        <v>12.25</v>
      </c>
      <c r="BF294" s="24">
        <v>13.70084293019903</v>
      </c>
      <c r="BH294" s="24">
        <f t="shared" si="51"/>
        <v>12.563513779052414</v>
      </c>
    </row>
    <row r="295" spans="3:60">
      <c r="C295" s="24">
        <v>4.5</v>
      </c>
      <c r="D295" s="24">
        <v>4.8100663713324936</v>
      </c>
      <c r="E295" s="24">
        <v>2.8508982956087441E-2</v>
      </c>
      <c r="F295" s="24">
        <v>1.7791022345494143</v>
      </c>
      <c r="G295" s="24">
        <v>1.6232681274414063</v>
      </c>
      <c r="H295" s="24">
        <v>28.097488470710633</v>
      </c>
      <c r="I295" s="24">
        <v>0.45397233172135798</v>
      </c>
      <c r="J295" s="24">
        <v>5.0692415237426758</v>
      </c>
      <c r="K295" s="24">
        <v>6.3084639608860016E-2</v>
      </c>
      <c r="L295" s="24">
        <v>4.5</v>
      </c>
      <c r="M295" s="24">
        <v>4.6519358791574366</v>
      </c>
      <c r="N295" s="24">
        <v>1.6667029685788287E-2</v>
      </c>
      <c r="O295" s="24">
        <v>1.0397362076277661</v>
      </c>
      <c r="P295" s="24">
        <v>1.6238446235656738</v>
      </c>
      <c r="Q295" s="24">
        <v>28.100138293152959</v>
      </c>
      <c r="R295" s="24">
        <v>0.22514107521302851</v>
      </c>
      <c r="S295" s="24">
        <v>4.9372406005859375</v>
      </c>
      <c r="T295" s="24">
        <v>0.11213679611682892</v>
      </c>
      <c r="U295" s="24"/>
      <c r="V295" s="24"/>
      <c r="W295" s="24"/>
      <c r="X295" s="24"/>
      <c r="Y295" s="24"/>
      <c r="Z295" s="24"/>
      <c r="AA295" s="24"/>
      <c r="AB295" s="24"/>
      <c r="AC295" s="24"/>
      <c r="AD295" s="24"/>
      <c r="AE295" s="24"/>
      <c r="AF295" s="24"/>
      <c r="AG295" s="24"/>
      <c r="AH295" s="24"/>
      <c r="AI295" s="24"/>
      <c r="AJ295" s="24"/>
      <c r="AK295" s="24"/>
      <c r="AM295" s="24">
        <v>12.5</v>
      </c>
      <c r="AN295" s="24">
        <v>12.504727971038896</v>
      </c>
      <c r="AO295" s="24">
        <v>5.7011773180984765E-5</v>
      </c>
      <c r="AP295" s="24">
        <v>3.5547842477182609E-3</v>
      </c>
      <c r="AQ295" s="24">
        <v>1.6246534585952759</v>
      </c>
      <c r="AR295" s="24">
        <v>28.103855044708016</v>
      </c>
      <c r="AS295" s="24">
        <v>1.7360756192902247E-3</v>
      </c>
      <c r="AT295" s="24">
        <v>4.809269905090332</v>
      </c>
      <c r="AU295" s="24">
        <v>3.3015176653862E-2</v>
      </c>
      <c r="BE295" s="24">
        <v>12.5</v>
      </c>
      <c r="BF295" s="24">
        <v>12.504727971038896</v>
      </c>
      <c r="BH295" s="24">
        <f t="shared" si="51"/>
        <v>12.774523620697176</v>
      </c>
    </row>
    <row r="296" spans="3:60">
      <c r="C296" s="24">
        <v>4.75</v>
      </c>
      <c r="D296" s="24">
        <v>5.0359094088925236</v>
      </c>
      <c r="E296" s="24">
        <v>1.4571257955333547E-2</v>
      </c>
      <c r="F296" s="24">
        <v>0.90893895209479536</v>
      </c>
      <c r="G296" s="24">
        <v>1.6239466667175293</v>
      </c>
      <c r="H296" s="24">
        <v>28.100607254889137</v>
      </c>
      <c r="I296" s="24">
        <v>0.45078896971466598</v>
      </c>
      <c r="J296" s="24">
        <v>5.0682482719421387</v>
      </c>
      <c r="K296" s="24">
        <v>3.2348483800888062E-2</v>
      </c>
      <c r="L296" s="24">
        <v>4.75</v>
      </c>
      <c r="M296" s="24">
        <v>4.887807400238275</v>
      </c>
      <c r="N296" s="24">
        <v>8.4331248556045093E-3</v>
      </c>
      <c r="O296" s="24">
        <v>0.52595220047144431</v>
      </c>
      <c r="P296" s="24">
        <v>1.6242456436157227</v>
      </c>
      <c r="Q296" s="24">
        <v>28.101980758269061</v>
      </c>
      <c r="R296" s="24">
        <v>0.14647004592984419</v>
      </c>
      <c r="S296" s="24">
        <v>4.8922553062438965</v>
      </c>
      <c r="T296" s="24">
        <v>5.7651795446872711E-2</v>
      </c>
      <c r="U296" s="24"/>
      <c r="V296" s="24"/>
      <c r="W296" s="24"/>
      <c r="X296" s="24"/>
      <c r="Y296" s="24"/>
      <c r="Z296" s="24"/>
      <c r="AA296" s="24"/>
      <c r="AB296" s="24"/>
      <c r="AC296" s="24"/>
      <c r="AD296" s="24"/>
      <c r="AE296" s="24"/>
      <c r="AF296" s="24"/>
      <c r="AG296" s="24"/>
      <c r="AH296" s="24"/>
      <c r="AI296" s="24"/>
      <c r="AJ296" s="24"/>
      <c r="AK296" s="24"/>
      <c r="AM296" s="24">
        <v>12.75</v>
      </c>
      <c r="AN296" s="24">
        <v>12.754135188725424</v>
      </c>
      <c r="AO296" s="24">
        <v>4.4089104593294885E-5</v>
      </c>
      <c r="AP296" s="24">
        <v>2.7490320867188276E-3</v>
      </c>
      <c r="AQ296" s="24">
        <v>1.6246541738510132</v>
      </c>
      <c r="AR296" s="24">
        <v>28.103857936357429</v>
      </c>
      <c r="AS296" s="24">
        <v>1.7360755273757942E-3</v>
      </c>
      <c r="AT296" s="24">
        <v>4.8092708587646484</v>
      </c>
      <c r="AU296" s="24">
        <v>3.3015176653862E-2</v>
      </c>
      <c r="BE296" s="24">
        <v>12.75</v>
      </c>
      <c r="BF296" s="24">
        <v>12.754135188725424</v>
      </c>
      <c r="BH296" s="24">
        <f t="shared" si="51"/>
        <v>12.760443273966359</v>
      </c>
    </row>
    <row r="297" spans="3:60">
      <c r="C297" s="24">
        <v>5</v>
      </c>
      <c r="D297" s="24">
        <v>5.3348474845734071</v>
      </c>
      <c r="E297" s="24">
        <v>8.1241741672801911E-3</v>
      </c>
      <c r="F297" s="24">
        <v>0.50667905161514959</v>
      </c>
      <c r="G297" s="24">
        <v>1.6242606639862061</v>
      </c>
      <c r="H297" s="24">
        <v>28.102049890822517</v>
      </c>
      <c r="I297" s="24">
        <v>0.52744483358469374</v>
      </c>
      <c r="J297" s="24">
        <v>5.113248348236084</v>
      </c>
      <c r="K297" s="24">
        <v>1.5436233952641487E-2</v>
      </c>
      <c r="L297" s="24">
        <v>5</v>
      </c>
      <c r="M297" s="24">
        <v>5.125855405920718</v>
      </c>
      <c r="N297" s="24">
        <v>4.0141674312677428E-3</v>
      </c>
      <c r="O297" s="24">
        <v>0.25032008469165168</v>
      </c>
      <c r="P297" s="24">
        <v>1.6244608163833618</v>
      </c>
      <c r="Q297" s="24">
        <v>28.102969569176132</v>
      </c>
      <c r="R297" s="24">
        <v>0.14428559463659971</v>
      </c>
      <c r="S297" s="24">
        <v>4.8912620544433594</v>
      </c>
      <c r="T297" s="24">
        <v>2.7529055252671242E-2</v>
      </c>
      <c r="U297" s="24"/>
      <c r="V297" s="24"/>
      <c r="W297" s="24"/>
      <c r="X297" s="24"/>
      <c r="Y297" s="24"/>
      <c r="Z297" s="24"/>
      <c r="AA297" s="24"/>
      <c r="AB297" s="24"/>
      <c r="AC297" s="24"/>
      <c r="AD297" s="24"/>
      <c r="AE297" s="24"/>
      <c r="AF297" s="24"/>
      <c r="AG297" s="24"/>
      <c r="AH297" s="24"/>
      <c r="AI297" s="24"/>
      <c r="AJ297" s="24"/>
      <c r="AK297" s="24"/>
    </row>
    <row r="298" spans="3:60">
      <c r="C298" s="24">
        <v>5.25</v>
      </c>
      <c r="D298" s="24">
        <v>5.4647180458953173</v>
      </c>
      <c r="E298" s="24">
        <v>2.8765004468100791E-3</v>
      </c>
      <c r="F298" s="24">
        <v>0.17937001685483944</v>
      </c>
      <c r="G298" s="24">
        <v>1.6245161294937134</v>
      </c>
      <c r="H298" s="24">
        <v>28.103224139975264</v>
      </c>
      <c r="I298" s="24">
        <v>0.42203441962906868</v>
      </c>
      <c r="J298" s="24">
        <v>5.0522546768188477</v>
      </c>
      <c r="K298" s="24">
        <v>6.8175955675542355E-3</v>
      </c>
      <c r="L298" s="24">
        <v>5.25</v>
      </c>
      <c r="M298" s="24">
        <v>5.365486030370759</v>
      </c>
      <c r="N298" s="24">
        <v>1.787260261064445E-3</v>
      </c>
      <c r="O298" s="24">
        <v>0.11144459801688471</v>
      </c>
      <c r="P298" s="24">
        <v>1.6245691776275635</v>
      </c>
      <c r="Q298" s="24">
        <v>28.10346787452001</v>
      </c>
      <c r="R298" s="24">
        <v>0.14578691559581172</v>
      </c>
      <c r="S298" s="24">
        <v>4.8922648429870605</v>
      </c>
      <c r="T298" s="24">
        <v>1.2132959440350533E-2</v>
      </c>
      <c r="U298" s="24"/>
      <c r="V298" s="24"/>
      <c r="W298" s="24"/>
      <c r="X298" s="24"/>
      <c r="Y298" s="24"/>
      <c r="Z298" s="24"/>
      <c r="AA298" s="24"/>
      <c r="AB298" s="24"/>
      <c r="AC298" s="24"/>
      <c r="AD298" s="24"/>
      <c r="AE298" s="24"/>
      <c r="AF298" s="24"/>
      <c r="AG298" s="24"/>
      <c r="AH298" s="24"/>
      <c r="AI298" s="24"/>
      <c r="AJ298" s="24"/>
      <c r="AK298" s="24"/>
    </row>
    <row r="299" spans="3:60">
      <c r="C299" s="24">
        <v>5.5</v>
      </c>
      <c r="D299" s="24">
        <v>5.6489183030788137</v>
      </c>
      <c r="E299" s="24">
        <v>9.6869576951622797E-4</v>
      </c>
      <c r="F299" s="24">
        <v>6.0401534188360993E-2</v>
      </c>
      <c r="G299" s="24">
        <v>1.624609112739563</v>
      </c>
      <c r="H299" s="24">
        <v>28.103651041140473</v>
      </c>
      <c r="I299" s="24">
        <v>0.35122633417068677</v>
      </c>
      <c r="J299" s="24">
        <v>5.0112581253051758</v>
      </c>
      <c r="K299" s="24">
        <v>2.7544752229005098E-3</v>
      </c>
      <c r="L299" s="24">
        <v>5.5</v>
      </c>
      <c r="M299" s="24">
        <v>5.6059245201327519</v>
      </c>
      <c r="N299" s="24">
        <v>7.3904263124580051E-4</v>
      </c>
      <c r="O299" s="24">
        <v>4.6081548893543649E-2</v>
      </c>
      <c r="P299" s="24">
        <v>1.6246203184127808</v>
      </c>
      <c r="Q299" s="24">
        <v>28.103702429625621</v>
      </c>
      <c r="R299" s="24">
        <v>0.1491412720139477</v>
      </c>
      <c r="S299" s="24">
        <v>4.8942666053771973</v>
      </c>
      <c r="T299" s="24">
        <v>4.9058110453188419E-3</v>
      </c>
      <c r="U299" s="24"/>
      <c r="V299" s="24"/>
      <c r="W299" s="24"/>
      <c r="X299" s="24"/>
      <c r="Y299" s="24"/>
      <c r="Z299" s="24"/>
      <c r="AA299" s="24"/>
      <c r="AB299" s="24"/>
      <c r="AC299" s="24"/>
      <c r="AD299" s="24"/>
      <c r="AE299" s="24"/>
      <c r="AF299" s="24"/>
      <c r="AG299" s="24"/>
      <c r="AH299" s="24"/>
      <c r="AI299" s="24"/>
      <c r="AJ299" s="24"/>
      <c r="AK299" s="24"/>
    </row>
    <row r="300" spans="3:60">
      <c r="C300" s="15"/>
      <c r="D300" s="24"/>
      <c r="E300" s="24"/>
      <c r="F300" s="24"/>
      <c r="G300" s="24"/>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row>
    <row r="301" spans="3:60">
      <c r="C301" s="15"/>
      <c r="D301" s="24"/>
      <c r="E301" s="24"/>
      <c r="F301" s="24"/>
      <c r="G301" s="24"/>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row>
    <row r="302" spans="3:60">
      <c r="C302" s="15"/>
      <c r="D302" s="24"/>
      <c r="E302" s="24"/>
      <c r="F302" s="24"/>
      <c r="G302" s="24"/>
      <c r="H302" s="24"/>
      <c r="I302" s="24"/>
      <c r="J302" s="24"/>
      <c r="K302" s="24"/>
      <c r="L302" s="24"/>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row>
    <row r="303" spans="3:60">
      <c r="C303" s="15"/>
      <c r="D303" s="24"/>
      <c r="E303" s="24"/>
      <c r="F303" s="24"/>
      <c r="G303" s="24"/>
      <c r="H303" s="24"/>
      <c r="I303" s="24"/>
      <c r="J303" s="24"/>
      <c r="K303" s="24"/>
      <c r="M303" s="24"/>
      <c r="N303" s="24"/>
      <c r="O303" s="24"/>
      <c r="P303" s="24"/>
      <c r="Q303" s="24"/>
      <c r="R303" s="24"/>
      <c r="S303" s="24"/>
      <c r="T303" s="24"/>
      <c r="V303" s="24"/>
      <c r="W303" s="24"/>
      <c r="X303" s="24"/>
      <c r="Y303" s="24"/>
      <c r="Z303" s="24"/>
      <c r="AA303" s="24"/>
      <c r="AB303" s="24"/>
      <c r="AC303" s="24"/>
      <c r="AD303" s="24"/>
      <c r="AE303" s="24"/>
      <c r="AF303" s="24"/>
      <c r="AG303" s="24"/>
      <c r="AH303" s="24"/>
      <c r="AI303" s="24"/>
      <c r="AJ303" s="24"/>
      <c r="AK303" s="24"/>
    </row>
    <row r="304" spans="3:60">
      <c r="C304" s="15"/>
      <c r="D304" s="24"/>
      <c r="E304" s="24"/>
      <c r="F304" s="24"/>
      <c r="G304" s="24"/>
      <c r="H304" s="24"/>
      <c r="I304" s="24"/>
      <c r="J304" s="24"/>
      <c r="K304" s="24"/>
      <c r="M304" s="24"/>
      <c r="N304" s="24"/>
      <c r="O304" s="24"/>
      <c r="P304" s="24"/>
      <c r="Q304" s="24"/>
      <c r="R304" s="24"/>
      <c r="S304" s="24"/>
      <c r="T304" s="24"/>
      <c r="V304" s="24"/>
      <c r="W304" s="24"/>
      <c r="X304" s="24"/>
      <c r="Y304" s="24"/>
      <c r="Z304" s="24"/>
      <c r="AA304" s="24"/>
      <c r="AB304" s="24"/>
      <c r="AC304" s="24"/>
      <c r="AD304" s="24"/>
      <c r="AE304" s="24"/>
      <c r="AF304" s="24"/>
      <c r="AG304" s="24"/>
      <c r="AH304" s="24"/>
      <c r="AI304" s="24"/>
      <c r="AJ304" s="24"/>
      <c r="AK304" s="24"/>
    </row>
    <row r="305" spans="3:29">
      <c r="C305" s="15"/>
      <c r="D305" s="19" t="s">
        <v>295</v>
      </c>
      <c r="F305" s="24"/>
      <c r="G305" s="24"/>
      <c r="H305" s="24"/>
      <c r="I305" s="24"/>
      <c r="J305" s="24"/>
      <c r="K305" s="24"/>
      <c r="M305" s="24"/>
      <c r="N305" s="24"/>
      <c r="O305" s="24"/>
      <c r="P305" s="24"/>
      <c r="Q305" s="24"/>
      <c r="R305" s="24"/>
      <c r="S305" s="24"/>
      <c r="T305" s="24"/>
      <c r="V305" s="24"/>
      <c r="W305" s="24"/>
      <c r="X305" s="24"/>
      <c r="Y305" s="24"/>
      <c r="Z305" s="24"/>
      <c r="AA305" s="24"/>
      <c r="AB305" s="24"/>
      <c r="AC305" s="24"/>
    </row>
    <row r="306" spans="3:29">
      <c r="E306" s="28" t="s">
        <v>294</v>
      </c>
      <c r="F306" s="24" t="s">
        <v>265</v>
      </c>
      <c r="G306" s="24"/>
    </row>
    <row r="307" spans="3:29">
      <c r="E307" s="19">
        <v>0.87290334701538086</v>
      </c>
      <c r="F307" s="24">
        <v>1.089914083480835</v>
      </c>
      <c r="G307" s="24"/>
    </row>
    <row r="308" spans="3:29">
      <c r="E308" s="19">
        <v>0.86890047788619995</v>
      </c>
      <c r="F308" s="24">
        <v>1.1185052394866943</v>
      </c>
      <c r="G308" s="24"/>
    </row>
    <row r="309" spans="3:29">
      <c r="C309" s="24"/>
      <c r="E309" s="19">
        <v>0.86503815650939941</v>
      </c>
      <c r="F309" s="24">
        <v>1.0486327409744263</v>
      </c>
      <c r="G309" s="24"/>
    </row>
    <row r="310" spans="3:29">
      <c r="C310" s="24"/>
      <c r="E310" s="19">
        <v>0.86114203929901123</v>
      </c>
      <c r="F310" s="24">
        <v>1.0127477645874023</v>
      </c>
      <c r="G310" s="24"/>
    </row>
    <row r="311" spans="3:29">
      <c r="C311" s="24"/>
      <c r="E311" s="19">
        <v>0.84217619895935059</v>
      </c>
      <c r="F311" s="24">
        <v>0.90747839212417603</v>
      </c>
      <c r="G311" s="24"/>
      <c r="L311" s="24"/>
      <c r="T311" s="24"/>
    </row>
    <row r="312" spans="3:29">
      <c r="C312" s="25"/>
      <c r="D312" s="24"/>
      <c r="E312" s="19">
        <v>0.82375472784042358</v>
      </c>
      <c r="F312" s="24">
        <v>0.85692936182022095</v>
      </c>
      <c r="G312" s="24"/>
      <c r="H312" s="24"/>
      <c r="I312" s="24"/>
      <c r="J312" s="24"/>
      <c r="L312" s="24"/>
      <c r="M312" s="24"/>
      <c r="N312" s="24"/>
      <c r="O312" s="24"/>
      <c r="P312" s="24"/>
      <c r="Q312" s="24"/>
      <c r="R312" s="24"/>
      <c r="T312" s="24"/>
      <c r="U312" s="24"/>
      <c r="V312" s="24"/>
      <c r="W312" s="24"/>
      <c r="X312" s="24"/>
      <c r="Y312" s="24"/>
      <c r="Z312" s="24"/>
    </row>
    <row r="313" spans="3:29">
      <c r="C313" s="24"/>
      <c r="D313" s="24"/>
      <c r="E313" s="19">
        <v>0.80602520704269409</v>
      </c>
      <c r="F313" s="24">
        <v>0.79040437936782837</v>
      </c>
      <c r="G313" s="24"/>
      <c r="H313" s="24"/>
      <c r="I313" s="24"/>
      <c r="J313" s="24"/>
      <c r="L313" s="24"/>
      <c r="M313" s="24"/>
      <c r="N313" s="24"/>
      <c r="O313" s="24"/>
      <c r="P313" s="24"/>
      <c r="Q313" s="24"/>
      <c r="R313" s="24"/>
      <c r="T313" s="24"/>
      <c r="U313" s="24"/>
      <c r="V313" s="24"/>
      <c r="W313" s="24"/>
      <c r="X313" s="24"/>
      <c r="Y313" s="24"/>
      <c r="Z313" s="24"/>
    </row>
    <row r="314" spans="3:29">
      <c r="C314" s="24"/>
      <c r="D314" s="24"/>
      <c r="E314" s="19">
        <v>0.78877967596054077</v>
      </c>
      <c r="F314" s="24">
        <v>0.73233973979949951</v>
      </c>
      <c r="G314" s="24"/>
      <c r="H314" s="24"/>
      <c r="I314" s="24"/>
      <c r="J314" s="24"/>
      <c r="L314" s="24"/>
      <c r="M314" s="24"/>
      <c r="N314" s="24"/>
      <c r="O314" s="24"/>
      <c r="P314" s="24"/>
      <c r="Q314" s="24"/>
      <c r="R314" s="24"/>
      <c r="T314" s="24"/>
      <c r="U314" s="24"/>
      <c r="V314" s="24"/>
      <c r="W314" s="24"/>
      <c r="X314" s="24"/>
      <c r="Y314" s="24"/>
      <c r="Z314" s="24"/>
    </row>
    <row r="315" spans="3:29">
      <c r="C315" s="24"/>
      <c r="D315" s="24"/>
      <c r="E315" s="19">
        <v>0.77205741405487061</v>
      </c>
      <c r="F315" s="24">
        <v>0.69195330142974854</v>
      </c>
      <c r="G315" s="24"/>
      <c r="H315" s="24"/>
      <c r="I315" s="24"/>
      <c r="J315" s="24"/>
      <c r="L315" s="24"/>
      <c r="M315" s="24"/>
      <c r="N315" s="24"/>
      <c r="O315" s="24"/>
      <c r="P315" s="24"/>
      <c r="Q315" s="24"/>
      <c r="R315" s="24"/>
      <c r="T315" s="24"/>
      <c r="U315" s="24"/>
      <c r="V315" s="24"/>
      <c r="W315" s="24"/>
      <c r="X315" s="24"/>
      <c r="Y315" s="24"/>
      <c r="Z315" s="24"/>
    </row>
    <row r="316" spans="3:29">
      <c r="C316" s="24"/>
      <c r="D316" s="24"/>
      <c r="E316" s="19">
        <v>0.75584977865219116</v>
      </c>
      <c r="F316" s="24">
        <v>0.66469812393188477</v>
      </c>
      <c r="G316" s="24"/>
      <c r="H316" s="24"/>
      <c r="I316" s="24"/>
      <c r="J316" s="24"/>
      <c r="L316" s="24"/>
      <c r="M316" s="24"/>
      <c r="N316" s="24"/>
      <c r="O316" s="24"/>
      <c r="P316" s="24"/>
      <c r="Q316" s="24"/>
      <c r="R316" s="24"/>
      <c r="T316" s="24"/>
      <c r="U316" s="24"/>
      <c r="V316" s="24"/>
      <c r="W316" s="24"/>
      <c r="X316" s="24"/>
      <c r="Y316" s="24"/>
      <c r="Z316" s="24"/>
    </row>
    <row r="317" spans="3:29">
      <c r="C317" s="24"/>
      <c r="D317" s="24"/>
      <c r="E317" s="19">
        <v>0.74031656980514526</v>
      </c>
      <c r="F317" s="24">
        <v>0.62497061491012573</v>
      </c>
      <c r="G317" s="24"/>
      <c r="H317" s="24"/>
      <c r="I317" s="24"/>
      <c r="J317" s="24"/>
      <c r="L317" s="24"/>
      <c r="M317" s="24"/>
      <c r="N317" s="24"/>
      <c r="O317" s="24"/>
      <c r="P317" s="24"/>
      <c r="Q317" s="24"/>
      <c r="R317" s="24"/>
      <c r="T317" s="24"/>
      <c r="U317" s="24"/>
      <c r="V317" s="24"/>
      <c r="W317" s="24"/>
      <c r="X317" s="24"/>
      <c r="Y317" s="24"/>
      <c r="Z317" s="24"/>
    </row>
    <row r="318" spans="3:29">
      <c r="C318" s="24"/>
      <c r="D318" s="24"/>
      <c r="E318" s="19">
        <v>0.72526538372039795</v>
      </c>
      <c r="F318" s="24">
        <v>0.61937463283538818</v>
      </c>
      <c r="G318" s="24"/>
      <c r="H318" s="24"/>
      <c r="I318" s="24"/>
      <c r="J318" s="24"/>
      <c r="L318" s="24"/>
      <c r="M318" s="24"/>
      <c r="N318" s="24"/>
      <c r="O318" s="24"/>
      <c r="P318" s="24"/>
      <c r="Q318" s="24"/>
      <c r="R318" s="24"/>
      <c r="T318" s="24"/>
      <c r="U318" s="24"/>
      <c r="V318" s="24"/>
      <c r="W318" s="24"/>
      <c r="X318" s="24"/>
      <c r="Y318" s="24"/>
      <c r="Z318" s="24"/>
    </row>
    <row r="319" spans="3:29">
      <c r="C319" s="24"/>
      <c r="D319" s="24"/>
      <c r="E319" s="19">
        <v>0.71073669195175171</v>
      </c>
      <c r="F319" s="24">
        <v>0.58471524715423584</v>
      </c>
      <c r="G319" s="24"/>
      <c r="H319" s="24"/>
      <c r="I319" s="24"/>
      <c r="J319" s="24"/>
      <c r="L319" s="24"/>
      <c r="M319" s="24"/>
      <c r="N319" s="24"/>
      <c r="O319" s="24"/>
      <c r="P319" s="24"/>
      <c r="Q319" s="24"/>
      <c r="R319" s="24"/>
      <c r="T319" s="24"/>
      <c r="U319" s="24"/>
      <c r="V319" s="24"/>
      <c r="W319" s="24"/>
      <c r="X319" s="24"/>
      <c r="Y319" s="24"/>
      <c r="Z319" s="24"/>
    </row>
    <row r="320" spans="3:29">
      <c r="C320" s="24"/>
      <c r="D320" s="24"/>
      <c r="E320" s="19">
        <v>0.69692784547805786</v>
      </c>
      <c r="F320" s="24">
        <v>0.58258742094039917</v>
      </c>
      <c r="G320" s="24"/>
      <c r="H320" s="24"/>
      <c r="I320" s="24"/>
      <c r="J320" s="24"/>
      <c r="L320" s="24"/>
      <c r="M320" s="24"/>
      <c r="N320" s="24"/>
      <c r="O320" s="24"/>
      <c r="P320" s="24"/>
      <c r="Q320" s="24"/>
      <c r="R320" s="24"/>
      <c r="T320" s="24"/>
      <c r="U320" s="24"/>
      <c r="V320" s="24"/>
      <c r="W320" s="24"/>
      <c r="X320" s="24"/>
      <c r="Y320" s="24"/>
      <c r="Z320" s="24"/>
    </row>
    <row r="321" spans="3:37">
      <c r="C321" s="24"/>
      <c r="D321" s="24"/>
      <c r="E321" s="19">
        <v>0.68368566036224365</v>
      </c>
      <c r="F321" s="24">
        <v>0.57365584373474121</v>
      </c>
      <c r="G321" s="24"/>
      <c r="H321" s="24"/>
      <c r="I321" s="24"/>
      <c r="J321" s="24"/>
      <c r="L321" s="24"/>
      <c r="M321" s="24"/>
      <c r="N321" s="24"/>
      <c r="O321" s="24"/>
      <c r="P321" s="24"/>
      <c r="Q321" s="24"/>
      <c r="R321" s="24"/>
      <c r="T321" s="24"/>
      <c r="U321" s="24"/>
      <c r="V321" s="24"/>
      <c r="W321" s="24"/>
      <c r="X321" s="24"/>
      <c r="Y321" s="24"/>
      <c r="Z321" s="24"/>
    </row>
    <row r="322" spans="3:37">
      <c r="C322" s="24"/>
      <c r="D322" s="24"/>
      <c r="E322" s="19">
        <v>0.67095082998275757</v>
      </c>
      <c r="F322" s="24">
        <v>0.56265580654144287</v>
      </c>
      <c r="G322" s="24"/>
      <c r="H322" s="24"/>
      <c r="I322" s="24"/>
      <c r="J322" s="24"/>
      <c r="L322" s="24"/>
      <c r="M322" s="24"/>
      <c r="N322" s="24"/>
      <c r="O322" s="24"/>
      <c r="P322" s="24"/>
      <c r="Q322" s="24"/>
      <c r="R322" s="24"/>
      <c r="T322" s="24"/>
      <c r="U322" s="24"/>
      <c r="V322" s="24"/>
      <c r="W322" s="24"/>
      <c r="X322" s="24"/>
      <c r="Y322" s="24"/>
      <c r="Z322" s="24"/>
    </row>
    <row r="323" spans="3:37">
      <c r="C323" s="24"/>
      <c r="D323" s="24"/>
      <c r="E323" s="19">
        <v>0.65897691249847412</v>
      </c>
      <c r="F323" s="24">
        <v>0.55893844366073608</v>
      </c>
      <c r="G323" s="24"/>
      <c r="H323" s="24"/>
      <c r="I323" s="24"/>
      <c r="J323" s="24"/>
      <c r="L323" s="24"/>
      <c r="M323" s="24"/>
      <c r="N323" s="24"/>
      <c r="O323" s="24"/>
      <c r="P323" s="24"/>
      <c r="Q323" s="24"/>
      <c r="R323" s="24"/>
      <c r="T323" s="24"/>
      <c r="U323" s="24"/>
      <c r="V323" s="24"/>
      <c r="W323" s="24"/>
      <c r="X323" s="24"/>
      <c r="Y323" s="24"/>
      <c r="Z323" s="24"/>
    </row>
    <row r="324" spans="3:37">
      <c r="C324" s="24"/>
      <c r="D324" s="24"/>
      <c r="E324" s="19">
        <v>0.6475989818572998</v>
      </c>
      <c r="F324" s="24">
        <v>0.5503615140914917</v>
      </c>
      <c r="G324" s="24"/>
      <c r="H324" s="24"/>
      <c r="I324" s="24"/>
      <c r="J324" s="24"/>
      <c r="L324" s="24"/>
      <c r="M324" s="24"/>
      <c r="N324" s="24"/>
      <c r="O324" s="24"/>
      <c r="P324" s="24"/>
      <c r="Q324" s="24"/>
      <c r="R324" s="24"/>
      <c r="T324" s="24"/>
      <c r="U324" s="24"/>
      <c r="V324" s="24"/>
      <c r="W324" s="24"/>
      <c r="X324" s="24"/>
      <c r="Y324" s="24"/>
      <c r="Z324" s="24"/>
    </row>
    <row r="325" spans="3:37">
      <c r="C325" s="24"/>
      <c r="D325" s="24"/>
      <c r="E325" s="19">
        <v>0.63679611682891846</v>
      </c>
      <c r="F325" s="24">
        <v>0.53870213031768799</v>
      </c>
      <c r="G325" s="24"/>
      <c r="H325" s="24"/>
      <c r="I325" s="24"/>
      <c r="J325" s="24"/>
      <c r="L325" s="24"/>
      <c r="M325" s="24"/>
      <c r="N325" s="24"/>
      <c r="O325" s="24"/>
      <c r="P325" s="24"/>
      <c r="Q325" s="24"/>
      <c r="R325" s="24"/>
      <c r="T325" s="24"/>
      <c r="U325" s="24"/>
      <c r="V325" s="24"/>
      <c r="W325" s="24"/>
      <c r="X325" s="24"/>
      <c r="Y325" s="24"/>
      <c r="Z325" s="24"/>
    </row>
    <row r="326" spans="3:37">
      <c r="C326" s="24"/>
      <c r="D326" s="24"/>
      <c r="E326" s="19">
        <v>0.62651753425598145</v>
      </c>
      <c r="F326" s="24">
        <v>0.53865581750869751</v>
      </c>
      <c r="G326" s="24"/>
      <c r="H326" s="24"/>
      <c r="I326" s="24"/>
      <c r="J326" s="24"/>
      <c r="L326" s="24"/>
      <c r="M326" s="24"/>
      <c r="N326" s="24"/>
      <c r="O326" s="24"/>
      <c r="P326" s="24"/>
      <c r="Q326" s="24"/>
      <c r="R326" s="24"/>
      <c r="T326" s="24"/>
      <c r="U326" s="24"/>
      <c r="V326" s="24"/>
      <c r="W326" s="24"/>
      <c r="X326" s="24"/>
      <c r="Y326" s="24"/>
      <c r="Z326" s="24"/>
    </row>
    <row r="327" spans="3:37">
      <c r="C327" s="24"/>
      <c r="D327" s="19" t="s">
        <v>296</v>
      </c>
      <c r="E327" s="28"/>
      <c r="F327" s="24"/>
      <c r="G327" s="24"/>
      <c r="H327" s="24"/>
      <c r="I327" s="24"/>
      <c r="J327" s="24"/>
      <c r="L327" s="24"/>
      <c r="M327" s="24"/>
      <c r="N327" s="24"/>
      <c r="O327" s="24"/>
      <c r="P327" s="24"/>
      <c r="Q327" s="24"/>
      <c r="R327" s="24"/>
      <c r="T327" s="24"/>
      <c r="U327" s="24"/>
      <c r="V327" s="24"/>
      <c r="W327" s="24"/>
      <c r="X327" s="24"/>
      <c r="Y327" s="24"/>
      <c r="Z327" s="24"/>
    </row>
    <row r="328" spans="3:37">
      <c r="C328" s="24"/>
      <c r="D328" s="24"/>
      <c r="E328" s="19">
        <v>0.80602520704269409</v>
      </c>
      <c r="F328" s="24">
        <v>0.7648586630821228</v>
      </c>
      <c r="G328" s="24"/>
      <c r="H328" s="24"/>
      <c r="I328" s="24"/>
      <c r="J328" s="24"/>
      <c r="L328" s="24"/>
      <c r="M328" s="24"/>
      <c r="N328" s="24"/>
      <c r="O328" s="24"/>
      <c r="P328" s="24"/>
      <c r="Q328" s="24"/>
      <c r="R328" s="24"/>
      <c r="T328" s="24"/>
      <c r="U328" s="24"/>
      <c r="V328" s="24"/>
      <c r="W328" s="24"/>
      <c r="X328" s="24"/>
      <c r="Y328" s="24"/>
      <c r="Z328" s="24"/>
    </row>
    <row r="329" spans="3:37">
      <c r="C329" s="24"/>
      <c r="D329" s="24"/>
      <c r="E329" s="19">
        <v>0.74750268459320068</v>
      </c>
      <c r="F329" s="24">
        <v>0.56741207838058472</v>
      </c>
      <c r="G329" s="24"/>
      <c r="H329" s="24"/>
      <c r="I329" s="24"/>
      <c r="J329" s="24"/>
      <c r="L329" s="24"/>
      <c r="M329" s="24"/>
      <c r="N329" s="24"/>
      <c r="O329" s="24"/>
      <c r="P329" s="24"/>
      <c r="Q329" s="24"/>
      <c r="R329" s="24"/>
      <c r="T329" s="24"/>
      <c r="U329" s="24"/>
      <c r="V329" s="24"/>
      <c r="W329" s="24"/>
      <c r="X329" s="24"/>
      <c r="Y329" s="24"/>
      <c r="Z329" s="24"/>
    </row>
    <row r="330" spans="3:37">
      <c r="E330" s="19">
        <v>0.67620611190795898</v>
      </c>
      <c r="F330" s="24">
        <v>0.41568693518638611</v>
      </c>
    </row>
    <row r="331" spans="3:37">
      <c r="E331" s="19">
        <v>0.5910603404045105</v>
      </c>
      <c r="F331" s="24">
        <v>0.30795001983642578</v>
      </c>
    </row>
    <row r="332" spans="3:37">
      <c r="E332" s="19">
        <v>0.49358415603637695</v>
      </c>
      <c r="F332" s="24">
        <v>0.22587123513221741</v>
      </c>
    </row>
    <row r="333" spans="3:37">
      <c r="C333" s="24"/>
      <c r="E333" s="19">
        <v>0.38503479957580566</v>
      </c>
      <c r="F333" s="24">
        <v>0.15865586698055267</v>
      </c>
    </row>
    <row r="334" spans="3:37">
      <c r="C334" s="24"/>
      <c r="E334" s="19">
        <v>0.28166317939758301</v>
      </c>
      <c r="F334" s="24">
        <v>0.12546157836914063</v>
      </c>
      <c r="M334" s="24"/>
    </row>
    <row r="335" spans="3:37">
      <c r="C335" s="24"/>
      <c r="E335" s="19">
        <v>0.20065850019454956</v>
      </c>
      <c r="F335" s="24">
        <v>0.10209224373102188</v>
      </c>
      <c r="M335" s="24"/>
      <c r="V335" s="24"/>
    </row>
    <row r="336" spans="3:37">
      <c r="C336" s="25"/>
      <c r="D336" s="24"/>
      <c r="E336" s="19">
        <v>0.14810742437839508</v>
      </c>
      <c r="F336" s="24">
        <v>9.0033829212188721E-2</v>
      </c>
      <c r="G336" s="24"/>
      <c r="H336" s="24"/>
      <c r="I336" s="24"/>
      <c r="J336" s="24"/>
      <c r="M336" s="25"/>
      <c r="N336" s="25"/>
      <c r="O336" s="24"/>
      <c r="P336" s="24"/>
      <c r="Q336" s="24"/>
      <c r="R336" s="24"/>
      <c r="S336" s="24"/>
      <c r="T336" s="24"/>
      <c r="U336" s="24"/>
      <c r="V336" s="25"/>
      <c r="W336" s="24"/>
      <c r="X336" s="24"/>
      <c r="Y336" s="24"/>
      <c r="Z336" s="24"/>
      <c r="AA336" s="24"/>
      <c r="AB336" s="24"/>
      <c r="AC336" s="24"/>
      <c r="AD336" s="25"/>
      <c r="AE336" s="24"/>
      <c r="AF336" s="24"/>
      <c r="AG336" s="24"/>
      <c r="AH336" s="24"/>
      <c r="AI336" s="24"/>
      <c r="AJ336" s="24"/>
      <c r="AK336" s="24"/>
    </row>
    <row r="337" spans="3:37">
      <c r="C337" s="24"/>
      <c r="D337" s="24"/>
      <c r="E337" s="19">
        <v>0.11172289401292801</v>
      </c>
      <c r="F337" s="24">
        <v>8.791351318359375E-2</v>
      </c>
      <c r="G337" s="24"/>
      <c r="H337" s="24"/>
      <c r="I337" s="24"/>
      <c r="J337" s="24"/>
      <c r="M337" s="19"/>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row>
    <row r="338" spans="3:37">
      <c r="C338" s="24"/>
      <c r="D338" s="24"/>
      <c r="E338" s="19">
        <v>8.7438270449638367E-2</v>
      </c>
      <c r="F338" s="24">
        <v>7.6756283640861511E-2</v>
      </c>
      <c r="G338" s="24"/>
      <c r="H338" s="24"/>
      <c r="I338" s="24"/>
      <c r="J338" s="24"/>
      <c r="L338" s="24"/>
      <c r="M338" s="19"/>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row>
    <row r="339" spans="3:37">
      <c r="C339" s="24"/>
      <c r="D339" s="24"/>
      <c r="E339" s="19">
        <v>7.1204543113708496E-2</v>
      </c>
      <c r="F339" s="24">
        <v>0.13920076191425323</v>
      </c>
      <c r="G339" s="24"/>
      <c r="H339" s="24"/>
      <c r="I339" s="24"/>
      <c r="J339" s="24"/>
      <c r="L339" s="24"/>
      <c r="M339" s="19"/>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row>
    <row r="340" spans="3:37">
      <c r="C340" s="24"/>
      <c r="D340" s="24"/>
      <c r="E340" s="19">
        <v>5.8392118662595749E-2</v>
      </c>
      <c r="F340" s="24">
        <v>5.708351731300354E-2</v>
      </c>
      <c r="G340" s="24"/>
      <c r="H340" s="24"/>
      <c r="I340" s="24"/>
      <c r="J340" s="24"/>
      <c r="L340" s="24"/>
      <c r="M340" s="19"/>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row>
    <row r="341" spans="3:37">
      <c r="C341" s="24"/>
      <c r="D341" s="24"/>
      <c r="E341" s="19">
        <v>5.1418691873550415E-2</v>
      </c>
      <c r="F341" s="24">
        <v>2.0522404462099075E-2</v>
      </c>
      <c r="G341" s="24"/>
      <c r="H341" s="24"/>
      <c r="I341" s="24"/>
      <c r="J341" s="24"/>
      <c r="L341" s="24"/>
      <c r="M341" s="19"/>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row>
    <row r="342" spans="3:37">
      <c r="C342" s="24"/>
      <c r="D342" s="24"/>
      <c r="E342" s="19">
        <v>4.3775726109743118E-2</v>
      </c>
      <c r="F342" s="24">
        <v>6.2011806294322014E-3</v>
      </c>
      <c r="G342" s="24"/>
      <c r="H342" s="24"/>
      <c r="I342" s="24"/>
      <c r="J342" s="24"/>
      <c r="L342" s="24"/>
      <c r="M342" s="19"/>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row>
    <row r="343" spans="3:37">
      <c r="C343" s="24"/>
      <c r="D343" s="24"/>
      <c r="E343" s="19">
        <v>4.1642606258392334E-2</v>
      </c>
      <c r="F343" s="24">
        <v>1.5178107423707843E-3</v>
      </c>
      <c r="G343" s="24"/>
      <c r="H343" s="24"/>
      <c r="I343" s="24"/>
      <c r="J343" s="24"/>
      <c r="L343" s="24"/>
      <c r="M343" s="19"/>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row>
    <row r="344" spans="3:37">
      <c r="C344" s="24"/>
      <c r="D344" s="24"/>
      <c r="E344" s="19">
        <v>3.9989560842514038E-2</v>
      </c>
      <c r="F344" s="24">
        <v>2.0097827655263245E-4</v>
      </c>
      <c r="G344" s="24"/>
      <c r="H344" s="24"/>
      <c r="I344" s="24"/>
      <c r="J344" s="24"/>
      <c r="L344" s="24"/>
      <c r="M344" s="19"/>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row>
    <row r="345" spans="3:37">
      <c r="C345" s="24"/>
      <c r="D345" s="24"/>
      <c r="E345" s="24"/>
      <c r="F345" s="24"/>
      <c r="G345" s="24"/>
      <c r="H345" s="24"/>
      <c r="I345" s="24"/>
      <c r="J345" s="24"/>
      <c r="L345" s="24"/>
      <c r="M345" s="19"/>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row>
    <row r="346" spans="3:37">
      <c r="C346" s="24"/>
      <c r="D346" s="19" t="s">
        <v>297</v>
      </c>
      <c r="E346" s="19">
        <v>0.84276664257049561</v>
      </c>
      <c r="F346" s="24">
        <v>0.84941011667251587</v>
      </c>
      <c r="G346" s="24"/>
      <c r="H346" s="24"/>
      <c r="I346" s="24"/>
      <c r="J346" s="24"/>
      <c r="L346" s="24"/>
      <c r="M346" s="19"/>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row>
    <row r="347" spans="3:37">
      <c r="C347" s="24"/>
      <c r="D347" s="24"/>
      <c r="E347" s="19">
        <v>0.69888120889663696</v>
      </c>
      <c r="F347" s="24">
        <v>0.46195137500762939</v>
      </c>
      <c r="G347" s="24"/>
      <c r="H347" s="24"/>
      <c r="I347" s="24"/>
      <c r="J347" s="24"/>
      <c r="L347" s="24"/>
      <c r="M347" s="19"/>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row>
    <row r="348" spans="3:37">
      <c r="C348" s="24"/>
      <c r="D348" s="24"/>
      <c r="E348" s="19">
        <v>0.50802516937255859</v>
      </c>
      <c r="F348" s="24">
        <v>0.22677150368690491</v>
      </c>
      <c r="G348" s="24"/>
      <c r="H348" s="24"/>
      <c r="I348" s="24"/>
      <c r="J348" s="24"/>
      <c r="L348" s="24"/>
      <c r="M348" s="19"/>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row>
    <row r="349" spans="3:37">
      <c r="C349" s="24"/>
      <c r="D349" s="24"/>
      <c r="E349" s="19">
        <v>0.29741644859313965</v>
      </c>
      <c r="F349" s="24">
        <v>0.12668204307556152</v>
      </c>
      <c r="G349" s="24"/>
      <c r="H349" s="24"/>
      <c r="I349" s="24"/>
      <c r="J349" s="24"/>
      <c r="L349" s="24"/>
      <c r="M349" s="19"/>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row>
    <row r="350" spans="3:37">
      <c r="C350" s="24"/>
      <c r="D350" s="24"/>
      <c r="E350" s="19">
        <v>0.16160736978054047</v>
      </c>
      <c r="F350" s="24">
        <v>9.294264018535614E-2</v>
      </c>
      <c r="G350" s="24"/>
      <c r="H350" s="24"/>
      <c r="I350" s="24"/>
      <c r="J350" s="24"/>
      <c r="L350" s="24"/>
      <c r="M350" s="19"/>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row>
    <row r="351" spans="3:37">
      <c r="C351" s="24"/>
      <c r="D351" s="24"/>
      <c r="E351" s="19">
        <v>9.6490539610385895E-2</v>
      </c>
      <c r="F351" s="24">
        <v>6.8630136549472809E-2</v>
      </c>
      <c r="G351" s="24"/>
      <c r="H351" s="24"/>
      <c r="I351" s="24"/>
      <c r="J351" s="24"/>
      <c r="L351" s="24"/>
      <c r="M351" s="19"/>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row>
    <row r="352" spans="3:37">
      <c r="C352" s="24"/>
      <c r="D352" s="24"/>
      <c r="E352" s="19">
        <v>6.7539200186729431E-2</v>
      </c>
      <c r="F352" s="24">
        <v>6.3425265252590179E-2</v>
      </c>
      <c r="G352" s="24"/>
      <c r="H352" s="24"/>
      <c r="I352" s="24"/>
      <c r="J352" s="24"/>
      <c r="L352" s="24"/>
      <c r="M352" s="19"/>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row>
    <row r="353" spans="3:37">
      <c r="C353" s="24"/>
      <c r="D353" s="24"/>
      <c r="E353" s="19">
        <v>6.0380090028047562E-2</v>
      </c>
      <c r="F353" s="24">
        <v>6.7927590571343899E-3</v>
      </c>
      <c r="G353" s="24"/>
      <c r="H353" s="24"/>
      <c r="I353" s="24"/>
      <c r="J353" s="24"/>
      <c r="L353" s="24"/>
      <c r="M353" s="19"/>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row>
    <row r="354" spans="3:37">
      <c r="C354" s="24"/>
      <c r="D354" s="24"/>
      <c r="E354" s="19">
        <v>2.2856309078633785E-3</v>
      </c>
      <c r="F354" s="24">
        <v>6.7927590571343899E-3</v>
      </c>
      <c r="G354" s="24"/>
      <c r="H354" s="24"/>
      <c r="I354" s="24"/>
      <c r="J354" s="24"/>
      <c r="L354" s="24"/>
      <c r="M354" s="19"/>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row>
    <row r="355" spans="3:37">
      <c r="C355" s="24"/>
      <c r="D355" s="24"/>
      <c r="E355" s="24"/>
      <c r="F355" s="24"/>
      <c r="G355" s="24"/>
      <c r="H355" s="24"/>
      <c r="I355" s="24"/>
      <c r="J355" s="24"/>
      <c r="L355" s="24"/>
      <c r="M355" s="19"/>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row>
    <row r="356" spans="3:37">
      <c r="C356" s="24"/>
      <c r="D356" s="19" t="s">
        <v>298</v>
      </c>
      <c r="E356" s="19">
        <v>0.84959036111831665</v>
      </c>
      <c r="F356" s="24">
        <v>0.76905924081802368</v>
      </c>
      <c r="G356" s="24"/>
      <c r="H356" s="24"/>
      <c r="I356" s="24"/>
      <c r="J356" s="24"/>
      <c r="L356" s="24"/>
      <c r="M356" s="19"/>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row>
    <row r="357" spans="3:37">
      <c r="D357" s="24"/>
      <c r="E357" s="19">
        <v>0.780098557472229</v>
      </c>
      <c r="F357" s="24">
        <v>0.56288224458694458</v>
      </c>
      <c r="G357" s="24"/>
      <c r="H357" s="24"/>
      <c r="I357" s="24"/>
      <c r="J357" s="24"/>
      <c r="K357" s="24"/>
      <c r="L357" s="24"/>
      <c r="M357" s="19"/>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row>
    <row r="358" spans="3:37">
      <c r="C358" s="24"/>
      <c r="D358" s="24"/>
      <c r="E358" s="19">
        <v>0.69735908508300781</v>
      </c>
      <c r="F358" s="24">
        <v>0.40932896733283997</v>
      </c>
      <c r="G358" s="24"/>
      <c r="H358" s="24"/>
      <c r="I358" s="24"/>
      <c r="J358" s="24"/>
      <c r="K358" s="24"/>
      <c r="L358" s="24"/>
      <c r="M358" s="19"/>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row>
    <row r="359" spans="3:37">
      <c r="C359" s="24"/>
      <c r="D359" s="24"/>
      <c r="E359" s="19">
        <v>0.60111874341964722</v>
      </c>
      <c r="F359" s="24">
        <v>0.30129298567771912</v>
      </c>
      <c r="G359" s="24"/>
      <c r="H359" s="24"/>
      <c r="I359" s="24"/>
      <c r="J359" s="24"/>
      <c r="K359" s="24"/>
      <c r="L359" s="24"/>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row>
    <row r="360" spans="3:37">
      <c r="C360" s="24"/>
      <c r="D360" s="24"/>
      <c r="E360" s="19">
        <v>0.49455726146697998</v>
      </c>
      <c r="F360" s="24">
        <v>0.21113130450248718</v>
      </c>
      <c r="G360" s="24"/>
      <c r="H360" s="24"/>
      <c r="I360" s="24"/>
      <c r="J360" s="24"/>
      <c r="K360" s="24"/>
      <c r="L360" s="24"/>
      <c r="M360" s="24"/>
      <c r="N360" s="24"/>
      <c r="O360" s="24"/>
      <c r="P360" s="24"/>
      <c r="Q360" s="24"/>
      <c r="R360" s="24"/>
      <c r="S360" s="24"/>
      <c r="T360" s="24"/>
      <c r="U360" s="24"/>
      <c r="AD360" s="24"/>
      <c r="AE360" s="24"/>
      <c r="AF360" s="24"/>
      <c r="AG360" s="24"/>
      <c r="AH360" s="24"/>
      <c r="AI360" s="24"/>
      <c r="AJ360" s="24"/>
      <c r="AK360" s="24"/>
    </row>
    <row r="361" spans="3:37">
      <c r="E361" s="19">
        <v>0.38160872459411621</v>
      </c>
      <c r="F361" s="24">
        <v>0.15654824674129486</v>
      </c>
      <c r="K361" s="24"/>
      <c r="L361" s="24"/>
      <c r="M361" s="24"/>
      <c r="N361" s="24"/>
      <c r="O361" s="24"/>
      <c r="P361" s="24"/>
      <c r="Q361" s="24"/>
      <c r="R361" s="24"/>
      <c r="S361" s="24"/>
      <c r="T361" s="24"/>
      <c r="U361" s="24"/>
      <c r="AD361" s="24"/>
      <c r="AE361" s="24"/>
      <c r="AF361" s="24"/>
      <c r="AG361" s="24"/>
      <c r="AH361" s="24"/>
      <c r="AI361" s="24"/>
      <c r="AJ361" s="24"/>
      <c r="AK361" s="24"/>
    </row>
    <row r="362" spans="3:37">
      <c r="E362" s="19">
        <v>0.27984941005706787</v>
      </c>
      <c r="F362" s="24">
        <v>0.11744129657745361</v>
      </c>
      <c r="K362" s="24"/>
      <c r="L362" s="24"/>
      <c r="M362" s="24"/>
      <c r="N362" s="24"/>
      <c r="O362" s="24"/>
      <c r="P362" s="24"/>
      <c r="Q362" s="24"/>
      <c r="R362" s="24"/>
      <c r="S362" s="24"/>
      <c r="T362" s="24"/>
      <c r="U362" s="24"/>
      <c r="AD362" s="24"/>
      <c r="AE362" s="24"/>
      <c r="AF362" s="24"/>
      <c r="AG362" s="24"/>
      <c r="AH362" s="24"/>
      <c r="AI362" s="24"/>
      <c r="AJ362" s="24"/>
      <c r="AK362" s="24"/>
    </row>
    <row r="363" spans="3:37">
      <c r="E363" s="19">
        <v>0.20174366235733032</v>
      </c>
      <c r="F363" s="24">
        <v>0.10119350254535675</v>
      </c>
      <c r="K363" s="24"/>
      <c r="L363" s="24"/>
      <c r="M363" s="24"/>
      <c r="N363" s="24"/>
      <c r="O363" s="24"/>
      <c r="P363" s="24"/>
      <c r="Q363" s="24"/>
      <c r="R363" s="24"/>
      <c r="S363" s="24"/>
      <c r="T363" s="24"/>
      <c r="U363" s="24"/>
      <c r="AD363" s="24"/>
      <c r="AE363" s="24"/>
      <c r="AF363" s="24"/>
      <c r="AG363" s="24"/>
      <c r="AH363" s="24"/>
      <c r="AI363" s="24"/>
      <c r="AJ363" s="24"/>
      <c r="AK363" s="24"/>
    </row>
    <row r="364" spans="3:37">
      <c r="E364" s="19">
        <v>0.14983260631561279</v>
      </c>
      <c r="F364" s="24">
        <v>9.0380750596523285E-2</v>
      </c>
      <c r="K364" s="24"/>
      <c r="L364" s="24"/>
      <c r="M364" s="24"/>
      <c r="N364" s="24"/>
      <c r="O364" s="24"/>
      <c r="P364" s="24"/>
      <c r="Q364" s="24"/>
      <c r="R364" s="24"/>
      <c r="S364" s="24"/>
      <c r="T364" s="24"/>
      <c r="U364" s="24"/>
      <c r="AD364" s="24"/>
      <c r="AE364" s="24"/>
      <c r="AF364" s="24"/>
      <c r="AG364" s="24"/>
      <c r="AH364" s="24"/>
      <c r="AI364" s="24"/>
      <c r="AJ364" s="24"/>
      <c r="AK364" s="24"/>
    </row>
    <row r="365" spans="3:37">
      <c r="E365" s="19">
        <v>0.11293911933898926</v>
      </c>
      <c r="F365" s="24">
        <v>7.7660523355007172E-2</v>
      </c>
      <c r="K365" s="24"/>
      <c r="L365" s="24"/>
      <c r="M365" s="24"/>
      <c r="N365" s="24"/>
      <c r="O365" s="24"/>
      <c r="P365" s="24"/>
      <c r="Q365" s="24"/>
      <c r="R365" s="24"/>
      <c r="S365" s="24"/>
      <c r="T365" s="24"/>
      <c r="U365" s="24"/>
      <c r="AD365" s="24"/>
      <c r="AE365" s="24"/>
      <c r="AF365" s="24"/>
      <c r="AG365" s="24"/>
      <c r="AH365" s="24"/>
      <c r="AI365" s="24"/>
      <c r="AJ365" s="24"/>
      <c r="AK365" s="24"/>
    </row>
    <row r="366" spans="3:37">
      <c r="E366" s="19">
        <v>8.7756827473640442E-2</v>
      </c>
      <c r="F366" s="24">
        <v>7.7394820749759674E-2</v>
      </c>
      <c r="K366" s="24"/>
      <c r="L366" s="24"/>
      <c r="M366" s="24"/>
      <c r="N366" s="24"/>
      <c r="O366" s="24"/>
      <c r="P366" s="24"/>
      <c r="Q366" s="24"/>
      <c r="R366" s="24"/>
      <c r="S366" s="24"/>
      <c r="T366" s="24"/>
      <c r="U366" s="24"/>
      <c r="AD366" s="24"/>
      <c r="AE366" s="24"/>
      <c r="AF366" s="24"/>
      <c r="AG366" s="24"/>
      <c r="AH366" s="24"/>
      <c r="AI366" s="24"/>
      <c r="AJ366" s="24"/>
      <c r="AK366" s="24"/>
    </row>
    <row r="367" spans="3:37">
      <c r="E367" s="19">
        <v>7.1539193391799927E-2</v>
      </c>
      <c r="F367" s="24">
        <v>7.0872262120246887E-2</v>
      </c>
      <c r="K367" s="24"/>
      <c r="L367" s="24"/>
      <c r="M367" s="19"/>
      <c r="N367" s="24"/>
      <c r="O367" s="24"/>
      <c r="P367" s="24"/>
      <c r="Q367" s="24"/>
      <c r="R367" s="24"/>
      <c r="S367" s="24"/>
      <c r="T367" s="24"/>
      <c r="U367" s="24"/>
      <c r="AD367" s="24"/>
      <c r="AE367" s="24"/>
      <c r="AF367" s="24"/>
      <c r="AG367" s="24"/>
      <c r="AH367" s="24"/>
      <c r="AI367" s="24"/>
      <c r="AJ367" s="24"/>
      <c r="AK367" s="24"/>
    </row>
    <row r="368" spans="3:37">
      <c r="E368" s="19">
        <v>5.8236744254827499E-2</v>
      </c>
      <c r="F368" s="24">
        <v>5.7552989572286606E-2</v>
      </c>
      <c r="K368" s="24"/>
      <c r="L368" s="24"/>
      <c r="M368" s="19"/>
      <c r="N368" s="24"/>
      <c r="O368" s="24"/>
      <c r="P368" s="24"/>
      <c r="Q368" s="24"/>
      <c r="R368" s="24"/>
      <c r="S368" s="24"/>
      <c r="T368" s="24"/>
      <c r="U368" s="24"/>
      <c r="AD368" s="24"/>
      <c r="AE368" s="24"/>
      <c r="AF368" s="24"/>
      <c r="AG368" s="24"/>
      <c r="AH368" s="24"/>
      <c r="AI368" s="24"/>
      <c r="AJ368" s="24"/>
      <c r="AK368" s="24"/>
    </row>
    <row r="369" spans="4:37">
      <c r="E369" s="19">
        <v>5.1189381629228592E-2</v>
      </c>
      <c r="F369" s="24">
        <v>2.0714862272143364E-2</v>
      </c>
      <c r="K369" s="24"/>
      <c r="L369" s="24"/>
      <c r="M369" s="19"/>
      <c r="N369" s="24"/>
      <c r="O369" s="24"/>
      <c r="P369" s="24"/>
      <c r="Q369" s="24"/>
      <c r="R369" s="24"/>
      <c r="S369" s="24"/>
      <c r="T369" s="24"/>
      <c r="U369" s="24"/>
      <c r="AD369" s="24"/>
      <c r="AE369" s="24"/>
      <c r="AF369" s="24"/>
      <c r="AG369" s="24"/>
      <c r="AH369" s="24"/>
      <c r="AI369" s="24"/>
      <c r="AJ369" s="24"/>
      <c r="AK369" s="24"/>
    </row>
    <row r="370" spans="4:37">
      <c r="E370" s="19">
        <v>4.3536096811294556E-2</v>
      </c>
      <c r="F370" s="24">
        <v>6.2635205686092377E-3</v>
      </c>
      <c r="K370" s="24"/>
      <c r="L370" s="24"/>
      <c r="M370" s="19"/>
      <c r="N370" s="24"/>
      <c r="O370" s="24"/>
      <c r="P370" s="24"/>
      <c r="Q370" s="24"/>
      <c r="R370" s="24"/>
      <c r="S370" s="24"/>
      <c r="T370" s="24"/>
      <c r="U370" s="24"/>
      <c r="AD370" s="24"/>
      <c r="AE370" s="24"/>
      <c r="AF370" s="24"/>
      <c r="AG370" s="24"/>
      <c r="AH370" s="24"/>
      <c r="AI370" s="24"/>
      <c r="AJ370" s="24"/>
      <c r="AK370" s="24"/>
    </row>
    <row r="371" spans="4:37">
      <c r="E371" s="19">
        <v>4.1353784501552582E-2</v>
      </c>
      <c r="F371" s="24">
        <v>1.5331908361986279E-3</v>
      </c>
      <c r="K371" s="24"/>
      <c r="L371" s="24"/>
      <c r="M371" s="19"/>
      <c r="N371" s="24"/>
      <c r="O371" s="24"/>
      <c r="P371" s="24"/>
      <c r="Q371" s="24"/>
      <c r="R371" s="24"/>
      <c r="S371" s="24"/>
      <c r="T371" s="24"/>
      <c r="U371" s="24"/>
      <c r="AD371" s="24"/>
      <c r="AE371" s="24"/>
      <c r="AF371" s="24"/>
      <c r="AG371" s="24"/>
      <c r="AH371" s="24"/>
      <c r="AI371" s="24"/>
      <c r="AJ371" s="24"/>
      <c r="AK371" s="24"/>
    </row>
    <row r="372" spans="4:37">
      <c r="E372" s="19">
        <v>3.9865687489509583E-2</v>
      </c>
      <c r="F372" s="24">
        <v>2.0316484733484685E-4</v>
      </c>
      <c r="K372" s="24"/>
      <c r="L372" s="24"/>
      <c r="M372" s="19"/>
      <c r="N372" s="24"/>
      <c r="O372" s="24"/>
      <c r="P372" s="24"/>
      <c r="Q372" s="24"/>
      <c r="R372" s="24"/>
      <c r="S372" s="24"/>
      <c r="T372" s="24"/>
      <c r="U372" s="24"/>
      <c r="AD372" s="24"/>
      <c r="AE372" s="24"/>
      <c r="AF372" s="24"/>
      <c r="AG372" s="24"/>
      <c r="AH372" s="24"/>
      <c r="AI372" s="24"/>
      <c r="AJ372" s="24"/>
      <c r="AK372" s="24"/>
    </row>
    <row r="373" spans="4:37">
      <c r="K373" s="24"/>
      <c r="L373" s="24"/>
      <c r="M373" s="19"/>
      <c r="N373" s="24"/>
      <c r="O373" s="24"/>
      <c r="P373" s="24"/>
      <c r="Q373" s="24"/>
      <c r="R373" s="24"/>
      <c r="S373" s="24"/>
      <c r="T373" s="24"/>
      <c r="U373" s="24"/>
      <c r="AD373" s="24"/>
      <c r="AE373" s="24"/>
      <c r="AF373" s="24"/>
      <c r="AG373" s="24"/>
      <c r="AH373" s="24"/>
      <c r="AI373" s="24"/>
      <c r="AJ373" s="24"/>
      <c r="AK373" s="24"/>
    </row>
    <row r="374" spans="4:37">
      <c r="D374" s="19" t="s">
        <v>299</v>
      </c>
      <c r="E374" s="19">
        <v>0.88202643394470215</v>
      </c>
      <c r="F374" s="24">
        <v>0.99230265617370605</v>
      </c>
      <c r="K374" s="24"/>
      <c r="L374" s="24"/>
      <c r="M374" s="19"/>
      <c r="N374" s="24"/>
      <c r="O374" s="24"/>
      <c r="P374" s="24"/>
      <c r="Q374" s="24"/>
      <c r="R374" s="24"/>
      <c r="S374" s="24"/>
      <c r="T374" s="24"/>
      <c r="U374" s="24"/>
      <c r="AD374" s="24"/>
      <c r="AE374" s="24"/>
      <c r="AF374" s="24"/>
      <c r="AG374" s="24"/>
      <c r="AH374" s="24"/>
      <c r="AI374" s="24"/>
      <c r="AJ374" s="24"/>
      <c r="AK374" s="24"/>
    </row>
    <row r="375" spans="4:37">
      <c r="E375" s="19">
        <v>0.87364077568054199</v>
      </c>
      <c r="F375" s="24">
        <v>0.93124806880950928</v>
      </c>
      <c r="K375" s="24"/>
      <c r="L375" s="24"/>
      <c r="M375" s="19"/>
      <c r="N375" s="24"/>
      <c r="O375" s="24"/>
      <c r="P375" s="24"/>
      <c r="Q375" s="24"/>
      <c r="R375" s="24"/>
      <c r="S375" s="24"/>
      <c r="T375" s="24"/>
      <c r="U375" s="24"/>
      <c r="AD375" s="24"/>
      <c r="AE375" s="24"/>
      <c r="AF375" s="24"/>
      <c r="AG375" s="24"/>
      <c r="AH375" s="24"/>
      <c r="AI375" s="24"/>
      <c r="AJ375" s="24"/>
      <c r="AK375" s="24"/>
    </row>
    <row r="376" spans="4:37">
      <c r="E376" s="19">
        <v>0.86548572778701782</v>
      </c>
      <c r="F376" s="24">
        <v>0.88707226514816284</v>
      </c>
      <c r="K376" s="24"/>
      <c r="L376" s="24"/>
      <c r="M376" s="19"/>
      <c r="N376" s="24"/>
      <c r="O376" s="24"/>
      <c r="P376" s="24"/>
      <c r="Q376" s="24"/>
      <c r="R376" s="24"/>
      <c r="S376" s="24"/>
      <c r="T376" s="24"/>
      <c r="U376" s="24"/>
      <c r="AD376" s="24"/>
      <c r="AE376" s="24"/>
      <c r="AF376" s="24"/>
      <c r="AG376" s="24"/>
      <c r="AH376" s="24"/>
      <c r="AI376" s="24"/>
      <c r="AJ376" s="24"/>
      <c r="AK376" s="24"/>
    </row>
    <row r="377" spans="4:37">
      <c r="E377" s="19">
        <v>0.85945636034011841</v>
      </c>
      <c r="F377" s="24">
        <v>0.9108385443687439</v>
      </c>
      <c r="K377" s="24"/>
      <c r="L377" s="24"/>
      <c r="M377" s="19"/>
      <c r="N377" s="24"/>
      <c r="O377" s="24"/>
      <c r="P377" s="24"/>
      <c r="Q377" s="24"/>
      <c r="R377" s="24"/>
      <c r="S377" s="24"/>
      <c r="T377" s="24"/>
      <c r="U377" s="24"/>
      <c r="AD377" s="24"/>
      <c r="AE377" s="24"/>
      <c r="AF377" s="24"/>
      <c r="AG377" s="24"/>
      <c r="AH377" s="24"/>
      <c r="AI377" s="24"/>
      <c r="AJ377" s="24"/>
      <c r="AK377" s="24"/>
    </row>
    <row r="378" spans="4:37">
      <c r="E378" s="19">
        <v>0.83966249227523804</v>
      </c>
      <c r="F378" s="24">
        <v>0.82969504594802856</v>
      </c>
      <c r="K378" s="24"/>
      <c r="L378" s="24"/>
      <c r="M378" s="19"/>
      <c r="N378" s="24"/>
      <c r="O378" s="24"/>
      <c r="P378" s="24"/>
      <c r="Q378" s="24"/>
      <c r="R378" s="24"/>
      <c r="S378" s="24"/>
      <c r="T378" s="24"/>
      <c r="U378" s="24"/>
      <c r="AD378" s="24"/>
      <c r="AE378" s="24"/>
      <c r="AF378" s="24"/>
      <c r="AG378" s="24"/>
      <c r="AH378" s="24"/>
      <c r="AI378" s="24"/>
      <c r="AJ378" s="24"/>
      <c r="AK378" s="24"/>
    </row>
    <row r="379" spans="4:37">
      <c r="E379" s="19">
        <v>0.8205077052116394</v>
      </c>
      <c r="F379" s="24">
        <v>0.7285231351852417</v>
      </c>
      <c r="K379" s="24"/>
      <c r="L379" s="24"/>
      <c r="M379" s="19"/>
      <c r="N379" s="24"/>
      <c r="O379" s="24"/>
      <c r="P379" s="24"/>
      <c r="Q379" s="24"/>
      <c r="R379" s="24"/>
      <c r="S379" s="24"/>
      <c r="T379" s="24"/>
      <c r="U379" s="24"/>
      <c r="AD379" s="24"/>
      <c r="AE379" s="24"/>
      <c r="AF379" s="24"/>
      <c r="AG379" s="24"/>
      <c r="AH379" s="24"/>
      <c r="AI379" s="24"/>
      <c r="AJ379" s="24"/>
      <c r="AK379" s="24"/>
    </row>
    <row r="380" spans="4:37">
      <c r="E380" s="19">
        <v>0.80172789096832275</v>
      </c>
      <c r="F380" s="24">
        <v>0.66978085041046143</v>
      </c>
      <c r="K380" s="24"/>
      <c r="L380" s="24"/>
      <c r="M380" s="19"/>
      <c r="N380" s="24"/>
      <c r="O380" s="24"/>
      <c r="P380" s="24"/>
      <c r="Q380" s="24"/>
      <c r="R380" s="24"/>
      <c r="S380" s="24"/>
      <c r="T380" s="24"/>
      <c r="U380" s="24"/>
      <c r="AD380" s="24"/>
      <c r="AE380" s="24"/>
      <c r="AF380" s="24"/>
      <c r="AG380" s="24"/>
      <c r="AH380" s="24"/>
      <c r="AI380" s="24"/>
      <c r="AJ380" s="24"/>
      <c r="AK380" s="24"/>
    </row>
    <row r="381" spans="4:37">
      <c r="E381" s="19">
        <v>0.78349041938781738</v>
      </c>
      <c r="F381" s="24">
        <v>0.62719506025314331</v>
      </c>
      <c r="K381" s="24"/>
      <c r="L381" s="24"/>
      <c r="M381" s="19"/>
      <c r="N381" s="24"/>
      <c r="O381" s="24"/>
      <c r="P381" s="24"/>
      <c r="Q381" s="24"/>
      <c r="R381" s="24"/>
      <c r="S381" s="24"/>
      <c r="T381" s="24"/>
      <c r="U381" s="24"/>
      <c r="AD381" s="24"/>
      <c r="AE381" s="24"/>
      <c r="AF381" s="24"/>
      <c r="AG381" s="24"/>
      <c r="AH381" s="24"/>
      <c r="AI381" s="24"/>
      <c r="AJ381" s="24"/>
      <c r="AK381" s="24"/>
    </row>
    <row r="382" spans="4:37">
      <c r="E382" s="19">
        <v>0.76582735776901245</v>
      </c>
      <c r="F382" s="24">
        <v>0.59011125564575195</v>
      </c>
      <c r="K382" s="24"/>
      <c r="L382" s="24"/>
      <c r="M382" s="19"/>
      <c r="N382" s="24"/>
      <c r="O382" s="24"/>
      <c r="P382" s="24"/>
      <c r="Q382" s="24"/>
      <c r="R382" s="24"/>
      <c r="S382" s="24"/>
      <c r="T382" s="24"/>
      <c r="U382" s="24"/>
      <c r="AD382" s="24"/>
      <c r="AE382" s="24"/>
      <c r="AF382" s="24"/>
      <c r="AG382" s="24"/>
      <c r="AH382" s="24"/>
      <c r="AI382" s="24"/>
      <c r="AJ382" s="24"/>
      <c r="AK382" s="24"/>
    </row>
    <row r="383" spans="4:37">
      <c r="E383" s="19">
        <v>0.74873733520507813</v>
      </c>
      <c r="F383" s="24">
        <v>0.5760611891746521</v>
      </c>
      <c r="K383" s="24"/>
      <c r="L383" s="24"/>
      <c r="M383" s="19"/>
      <c r="N383" s="24"/>
      <c r="O383" s="24"/>
      <c r="P383" s="24"/>
      <c r="Q383" s="24"/>
      <c r="R383" s="24"/>
      <c r="S383" s="24"/>
      <c r="T383" s="24"/>
      <c r="U383" s="24"/>
      <c r="AD383" s="24"/>
      <c r="AE383" s="24"/>
      <c r="AF383" s="24"/>
      <c r="AG383" s="24"/>
      <c r="AH383" s="24"/>
      <c r="AI383" s="24"/>
      <c r="AJ383" s="24"/>
      <c r="AK383" s="24"/>
    </row>
    <row r="384" spans="4:37">
      <c r="E384" s="19">
        <v>0.73208886384963989</v>
      </c>
      <c r="F384" s="24">
        <v>0.56556206941604614</v>
      </c>
      <c r="K384" s="24"/>
      <c r="L384" s="24"/>
      <c r="M384" s="19"/>
      <c r="N384" s="24"/>
      <c r="O384" s="24"/>
      <c r="P384" s="24"/>
      <c r="Q384" s="24"/>
      <c r="R384" s="24"/>
      <c r="S384" s="24"/>
      <c r="T384" s="24"/>
      <c r="U384" s="24"/>
      <c r="AD384" s="24"/>
      <c r="AE384" s="24"/>
      <c r="AF384" s="24"/>
      <c r="AG384" s="24"/>
      <c r="AH384" s="24"/>
      <c r="AI384" s="24"/>
      <c r="AJ384" s="24"/>
      <c r="AK384" s="24"/>
    </row>
    <row r="385" spans="5:37">
      <c r="E385" s="19">
        <v>0.71602535247802734</v>
      </c>
      <c r="F385" s="24">
        <v>0.52950245141983032</v>
      </c>
      <c r="K385" s="24"/>
      <c r="L385" s="24"/>
      <c r="M385" s="19"/>
      <c r="N385" s="24"/>
      <c r="O385" s="24"/>
      <c r="P385" s="24"/>
      <c r="Q385" s="24"/>
      <c r="R385" s="24"/>
      <c r="S385" s="24"/>
      <c r="T385" s="24"/>
      <c r="U385" s="24"/>
      <c r="AD385" s="24"/>
      <c r="AE385" s="24"/>
      <c r="AF385" s="24"/>
      <c r="AG385" s="24"/>
      <c r="AH385" s="24"/>
      <c r="AI385" s="24"/>
      <c r="AJ385" s="24"/>
      <c r="AK385" s="24"/>
    </row>
    <row r="386" spans="5:37">
      <c r="E386" s="19">
        <v>0.70072305202484131</v>
      </c>
      <c r="F386" s="24">
        <v>0.53132379055023193</v>
      </c>
      <c r="K386" s="24"/>
      <c r="L386" s="24"/>
      <c r="M386" s="19"/>
      <c r="N386" s="24"/>
      <c r="O386" s="24"/>
      <c r="P386" s="24"/>
      <c r="Q386" s="24"/>
      <c r="R386" s="24"/>
      <c r="S386" s="24"/>
      <c r="T386" s="24"/>
      <c r="U386" s="24"/>
      <c r="AD386" s="24"/>
      <c r="AE386" s="24"/>
      <c r="AF386" s="24"/>
      <c r="AG386" s="24"/>
      <c r="AH386" s="24"/>
      <c r="AI386" s="24"/>
      <c r="AJ386" s="24"/>
      <c r="AK386" s="24"/>
    </row>
    <row r="387" spans="5:37">
      <c r="E387" s="19">
        <v>0.68599593639373779</v>
      </c>
      <c r="F387" s="24">
        <v>0.50132215023040771</v>
      </c>
      <c r="AD387" s="24"/>
      <c r="AE387" s="24"/>
      <c r="AF387" s="24"/>
      <c r="AG387" s="24"/>
      <c r="AH387" s="24"/>
      <c r="AI387" s="24"/>
      <c r="AJ387" s="24"/>
      <c r="AK387" s="24"/>
    </row>
    <row r="388" spans="5:37">
      <c r="E388" s="19">
        <v>0.67188042402267456</v>
      </c>
      <c r="F388" s="24">
        <v>0.49789285659790039</v>
      </c>
      <c r="AD388" s="24"/>
      <c r="AE388" s="24"/>
      <c r="AF388" s="24"/>
      <c r="AG388" s="24"/>
      <c r="AH388" s="24"/>
      <c r="AI388" s="24"/>
      <c r="AJ388" s="24"/>
      <c r="AK388" s="24"/>
    </row>
    <row r="389" spans="5:37">
      <c r="E389" s="19">
        <v>0.65854179859161377</v>
      </c>
      <c r="F389" s="24">
        <v>0.49331158399581909</v>
      </c>
      <c r="N389" s="24"/>
      <c r="AD389" s="24"/>
      <c r="AE389" s="24"/>
      <c r="AF389" s="24"/>
      <c r="AG389" s="24"/>
      <c r="AH389" s="24"/>
      <c r="AI389" s="24"/>
      <c r="AJ389" s="24"/>
      <c r="AK389" s="24"/>
    </row>
    <row r="390" spans="5:37">
      <c r="E390" s="19">
        <v>0.64586758613586426</v>
      </c>
      <c r="F390" s="24">
        <v>0.48777621984481812</v>
      </c>
      <c r="N390" s="24"/>
      <c r="AD390" s="24"/>
      <c r="AE390" s="24"/>
      <c r="AF390" s="24"/>
      <c r="AG390" s="24"/>
      <c r="AH390" s="24"/>
      <c r="AI390" s="24"/>
      <c r="AJ390" s="24"/>
      <c r="AK390" s="24"/>
    </row>
    <row r="391" spans="5:37">
      <c r="E391" s="19">
        <v>0.63380128145217896</v>
      </c>
      <c r="F391" s="24">
        <v>0.48151320219039917</v>
      </c>
      <c r="N391" s="24"/>
      <c r="AD391" s="24"/>
      <c r="AE391" s="24"/>
      <c r="AF391" s="24"/>
      <c r="AG391" s="24"/>
      <c r="AH391" s="24"/>
      <c r="AI391" s="24"/>
      <c r="AJ391" s="24"/>
      <c r="AK391" s="24"/>
    </row>
    <row r="392" spans="5:37">
      <c r="E392" s="19">
        <v>0.62244111299514771</v>
      </c>
      <c r="F392" s="24">
        <v>0.47612625360488892</v>
      </c>
      <c r="N392" s="24"/>
      <c r="AD392" s="24"/>
      <c r="AE392" s="24"/>
      <c r="AF392" s="24"/>
      <c r="AG392" s="24"/>
      <c r="AH392" s="24"/>
      <c r="AI392" s="24"/>
      <c r="AJ392" s="24"/>
      <c r="AK392" s="24"/>
    </row>
    <row r="393" spans="5:37">
      <c r="E393" s="19">
        <v>0.61182725429534912</v>
      </c>
      <c r="F393" s="24">
        <v>0.49056392908096313</v>
      </c>
      <c r="N393" s="24"/>
      <c r="AD393" s="24"/>
      <c r="AE393" s="24"/>
      <c r="AF393" s="24"/>
      <c r="AG393" s="24"/>
      <c r="AH393" s="24"/>
      <c r="AI393" s="24"/>
      <c r="AJ393" s="24"/>
      <c r="AK393" s="24"/>
    </row>
    <row r="394" spans="5:37">
      <c r="N394" s="24"/>
      <c r="AD394" s="24"/>
      <c r="AE394" s="24"/>
      <c r="AF394" s="24"/>
      <c r="AG394" s="24"/>
      <c r="AH394" s="24"/>
      <c r="AI394" s="24"/>
      <c r="AJ394" s="24"/>
      <c r="AK394" s="24"/>
    </row>
    <row r="395" spans="5:37">
      <c r="N395" s="24"/>
      <c r="AD395" s="24"/>
      <c r="AE395" s="24"/>
      <c r="AF395" s="24"/>
      <c r="AG395" s="24"/>
      <c r="AH395" s="24"/>
      <c r="AI395" s="24"/>
      <c r="AJ395" s="24"/>
      <c r="AK395" s="24"/>
    </row>
    <row r="396" spans="5:37">
      <c r="N396" s="24"/>
      <c r="AD396" s="24"/>
      <c r="AE396" s="24"/>
      <c r="AF396" s="24"/>
      <c r="AG396" s="24"/>
      <c r="AH396" s="24"/>
      <c r="AI396" s="24"/>
      <c r="AJ396" s="24"/>
      <c r="AK396" s="24"/>
    </row>
    <row r="397" spans="5:37">
      <c r="N397" s="24"/>
      <c r="AD397" s="24"/>
      <c r="AE397" s="24"/>
      <c r="AF397" s="24"/>
      <c r="AG397" s="24"/>
      <c r="AH397" s="24"/>
      <c r="AI397" s="24"/>
      <c r="AJ397" s="24"/>
      <c r="AK397" s="24"/>
    </row>
    <row r="398" spans="5:37">
      <c r="N398" s="24"/>
      <c r="AD398" s="24"/>
      <c r="AE398" s="24"/>
      <c r="AF398" s="24"/>
      <c r="AG398" s="24"/>
      <c r="AH398" s="24"/>
      <c r="AI398" s="24"/>
      <c r="AJ398" s="24"/>
      <c r="AK398" s="24"/>
    </row>
    <row r="399" spans="5:37">
      <c r="N399" s="24"/>
      <c r="AD399" s="24"/>
      <c r="AE399" s="24"/>
      <c r="AF399" s="24"/>
      <c r="AG399" s="24"/>
      <c r="AH399" s="24"/>
      <c r="AI399" s="24"/>
      <c r="AJ399" s="24"/>
      <c r="AK399" s="24"/>
    </row>
    <row r="400" spans="5:37">
      <c r="N400" s="24"/>
      <c r="AD400" s="24"/>
      <c r="AE400" s="24"/>
      <c r="AF400" s="24"/>
      <c r="AG400" s="24"/>
      <c r="AH400" s="24"/>
      <c r="AI400" s="24"/>
      <c r="AJ400" s="24"/>
      <c r="AK400" s="24"/>
    </row>
    <row r="401" spans="14:14">
      <c r="N401" s="24"/>
    </row>
    <row r="402" spans="14:14">
      <c r="N402" s="24"/>
    </row>
    <row r="403" spans="14:14">
      <c r="N403" s="24"/>
    </row>
    <row r="404" spans="14:14">
      <c r="N404" s="24"/>
    </row>
    <row r="405" spans="14:14">
      <c r="N405" s="24"/>
    </row>
    <row r="406" spans="14:14">
      <c r="N406" s="24"/>
    </row>
    <row r="407" spans="14:14">
      <c r="N407" s="24"/>
    </row>
    <row r="408" spans="14:14">
      <c r="N408" s="24"/>
    </row>
    <row r="409" spans="14:14">
      <c r="N409" s="24"/>
    </row>
    <row r="410" spans="14:14">
      <c r="N410" s="24"/>
    </row>
    <row r="411" spans="14:14">
      <c r="N411" s="24"/>
    </row>
    <row r="412" spans="14:14">
      <c r="N412" s="24"/>
    </row>
    <row r="413" spans="14:14">
      <c r="N413" s="24">
        <f t="shared" ref="N413:N418" si="52">N381+K381</f>
        <v>0</v>
      </c>
    </row>
    <row r="414" spans="14:14">
      <c r="N414" s="24">
        <f t="shared" si="52"/>
        <v>0</v>
      </c>
    </row>
    <row r="415" spans="14:14">
      <c r="N415" s="24">
        <f t="shared" si="52"/>
        <v>0</v>
      </c>
    </row>
    <row r="416" spans="14:14">
      <c r="N416" s="24">
        <f t="shared" si="52"/>
        <v>0</v>
      </c>
    </row>
    <row r="417" spans="14:14">
      <c r="N417" s="24">
        <f t="shared" si="52"/>
        <v>0</v>
      </c>
    </row>
    <row r="418" spans="14:14">
      <c r="N418" s="24">
        <f t="shared" si="52"/>
        <v>0</v>
      </c>
    </row>
    <row r="419" spans="14:14">
      <c r="N419" s="24"/>
    </row>
    <row r="420" spans="14:14">
      <c r="N420" s="24"/>
    </row>
    <row r="421" spans="14:14">
      <c r="N421" s="2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3"/>
  <dimension ref="B5:BA256"/>
  <sheetViews>
    <sheetView topLeftCell="A25" workbookViewId="0">
      <selection activeCell="U40" sqref="U40"/>
    </sheetView>
  </sheetViews>
  <sheetFormatPr defaultRowHeight="12.75"/>
  <sheetData>
    <row r="5" spans="3:18">
      <c r="C5" s="24"/>
      <c r="D5" s="24" t="s">
        <v>245</v>
      </c>
      <c r="E5" s="24"/>
      <c r="F5" s="24"/>
      <c r="G5" s="24"/>
      <c r="H5" s="24"/>
      <c r="I5" s="24"/>
      <c r="J5" s="24"/>
      <c r="K5" s="24"/>
      <c r="L5" s="24"/>
      <c r="M5" s="24"/>
      <c r="N5" s="24"/>
      <c r="O5" s="24"/>
      <c r="P5" s="24"/>
      <c r="Q5" s="24"/>
      <c r="R5" s="24"/>
    </row>
    <row r="6" spans="3:18">
      <c r="C6" s="24"/>
      <c r="D6" s="24" t="s">
        <v>258</v>
      </c>
      <c r="E6" s="24" t="s">
        <v>232</v>
      </c>
      <c r="F6" s="24">
        <v>820</v>
      </c>
      <c r="G6" s="24"/>
      <c r="H6" s="24"/>
      <c r="I6" s="24"/>
      <c r="J6" s="24"/>
      <c r="K6" s="24"/>
      <c r="L6" s="24"/>
      <c r="M6" s="24"/>
      <c r="N6" s="24"/>
      <c r="O6" s="24"/>
      <c r="P6" s="24"/>
      <c r="Q6" s="24"/>
      <c r="R6" s="24"/>
    </row>
    <row r="7" spans="3:18">
      <c r="C7" s="24"/>
      <c r="D7" s="24" t="s">
        <v>246</v>
      </c>
      <c r="E7" s="24" t="s">
        <v>257</v>
      </c>
      <c r="F7" s="24">
        <v>977.7</v>
      </c>
      <c r="G7" s="24">
        <v>95028.7</v>
      </c>
      <c r="H7" s="24"/>
      <c r="I7" s="24"/>
      <c r="J7" s="24"/>
      <c r="K7" s="24"/>
      <c r="L7" s="24"/>
      <c r="M7" s="24"/>
      <c r="N7" s="24"/>
      <c r="O7" s="24"/>
      <c r="P7" s="24"/>
      <c r="Q7" s="24"/>
      <c r="R7" s="24"/>
    </row>
    <row r="8" spans="3:18">
      <c r="C8" s="24"/>
      <c r="D8" s="24" t="s">
        <v>247</v>
      </c>
      <c r="E8" s="24" t="s">
        <v>147</v>
      </c>
      <c r="F8" s="24">
        <v>40</v>
      </c>
      <c r="G8" s="24"/>
      <c r="H8" s="24"/>
      <c r="I8" s="24"/>
      <c r="J8" s="24"/>
      <c r="K8" s="24"/>
      <c r="L8" s="24"/>
      <c r="M8" s="24"/>
      <c r="N8" s="24"/>
      <c r="O8" s="24"/>
      <c r="P8" s="24">
        <f>1000000*40/(101.3*1000)</f>
        <v>394.86673247778873</v>
      </c>
      <c r="Q8" s="24"/>
      <c r="R8" s="24"/>
    </row>
    <row r="9" spans="3:18">
      <c r="C9" s="24" t="s">
        <v>233</v>
      </c>
      <c r="D9" s="24" t="s">
        <v>282</v>
      </c>
      <c r="E9" s="24" t="s">
        <v>237</v>
      </c>
      <c r="F9" s="24" t="s">
        <v>154</v>
      </c>
      <c r="G9" s="24" t="s">
        <v>155</v>
      </c>
      <c r="H9" s="24" t="s">
        <v>156</v>
      </c>
      <c r="I9" s="24" t="s">
        <v>159</v>
      </c>
      <c r="J9" s="24" t="s">
        <v>238</v>
      </c>
      <c r="K9" s="24" t="s">
        <v>157</v>
      </c>
      <c r="L9" s="24" t="s">
        <v>160</v>
      </c>
      <c r="M9" s="24" t="s">
        <v>265</v>
      </c>
      <c r="N9" s="24" t="s">
        <v>283</v>
      </c>
      <c r="O9" s="27" t="s">
        <v>285</v>
      </c>
      <c r="P9" s="27" t="s">
        <v>286</v>
      </c>
      <c r="Q9" s="24" t="s">
        <v>284</v>
      </c>
      <c r="R9" s="27" t="s">
        <v>287</v>
      </c>
    </row>
    <row r="10" spans="3:18">
      <c r="C10" s="26">
        <v>0.1</v>
      </c>
      <c r="D10" s="24">
        <v>39.930737212926694</v>
      </c>
      <c r="E10" s="24">
        <v>0</v>
      </c>
      <c r="F10" s="24">
        <v>0.60272193705145249</v>
      </c>
      <c r="G10" s="24">
        <v>5.0360396510288874</v>
      </c>
      <c r="H10" s="24">
        <v>983.36201849780718</v>
      </c>
      <c r="I10" s="24">
        <v>0.51878231763839722</v>
      </c>
      <c r="J10" s="24">
        <v>31.672971828351141</v>
      </c>
      <c r="K10" s="24">
        <v>42.457380825956953</v>
      </c>
      <c r="L10" s="24">
        <v>33.002490997314453</v>
      </c>
      <c r="M10" s="24">
        <v>0.75902628898620605</v>
      </c>
      <c r="N10" s="24">
        <f>((101.3*(-0.0043+0.01*EXP(0.0511*J10)))-C10)/(101.3*(0.0043+0.01*EXP(0.0511*J10)))</f>
        <v>0.82490664612928377</v>
      </c>
      <c r="O10" s="24">
        <f>H10/1000</f>
        <v>0.98336201849780713</v>
      </c>
      <c r="P10" s="24">
        <f>1000000*L10/(101.3*1000)</f>
        <v>325.78964459342995</v>
      </c>
      <c r="Q10" s="24">
        <f>(D10*N10)/$P$8</f>
        <v>8.3418348021095878E-2</v>
      </c>
      <c r="R10" s="24">
        <f>D10/($P$8-50)</f>
        <v>0.11578599340688348</v>
      </c>
    </row>
    <row r="11" spans="3:18">
      <c r="C11" s="26">
        <v>0.15</v>
      </c>
      <c r="D11" s="24">
        <v>40.055188496285048</v>
      </c>
      <c r="E11" s="24">
        <v>0</v>
      </c>
      <c r="F11" s="24">
        <v>0.6394873186862482</v>
      </c>
      <c r="G11" s="24">
        <v>5.3695522106996743</v>
      </c>
      <c r="H11" s="24">
        <v>989.9041462854799</v>
      </c>
      <c r="I11" s="24">
        <v>0.54948312044143677</v>
      </c>
      <c r="J11" s="24">
        <v>31.598938262885092</v>
      </c>
      <c r="K11" s="24">
        <v>42.568899556066214</v>
      </c>
      <c r="L11" s="24">
        <v>33.030494689941406</v>
      </c>
      <c r="M11" s="24">
        <v>0.80271798372268677</v>
      </c>
      <c r="N11" s="24">
        <f t="shared" ref="N11:N29" si="0">((101.3*(-0.0043+0.01*EXP(0.0511*J11)))-C11)/(101.3*(0.0043+0.01*EXP(0.0511*J11)))</f>
        <v>0.81524935405589549</v>
      </c>
      <c r="O11" s="24">
        <f t="shared" ref="O11:O29" si="1">H11/1000</f>
        <v>0.98990414628547985</v>
      </c>
      <c r="P11" s="24">
        <f t="shared" ref="P11:P29" si="2">1000000*L11/(101.3*1000)</f>
        <v>326.0660877585529</v>
      </c>
      <c r="Q11" s="24">
        <f t="shared" ref="Q11:Q29" si="3">(D11*N11)/$P$8</f>
        <v>8.2698702783274777E-2</v>
      </c>
      <c r="R11" s="24">
        <f t="shared" ref="R11:R29" si="4">D11/($P$8-50)</f>
        <v>0.11614686116140477</v>
      </c>
    </row>
    <row r="12" spans="3:18">
      <c r="C12" s="26">
        <v>0.2</v>
      </c>
      <c r="D12" s="24">
        <v>40.13395041446087</v>
      </c>
      <c r="E12" s="24">
        <v>0</v>
      </c>
      <c r="F12" s="24">
        <v>0.67646183264348014</v>
      </c>
      <c r="G12" s="24">
        <v>5.6697135144033846</v>
      </c>
      <c r="H12" s="24">
        <v>986.54320544364589</v>
      </c>
      <c r="I12" s="24">
        <v>0.58217620849609375</v>
      </c>
      <c r="J12" s="24">
        <v>31.532308053965643</v>
      </c>
      <c r="K12" s="24">
        <v>42.636078782631394</v>
      </c>
      <c r="L12" s="24">
        <v>32.995487213134766</v>
      </c>
      <c r="M12" s="24">
        <v>0.83772623538970947</v>
      </c>
      <c r="N12" s="24">
        <f t="shared" si="0"/>
        <v>0.8055947026437088</v>
      </c>
      <c r="O12" s="24">
        <f t="shared" si="1"/>
        <v>0.98654320544364593</v>
      </c>
      <c r="P12" s="24">
        <f t="shared" si="2"/>
        <v>325.72050555907964</v>
      </c>
      <c r="Q12" s="24">
        <f t="shared" si="3"/>
        <v>8.1880024805264184E-2</v>
      </c>
      <c r="R12" s="24">
        <f t="shared" si="4"/>
        <v>0.11637524479704842</v>
      </c>
    </row>
    <row r="13" spans="3:18">
      <c r="C13" s="24">
        <v>0.25</v>
      </c>
      <c r="D13" s="24">
        <v>40.251363634713172</v>
      </c>
      <c r="E13" s="24">
        <v>0</v>
      </c>
      <c r="F13" s="24">
        <v>0.71782285085237829</v>
      </c>
      <c r="G13" s="24">
        <v>6.0032260740741732</v>
      </c>
      <c r="H13" s="24">
        <v>992.02554920927366</v>
      </c>
      <c r="I13" s="24">
        <v>0.61301523447036743</v>
      </c>
      <c r="J13" s="24">
        <v>31.458274488499594</v>
      </c>
      <c r="K13" s="24">
        <v>42.740684930216005</v>
      </c>
      <c r="L13" s="24">
        <v>33.017482757568359</v>
      </c>
      <c r="M13" s="24">
        <v>0.8784719705581665</v>
      </c>
      <c r="N13" s="24">
        <f t="shared" si="0"/>
        <v>0.79581028800525733</v>
      </c>
      <c r="O13" s="24">
        <f t="shared" si="1"/>
        <v>0.99202554920927366</v>
      </c>
      <c r="P13" s="24">
        <f t="shared" si="2"/>
        <v>325.93763827806868</v>
      </c>
      <c r="Q13" s="24">
        <f t="shared" si="3"/>
        <v>8.1122177818682806E-2</v>
      </c>
      <c r="R13" s="24">
        <f t="shared" si="4"/>
        <v>0.11671570448537125</v>
      </c>
    </row>
    <row r="14" spans="3:18">
      <c r="C14" s="24">
        <f t="shared" ref="C14:C29" si="5">C13+0.25</f>
        <v>0.5</v>
      </c>
      <c r="D14" s="24">
        <v>39.518344994082199</v>
      </c>
      <c r="E14" s="24">
        <v>0</v>
      </c>
      <c r="F14" s="24">
        <v>0.78050338031692723</v>
      </c>
      <c r="G14" s="24">
        <v>6.503494913580357</v>
      </c>
      <c r="H14" s="24">
        <v>789.54529927321664</v>
      </c>
      <c r="I14" s="24">
        <v>0.83440941572189331</v>
      </c>
      <c r="J14" s="24">
        <v>31.347224140300515</v>
      </c>
      <c r="K14" s="24">
        <v>41.988578486856021</v>
      </c>
      <c r="L14" s="24">
        <v>31.380481719970703</v>
      </c>
      <c r="M14" s="24">
        <v>0.82969504594802856</v>
      </c>
      <c r="N14" s="24">
        <f t="shared" si="0"/>
        <v>0.74897241648545199</v>
      </c>
      <c r="O14" s="24">
        <f t="shared" si="1"/>
        <v>0.78954529927321659</v>
      </c>
      <c r="P14" s="24">
        <f t="shared" si="2"/>
        <v>309.77770700859531</v>
      </c>
      <c r="Q14" s="24">
        <f t="shared" si="3"/>
        <v>7.495731575054479E-2</v>
      </c>
      <c r="R14" s="24">
        <f t="shared" si="4"/>
        <v>0.11459019172464655</v>
      </c>
    </row>
    <row r="15" spans="3:18">
      <c r="C15" s="24">
        <f t="shared" si="5"/>
        <v>0.75</v>
      </c>
      <c r="D15" s="24">
        <v>38.521264218265451</v>
      </c>
      <c r="E15" s="24">
        <v>0</v>
      </c>
      <c r="F15" s="24">
        <v>0.81005561094858725</v>
      </c>
      <c r="G15" s="24">
        <v>6.736953705349908</v>
      </c>
      <c r="H15" s="24">
        <v>637.14270279494065</v>
      </c>
      <c r="I15" s="24">
        <v>1.0711154937744141</v>
      </c>
      <c r="J15" s="24">
        <v>31.295400644474281</v>
      </c>
      <c r="K15" s="24">
        <v>40.982640226874068</v>
      </c>
      <c r="L15" s="24">
        <v>29.57548713684082</v>
      </c>
      <c r="M15" s="24">
        <v>0.7285231351852417</v>
      </c>
      <c r="N15" s="24">
        <f t="shared" si="0"/>
        <v>0.70247978656139143</v>
      </c>
      <c r="O15" s="24">
        <f t="shared" si="1"/>
        <v>0.63714270279494067</v>
      </c>
      <c r="P15" s="24">
        <f t="shared" si="2"/>
        <v>291.95939917908015</v>
      </c>
      <c r="Q15" s="24">
        <f t="shared" si="3"/>
        <v>6.8530486972954163E-2</v>
      </c>
      <c r="R15" s="24">
        <f t="shared" si="4"/>
        <v>0.11169898569658768</v>
      </c>
    </row>
    <row r="16" spans="3:18">
      <c r="C16" s="24">
        <f t="shared" si="5"/>
        <v>1</v>
      </c>
      <c r="D16" s="24">
        <v>37.563906821193164</v>
      </c>
      <c r="E16" s="24">
        <v>0</v>
      </c>
      <c r="F16" s="24">
        <v>0.83982470355905747</v>
      </c>
      <c r="G16" s="24">
        <v>6.970412497119459</v>
      </c>
      <c r="H16" s="24">
        <v>539.89308559951701</v>
      </c>
      <c r="I16" s="24">
        <v>1.3078566789627075</v>
      </c>
      <c r="J16" s="24">
        <v>31.243577148648043</v>
      </c>
      <c r="K16" s="24">
        <v>40.016457105802552</v>
      </c>
      <c r="L16" s="24">
        <v>27.987478256225586</v>
      </c>
      <c r="M16" s="24">
        <v>0.66978085041046143</v>
      </c>
      <c r="N16" s="24">
        <f t="shared" si="0"/>
        <v>0.65576197087012644</v>
      </c>
      <c r="O16" s="24">
        <f t="shared" si="1"/>
        <v>0.53989308559951699</v>
      </c>
      <c r="P16" s="24">
        <f t="shared" si="2"/>
        <v>276.28310223322393</v>
      </c>
      <c r="Q16" s="24">
        <f t="shared" si="3"/>
        <v>6.2383025827664584E-2</v>
      </c>
      <c r="R16" s="24">
        <f t="shared" si="4"/>
        <v>0.10892296439063598</v>
      </c>
    </row>
    <row r="17" spans="2:18">
      <c r="C17" s="24">
        <f t="shared" si="5"/>
        <v>1.25</v>
      </c>
      <c r="D17" s="24">
        <v>36.650444745715639</v>
      </c>
      <c r="E17" s="24">
        <v>0</v>
      </c>
      <c r="F17" s="24">
        <v>0.86983005765607624</v>
      </c>
      <c r="G17" s="24">
        <v>7.2038712888890117</v>
      </c>
      <c r="H17" s="24">
        <v>472.44372818970913</v>
      </c>
      <c r="I17" s="24">
        <v>1.5446330308914185</v>
      </c>
      <c r="J17" s="24">
        <v>31.191753652821806</v>
      </c>
      <c r="K17" s="24">
        <v>39.094200952609761</v>
      </c>
      <c r="L17" s="24">
        <v>26.58848762512207</v>
      </c>
      <c r="M17" s="24">
        <v>0.62719506025314331</v>
      </c>
      <c r="N17" s="24">
        <f t="shared" si="0"/>
        <v>0.60881821959034099</v>
      </c>
      <c r="O17" s="24">
        <f t="shared" si="1"/>
        <v>0.47244372818970914</v>
      </c>
      <c r="P17" s="24">
        <f t="shared" si="2"/>
        <v>262.47273075145182</v>
      </c>
      <c r="Q17" s="24">
        <f t="shared" si="3"/>
        <v>5.6508833695013541E-2</v>
      </c>
      <c r="R17" s="24">
        <f t="shared" si="4"/>
        <v>0.10627422506772562</v>
      </c>
    </row>
    <row r="18" spans="2:18">
      <c r="C18" s="24">
        <f t="shared" si="5"/>
        <v>1.5</v>
      </c>
      <c r="D18" s="24">
        <v>35.783326775110673</v>
      </c>
      <c r="E18" s="24">
        <v>0</v>
      </c>
      <c r="F18" s="24">
        <v>0.90009309123531756</v>
      </c>
      <c r="G18" s="24">
        <v>7.4373300806585645</v>
      </c>
      <c r="H18" s="24">
        <v>422.91615126480377</v>
      </c>
      <c r="I18" s="24">
        <v>1.7814441919326782</v>
      </c>
      <c r="J18" s="24">
        <v>31.139930156995572</v>
      </c>
      <c r="K18" s="24">
        <v>38.218320437099827</v>
      </c>
      <c r="L18" s="24">
        <v>25.353471755981445</v>
      </c>
      <c r="M18" s="24">
        <v>0.59011125564575195</v>
      </c>
      <c r="N18" s="24">
        <f t="shared" si="0"/>
        <v>0.56164778114643421</v>
      </c>
      <c r="O18" s="24">
        <f t="shared" si="1"/>
        <v>0.42291615126480375</v>
      </c>
      <c r="P18" s="24">
        <f t="shared" si="2"/>
        <v>250.28106373130746</v>
      </c>
      <c r="Q18" s="24">
        <f t="shared" si="3"/>
        <v>5.0897238060968304E-2</v>
      </c>
      <c r="R18" s="24">
        <f t="shared" si="4"/>
        <v>0.10375986839326495</v>
      </c>
    </row>
    <row r="19" spans="2:18">
      <c r="C19" s="24">
        <f t="shared" si="5"/>
        <v>1.75</v>
      </c>
      <c r="D19" s="24">
        <v>35.022823339691953</v>
      </c>
      <c r="E19" s="24">
        <v>0</v>
      </c>
      <c r="F19" s="24">
        <v>0.93502485900937826</v>
      </c>
      <c r="G19" s="24">
        <v>7.7041401283951956</v>
      </c>
      <c r="H19" s="24">
        <v>387.03825872932072</v>
      </c>
      <c r="I19" s="24">
        <v>2.0164141654968262</v>
      </c>
      <c r="J19" s="24">
        <v>31.08070330462273</v>
      </c>
      <c r="K19" s="24">
        <v>37.447841131227939</v>
      </c>
      <c r="L19" s="24">
        <v>24.318490982055664</v>
      </c>
      <c r="M19" s="24">
        <v>0.5760611891746521</v>
      </c>
      <c r="N19" s="24">
        <f t="shared" si="0"/>
        <v>0.51408094448875319</v>
      </c>
      <c r="O19" s="24">
        <f t="shared" si="1"/>
        <v>0.38703825872932074</v>
      </c>
      <c r="P19" s="24">
        <f t="shared" si="2"/>
        <v>240.06407682187231</v>
      </c>
      <c r="Q19" s="24">
        <f t="shared" si="3"/>
        <v>4.5596563651115744E-2</v>
      </c>
      <c r="R19" s="24">
        <f t="shared" si="4"/>
        <v>0.10155465877517661</v>
      </c>
    </row>
    <row r="20" spans="2:18">
      <c r="C20" s="24">
        <f t="shared" si="5"/>
        <v>2</v>
      </c>
      <c r="D20" s="24">
        <v>34.312220823854993</v>
      </c>
      <c r="E20" s="24">
        <v>0</v>
      </c>
      <c r="F20" s="24">
        <v>0.96592157671211565</v>
      </c>
      <c r="G20" s="24">
        <v>7.9709501761318258</v>
      </c>
      <c r="H20" s="24">
        <v>358.64205622877921</v>
      </c>
      <c r="I20" s="24">
        <v>2.2514293193817139</v>
      </c>
      <c r="J20" s="24">
        <v>31.021476452249889</v>
      </c>
      <c r="K20" s="24">
        <v>36.727303614855813</v>
      </c>
      <c r="L20" s="24">
        <v>23.402492523193359</v>
      </c>
      <c r="M20" s="24">
        <v>0.56556206941604614</v>
      </c>
      <c r="N20" s="24">
        <f t="shared" si="0"/>
        <v>0.46625280145242831</v>
      </c>
      <c r="O20" s="24">
        <f t="shared" si="1"/>
        <v>0.3586420562287792</v>
      </c>
      <c r="P20" s="24">
        <f t="shared" si="2"/>
        <v>231.02164386173109</v>
      </c>
      <c r="Q20" s="24">
        <f t="shared" si="3"/>
        <v>4.0515363203145097E-2</v>
      </c>
      <c r="R20" s="24">
        <f t="shared" si="4"/>
        <v>9.9494145397352546E-2</v>
      </c>
    </row>
    <row r="21" spans="2:18">
      <c r="C21" s="24">
        <f t="shared" si="5"/>
        <v>2.25</v>
      </c>
      <c r="D21" s="24">
        <v>33.27353494217131</v>
      </c>
      <c r="E21" s="24">
        <v>0</v>
      </c>
      <c r="F21" s="24">
        <v>0.97480928937674505</v>
      </c>
      <c r="G21" s="24">
        <v>8.0376526880659842</v>
      </c>
      <c r="H21" s="24">
        <v>325.9868658710609</v>
      </c>
      <c r="I21" s="24">
        <v>2.4976902008056641</v>
      </c>
      <c r="J21" s="24">
        <v>31.006669739156678</v>
      </c>
      <c r="K21" s="24">
        <v>35.686140349326166</v>
      </c>
      <c r="L21" s="24">
        <v>22.257484436035156</v>
      </c>
      <c r="M21" s="24">
        <v>0.52950245141983032</v>
      </c>
      <c r="N21" s="24">
        <f t="shared" si="0"/>
        <v>0.41937466290675657</v>
      </c>
      <c r="O21" s="24">
        <f t="shared" si="1"/>
        <v>0.3259868658710609</v>
      </c>
      <c r="P21" s="24">
        <f t="shared" si="2"/>
        <v>219.71850381081103</v>
      </c>
      <c r="Q21" s="24">
        <f t="shared" si="3"/>
        <v>3.5338701268976098E-2</v>
      </c>
      <c r="R21" s="24">
        <f t="shared" si="4"/>
        <v>9.6482298257963464E-2</v>
      </c>
    </row>
    <row r="22" spans="2:18">
      <c r="C22" s="24">
        <f t="shared" si="5"/>
        <v>2.5</v>
      </c>
      <c r="D22" s="24">
        <v>32.588265047228759</v>
      </c>
      <c r="E22" s="24">
        <v>0</v>
      </c>
      <c r="F22" s="24">
        <v>1.006145763989422</v>
      </c>
      <c r="G22" s="24">
        <v>8.2711114798355361</v>
      </c>
      <c r="H22" s="24">
        <v>306.39059918466324</v>
      </c>
      <c r="I22" s="24">
        <v>2.7346255779266357</v>
      </c>
      <c r="J22" s="24">
        <v>30.954846243330444</v>
      </c>
      <c r="K22" s="24">
        <v>34.992219606496853</v>
      </c>
      <c r="L22" s="24">
        <v>21.489471435546875</v>
      </c>
      <c r="M22" s="24">
        <v>0.53132379055023193</v>
      </c>
      <c r="N22" s="24">
        <f t="shared" si="0"/>
        <v>0.37133990644505743</v>
      </c>
      <c r="O22" s="24">
        <f t="shared" si="1"/>
        <v>0.30639059918466327</v>
      </c>
      <c r="P22" s="24">
        <f t="shared" si="2"/>
        <v>212.13693421072927</v>
      </c>
      <c r="Q22" s="24">
        <f t="shared" si="3"/>
        <v>3.064660124166161E-2</v>
      </c>
      <c r="R22" s="24">
        <f t="shared" si="4"/>
        <v>9.4495241141670919E-2</v>
      </c>
    </row>
    <row r="23" spans="2:18">
      <c r="C23" s="24">
        <f t="shared" si="5"/>
        <v>2.75</v>
      </c>
      <c r="D23" s="24">
        <v>31.617150451003347</v>
      </c>
      <c r="E23" s="24">
        <v>0</v>
      </c>
      <c r="F23" s="24">
        <v>1.0151660433627467</v>
      </c>
      <c r="G23" s="24">
        <v>8.3378139917696927</v>
      </c>
      <c r="H23" s="24">
        <v>283.34421357630981</v>
      </c>
      <c r="I23" s="24">
        <v>2.9808993339538574</v>
      </c>
      <c r="J23" s="24">
        <v>30.940039530237232</v>
      </c>
      <c r="K23" s="24">
        <v>34.018639041728356</v>
      </c>
      <c r="L23" s="24">
        <v>20.541479110717773</v>
      </c>
      <c r="M23" s="24">
        <v>0.50132215023040771</v>
      </c>
      <c r="N23" s="24">
        <f t="shared" si="0"/>
        <v>0.32425014620710324</v>
      </c>
      <c r="O23" s="24">
        <f t="shared" si="1"/>
        <v>0.28334421357630979</v>
      </c>
      <c r="P23" s="24">
        <f t="shared" si="2"/>
        <v>202.77866841774701</v>
      </c>
      <c r="Q23" s="24">
        <f t="shared" si="3"/>
        <v>2.5962849774807211E-2</v>
      </c>
      <c r="R23" s="24">
        <f t="shared" si="4"/>
        <v>9.1679328486808057E-2</v>
      </c>
    </row>
    <row r="24" spans="2:18">
      <c r="C24" s="24">
        <f t="shared" si="5"/>
        <v>3</v>
      </c>
      <c r="D24" s="24">
        <v>30.949345603419641</v>
      </c>
      <c r="E24" s="24">
        <v>0</v>
      </c>
      <c r="F24" s="24">
        <v>1.0424226056780639</v>
      </c>
      <c r="G24" s="24">
        <v>8.5379215275721663</v>
      </c>
      <c r="H24" s="24">
        <v>268.62177058168822</v>
      </c>
      <c r="I24" s="24">
        <v>3.2197370529174805</v>
      </c>
      <c r="J24" s="24">
        <v>30.895619390957602</v>
      </c>
      <c r="K24" s="24">
        <v>33.343451455632383</v>
      </c>
      <c r="L24" s="24">
        <v>19.882497787475586</v>
      </c>
      <c r="M24" s="24">
        <v>0.49789285659790039</v>
      </c>
      <c r="N24" s="24">
        <f t="shared" si="0"/>
        <v>0.27608964313783563</v>
      </c>
      <c r="O24" s="24">
        <f t="shared" si="1"/>
        <v>0.26862177058168824</v>
      </c>
      <c r="P24" s="24">
        <f t="shared" si="2"/>
        <v>196.27342337093373</v>
      </c>
      <c r="Q24" s="24">
        <f t="shared" si="3"/>
        <v>2.1639690255441602E-2</v>
      </c>
      <c r="R24" s="24">
        <f t="shared" si="4"/>
        <v>8.9742914258663514E-2</v>
      </c>
    </row>
    <row r="25" spans="2:18">
      <c r="C25" s="24">
        <f t="shared" si="5"/>
        <v>3.25</v>
      </c>
      <c r="D25" s="24">
        <v>30.185921467368168</v>
      </c>
      <c r="E25" s="24">
        <v>0</v>
      </c>
      <c r="F25" s="24">
        <v>1.0607609832306664</v>
      </c>
      <c r="G25" s="24">
        <v>8.6713265514404831</v>
      </c>
      <c r="H25" s="24">
        <v>253.70504006318896</v>
      </c>
      <c r="I25" s="24">
        <v>3.4623095989227295</v>
      </c>
      <c r="J25" s="24">
        <v>30.86600596477118</v>
      </c>
      <c r="K25" s="24">
        <v>32.575118107255115</v>
      </c>
      <c r="L25" s="24">
        <v>19.190483093261719</v>
      </c>
      <c r="M25" s="24">
        <v>0.49331158399581909</v>
      </c>
      <c r="N25" s="24">
        <f t="shared" si="0"/>
        <v>0.22826777835896495</v>
      </c>
      <c r="O25" s="24">
        <f t="shared" si="1"/>
        <v>0.25370504006318895</v>
      </c>
      <c r="P25" s="24">
        <f t="shared" si="2"/>
        <v>189.44208384266258</v>
      </c>
      <c r="Q25" s="24">
        <f t="shared" si="3"/>
        <v>1.7450123457695713E-2</v>
      </c>
      <c r="R25" s="24">
        <f t="shared" si="4"/>
        <v>8.7529235570184508E-2</v>
      </c>
    </row>
    <row r="26" spans="2:18">
      <c r="C26" s="24">
        <f t="shared" si="5"/>
        <v>3.5</v>
      </c>
      <c r="D26" s="24">
        <v>29.321922731930027</v>
      </c>
      <c r="E26" s="24">
        <v>0</v>
      </c>
      <c r="F26" s="24">
        <v>1.0699829895374957</v>
      </c>
      <c r="G26" s="24">
        <v>8.7380290633746398</v>
      </c>
      <c r="H26" s="24">
        <v>238.6782987188937</v>
      </c>
      <c r="I26" s="24">
        <v>3.7086000442504883</v>
      </c>
      <c r="J26" s="24">
        <v>30.851199251677972</v>
      </c>
      <c r="K26" s="24">
        <v>31.708668541898209</v>
      </c>
      <c r="L26" s="24">
        <v>18.468500137329102</v>
      </c>
      <c r="M26" s="24">
        <v>0.48777621984481812</v>
      </c>
      <c r="N26" s="24">
        <f t="shared" si="0"/>
        <v>0.1808837812419711</v>
      </c>
      <c r="O26" s="24">
        <f t="shared" si="1"/>
        <v>0.23867829871889371</v>
      </c>
      <c r="P26" s="24">
        <f t="shared" si="2"/>
        <v>182.31490757481836</v>
      </c>
      <c r="Q26" s="24">
        <f t="shared" si="3"/>
        <v>1.3432026100944712E-2</v>
      </c>
      <c r="R26" s="24">
        <f t="shared" si="4"/>
        <v>8.5023923650909175E-2</v>
      </c>
    </row>
    <row r="27" spans="2:18">
      <c r="C27" s="24">
        <f t="shared" si="5"/>
        <v>3.75</v>
      </c>
      <c r="D27" s="24">
        <v>28.351527263747862</v>
      </c>
      <c r="E27" s="24">
        <v>0</v>
      </c>
      <c r="F27" s="24">
        <v>1.0699829895374957</v>
      </c>
      <c r="G27" s="24">
        <v>8.7380290633746398</v>
      </c>
      <c r="H27" s="24">
        <v>223.60489541142408</v>
      </c>
      <c r="I27" s="24">
        <v>3.9586000442504883</v>
      </c>
      <c r="J27" s="24">
        <v>30.851199251677972</v>
      </c>
      <c r="K27" s="24">
        <v>30.738273073716044</v>
      </c>
      <c r="L27" s="24">
        <v>17.719503402709961</v>
      </c>
      <c r="M27" s="24">
        <v>0.48151320219039917</v>
      </c>
      <c r="N27" s="24">
        <f t="shared" si="0"/>
        <v>0.13403623557020575</v>
      </c>
      <c r="O27" s="24">
        <f t="shared" si="1"/>
        <v>0.22360489541142409</v>
      </c>
      <c r="P27" s="24">
        <f t="shared" si="2"/>
        <v>174.92106024392854</v>
      </c>
      <c r="Q27" s="24">
        <f t="shared" si="3"/>
        <v>9.6238342573277593E-3</v>
      </c>
      <c r="R27" s="24">
        <f t="shared" si="4"/>
        <v>8.2210096230647164E-2</v>
      </c>
    </row>
    <row r="28" spans="2:18">
      <c r="C28" s="24">
        <f t="shared" si="5"/>
        <v>4</v>
      </c>
      <c r="D28" s="24">
        <v>27.769252142508961</v>
      </c>
      <c r="E28" s="24">
        <v>0</v>
      </c>
      <c r="F28" s="24">
        <v>1.0932033967114383</v>
      </c>
      <c r="G28" s="24">
        <v>8.904785343210035</v>
      </c>
      <c r="H28" s="24">
        <v>214.80877363187753</v>
      </c>
      <c r="I28" s="24">
        <v>4.199338436126709</v>
      </c>
      <c r="J28" s="24">
        <v>30.814182468944946</v>
      </c>
      <c r="K28" s="24">
        <v>30.149881871022036</v>
      </c>
      <c r="L28" s="24">
        <v>17.252473831176758</v>
      </c>
      <c r="M28" s="24">
        <v>0.47612625360488892</v>
      </c>
      <c r="N28" s="24">
        <f t="shared" si="0"/>
        <v>8.5601736415560264E-2</v>
      </c>
      <c r="O28" s="24">
        <f t="shared" si="1"/>
        <v>0.21480877363187753</v>
      </c>
      <c r="P28" s="24">
        <f t="shared" si="2"/>
        <v>170.31069922188308</v>
      </c>
      <c r="Q28" s="24">
        <f t="shared" si="3"/>
        <v>6.0199961324774202E-3</v>
      </c>
      <c r="R28" s="24">
        <f t="shared" si="4"/>
        <v>8.05216900539905E-2</v>
      </c>
    </row>
    <row r="29" spans="2:18">
      <c r="C29" s="24">
        <f t="shared" si="5"/>
        <v>4.25</v>
      </c>
      <c r="D29" s="24">
        <v>27.15018825349761</v>
      </c>
      <c r="E29" s="24">
        <v>0</v>
      </c>
      <c r="F29" s="24">
        <v>1.1072512253839846</v>
      </c>
      <c r="G29" s="24">
        <v>9.0381903670783501</v>
      </c>
      <c r="H29" s="24">
        <v>206.11901381499689</v>
      </c>
      <c r="I29" s="24">
        <v>4.4419417381286621</v>
      </c>
      <c r="J29" s="24">
        <v>30.784569042758523</v>
      </c>
      <c r="K29" s="24">
        <v>29.525936403029718</v>
      </c>
      <c r="L29" s="24">
        <v>16.783470153808594</v>
      </c>
      <c r="M29" s="24">
        <v>0.49056392908096313</v>
      </c>
      <c r="N29" s="24">
        <f t="shared" si="0"/>
        <v>3.7336123078987843E-2</v>
      </c>
      <c r="O29" s="24">
        <f t="shared" si="1"/>
        <v>0.20611901381499689</v>
      </c>
      <c r="P29" s="24">
        <f t="shared" si="2"/>
        <v>165.68085048182226</v>
      </c>
      <c r="Q29" s="24">
        <f t="shared" si="3"/>
        <v>2.5671516156588262E-3</v>
      </c>
      <c r="R29" s="24">
        <f t="shared" si="4"/>
        <v>7.8726608561022135E-2</v>
      </c>
    </row>
    <row r="31" spans="2:18">
      <c r="E31" s="24"/>
      <c r="F31" s="24"/>
      <c r="G31" s="24"/>
      <c r="H31" s="24"/>
      <c r="I31" s="24"/>
      <c r="J31" s="24"/>
      <c r="K31" s="24"/>
    </row>
    <row r="32" spans="2:18">
      <c r="B32" s="19" t="s">
        <v>293</v>
      </c>
      <c r="E32" s="24"/>
      <c r="F32" s="24"/>
      <c r="G32" s="24"/>
      <c r="H32" s="24"/>
      <c r="I32" s="24"/>
      <c r="J32" s="24"/>
      <c r="K32" s="24"/>
    </row>
    <row r="33" spans="2:51">
      <c r="E33" s="24"/>
      <c r="F33" s="24"/>
      <c r="G33" s="24"/>
      <c r="H33" s="24"/>
      <c r="I33" s="24"/>
      <c r="J33" s="24"/>
      <c r="K33" s="24"/>
    </row>
    <row r="34" spans="2:51">
      <c r="E34" s="24"/>
      <c r="F34" s="24"/>
      <c r="G34" s="24"/>
      <c r="H34" s="24"/>
      <c r="I34" s="24"/>
      <c r="J34" s="24"/>
      <c r="K34" s="24"/>
      <c r="N34" s="19" t="s">
        <v>148</v>
      </c>
      <c r="Q34" s="19" t="s">
        <v>292</v>
      </c>
    </row>
    <row r="35" spans="2:51">
      <c r="B35" s="19" t="s">
        <v>148</v>
      </c>
      <c r="D35" s="24"/>
      <c r="E35" s="24"/>
      <c r="F35" s="24"/>
      <c r="G35" s="24"/>
      <c r="H35" s="24"/>
      <c r="I35" s="24"/>
      <c r="J35" s="24"/>
      <c r="K35" s="24"/>
      <c r="N35" s="19" t="s">
        <v>289</v>
      </c>
      <c r="O35" s="19" t="s">
        <v>290</v>
      </c>
      <c r="Q35" s="19" t="s">
        <v>289</v>
      </c>
      <c r="S35" s="24"/>
      <c r="T35" s="24">
        <v>50</v>
      </c>
      <c r="U35" s="24"/>
      <c r="V35" s="24"/>
      <c r="W35" s="24"/>
      <c r="X35" s="24"/>
      <c r="Y35" s="24"/>
      <c r="Z35" s="24"/>
      <c r="AA35" s="24"/>
      <c r="AB35" s="24">
        <v>55</v>
      </c>
      <c r="AC35" s="24"/>
      <c r="AD35" s="24"/>
      <c r="AE35" s="24"/>
      <c r="AF35" s="24"/>
      <c r="AG35" s="24"/>
      <c r="AH35" s="24"/>
      <c r="AI35" s="24"/>
      <c r="AJ35" s="24">
        <v>60</v>
      </c>
      <c r="AK35" s="24"/>
      <c r="AL35" s="24"/>
      <c r="AM35" s="24"/>
      <c r="AN35" s="24"/>
      <c r="AO35" s="24"/>
      <c r="AP35" s="24"/>
      <c r="AQ35" s="24"/>
      <c r="AR35" s="24">
        <v>65</v>
      </c>
      <c r="AS35" s="24"/>
      <c r="AT35" s="24"/>
      <c r="AU35" s="24"/>
      <c r="AV35" s="24"/>
      <c r="AW35" s="24"/>
      <c r="AX35" s="24"/>
      <c r="AY35" s="24"/>
    </row>
    <row r="36" spans="2:51">
      <c r="B36">
        <v>40</v>
      </c>
      <c r="C36" s="26" t="s">
        <v>93</v>
      </c>
      <c r="D36" s="24" t="s">
        <v>154</v>
      </c>
      <c r="E36" s="24" t="s">
        <v>155</v>
      </c>
      <c r="F36" s="24" t="s">
        <v>156</v>
      </c>
      <c r="G36" s="24" t="s">
        <v>159</v>
      </c>
      <c r="H36" s="24" t="s">
        <v>238</v>
      </c>
      <c r="I36" s="24" t="s">
        <v>157</v>
      </c>
      <c r="J36" s="24" t="s">
        <v>160</v>
      </c>
      <c r="K36" s="24" t="s">
        <v>265</v>
      </c>
      <c r="L36" s="27" t="s">
        <v>283</v>
      </c>
      <c r="M36" s="27" t="s">
        <v>288</v>
      </c>
      <c r="N36" s="24" t="s">
        <v>284</v>
      </c>
      <c r="O36" s="27" t="s">
        <v>287</v>
      </c>
      <c r="P36" s="27" t="s">
        <v>291</v>
      </c>
      <c r="Q36" s="27" t="s">
        <v>284</v>
      </c>
      <c r="T36" s="24" t="s">
        <v>154</v>
      </c>
      <c r="U36" s="24" t="s">
        <v>155</v>
      </c>
      <c r="V36" s="24" t="s">
        <v>156</v>
      </c>
      <c r="W36" s="24" t="s">
        <v>159</v>
      </c>
      <c r="X36" s="24" t="s">
        <v>238</v>
      </c>
      <c r="Y36" s="24" t="s">
        <v>157</v>
      </c>
      <c r="Z36" s="24" t="s">
        <v>160</v>
      </c>
      <c r="AA36" s="24" t="s">
        <v>265</v>
      </c>
      <c r="AB36" s="24" t="s">
        <v>154</v>
      </c>
      <c r="AC36" s="24" t="s">
        <v>155</v>
      </c>
      <c r="AD36" s="24" t="s">
        <v>156</v>
      </c>
      <c r="AE36" s="24" t="s">
        <v>159</v>
      </c>
      <c r="AF36" s="24" t="s">
        <v>238</v>
      </c>
      <c r="AG36" s="24" t="s">
        <v>157</v>
      </c>
      <c r="AH36" s="24" t="s">
        <v>160</v>
      </c>
      <c r="AI36" s="24" t="s">
        <v>265</v>
      </c>
      <c r="AJ36" s="24" t="s">
        <v>154</v>
      </c>
      <c r="AK36" s="24" t="s">
        <v>155</v>
      </c>
      <c r="AL36" s="24" t="s">
        <v>156</v>
      </c>
      <c r="AM36" s="24" t="s">
        <v>159</v>
      </c>
      <c r="AN36" s="24" t="s">
        <v>238</v>
      </c>
      <c r="AO36" s="24" t="s">
        <v>157</v>
      </c>
      <c r="AP36" s="24" t="s">
        <v>160</v>
      </c>
      <c r="AQ36" s="24" t="s">
        <v>265</v>
      </c>
      <c r="AR36" s="24" t="s">
        <v>154</v>
      </c>
      <c r="AS36" s="24" t="s">
        <v>155</v>
      </c>
      <c r="AT36" s="24" t="s">
        <v>156</v>
      </c>
      <c r="AU36" s="24" t="s">
        <v>159</v>
      </c>
      <c r="AV36" s="24" t="s">
        <v>238</v>
      </c>
      <c r="AW36" s="24" t="s">
        <v>157</v>
      </c>
      <c r="AX36" s="24" t="s">
        <v>160</v>
      </c>
      <c r="AY36" s="24" t="s">
        <v>265</v>
      </c>
    </row>
    <row r="37" spans="2:51">
      <c r="C37" s="26">
        <v>0.1</v>
      </c>
      <c r="D37" s="24">
        <v>0.6805848782567393</v>
      </c>
      <c r="E37" s="24">
        <v>4.1969708576132598</v>
      </c>
      <c r="F37" s="24">
        <v>748.95695734900221</v>
      </c>
      <c r="G37" s="24">
        <v>0.56766033172607422</v>
      </c>
      <c r="H37" s="24">
        <v>31.859229444883407</v>
      </c>
      <c r="I37" s="24">
        <v>29.189748192817337</v>
      </c>
      <c r="J37" s="24">
        <v>33.683506011962891</v>
      </c>
      <c r="K37" s="24">
        <v>1.089914083480835</v>
      </c>
      <c r="L37" s="24">
        <f>((101.3*(-0.0043+0.01*EXP(0.0511*H37)))-C37)/(101.3*(0.0043+0.01*EXP(0.0511*H37)))</f>
        <v>0.82643612273295097</v>
      </c>
      <c r="M37" s="24">
        <f>F37/1000</f>
        <v>0.74895695734900225</v>
      </c>
      <c r="N37" s="24">
        <f>(L37*I37)/40</f>
        <v>0.60308655800057809</v>
      </c>
      <c r="O37" s="24">
        <f>I37/(40-4.72)</f>
        <v>0.82737381498915352</v>
      </c>
      <c r="P37" s="24">
        <f>I37/((40-4.72)*9.87)</f>
        <v>8.3827134244088511E-2</v>
      </c>
      <c r="Q37" s="24">
        <f>(L37*I37)/(40*9.87)</f>
        <v>6.1102994731568203E-2</v>
      </c>
    </row>
    <row r="38" spans="2:51">
      <c r="C38" s="26">
        <v>0.15</v>
      </c>
      <c r="D38" s="24">
        <v>0.70124175042071646</v>
      </c>
      <c r="E38" s="24">
        <v>4.3450992408231395</v>
      </c>
      <c r="F38" s="24">
        <v>722.75909748575168</v>
      </c>
      <c r="G38" s="24">
        <v>0.60899758338928223</v>
      </c>
      <c r="H38" s="24">
        <v>31.82634770763617</v>
      </c>
      <c r="I38" s="24">
        <v>29.143625968576977</v>
      </c>
      <c r="J38" s="24">
        <v>33.464500427246094</v>
      </c>
      <c r="K38" s="24">
        <v>1.1185052394866943</v>
      </c>
      <c r="L38" s="24">
        <f t="shared" ref="L38:L56" si="6">((101.3*(-0.0043+0.01*EXP(0.0511*H38)))-C38)/(101.3*(0.0043+0.01*EXP(0.0511*H38)))</f>
        <v>0.81721742578359491</v>
      </c>
      <c r="M38" s="24">
        <f t="shared" ref="M38:M56" si="7">F38/1000</f>
        <v>0.72275909748575173</v>
      </c>
      <c r="N38" s="24">
        <f t="shared" ref="N38:N56" si="8">(L38*I38)/40</f>
        <v>0.59541697480101008</v>
      </c>
      <c r="O38" s="24">
        <f t="shared" ref="O38:O56" si="9">I38/(40-4.72)</f>
        <v>0.8260664957079642</v>
      </c>
      <c r="P38" s="24">
        <f t="shared" ref="P38:P56" si="10">I38/((40-4.72)*9.87)</f>
        <v>8.3694680416207118E-2</v>
      </c>
      <c r="Q38" s="24">
        <f t="shared" ref="Q38:Q56" si="11">(L38*I38)/(40*9.87)</f>
        <v>6.0325934630294856E-2</v>
      </c>
    </row>
    <row r="39" spans="2:51">
      <c r="C39" s="26">
        <v>0.2</v>
      </c>
      <c r="D39" s="24">
        <v>0.70538212882241114</v>
      </c>
      <c r="E39" s="24">
        <v>4.369787304691453</v>
      </c>
      <c r="F39" s="24">
        <v>673.18977678546594</v>
      </c>
      <c r="G39" s="24">
        <v>0.6575552225112915</v>
      </c>
      <c r="H39" s="24">
        <v>31.820867418094963</v>
      </c>
      <c r="I39" s="24">
        <v>28.988967004334455</v>
      </c>
      <c r="J39" s="24">
        <v>33.021495819091797</v>
      </c>
      <c r="K39" s="24">
        <v>1.0486327409744263</v>
      </c>
      <c r="L39" s="24">
        <f t="shared" si="6"/>
        <v>0.80821833634192652</v>
      </c>
      <c r="M39" s="24">
        <f t="shared" si="7"/>
        <v>0.67318977678546599</v>
      </c>
      <c r="N39" s="24">
        <f t="shared" si="8"/>
        <v>0.5857353671128549</v>
      </c>
      <c r="O39" s="24">
        <f t="shared" si="9"/>
        <v>0.82168273821809679</v>
      </c>
      <c r="P39" s="24">
        <f t="shared" si="10"/>
        <v>8.3250530721185087E-2</v>
      </c>
      <c r="Q39" s="24">
        <f t="shared" si="11"/>
        <v>5.9345021997249746E-2</v>
      </c>
    </row>
    <row r="40" spans="2:51">
      <c r="C40" s="24">
        <v>0.25</v>
      </c>
      <c r="D40" s="24">
        <v>0.70538212882241114</v>
      </c>
      <c r="E40" s="24">
        <v>4.369787304691453</v>
      </c>
      <c r="F40" s="24">
        <v>625.61824069452643</v>
      </c>
      <c r="G40" s="24">
        <v>0.70755523443222046</v>
      </c>
      <c r="H40" s="24">
        <v>31.820867418094963</v>
      </c>
      <c r="I40" s="24">
        <v>28.809841826527229</v>
      </c>
      <c r="J40" s="24">
        <v>32.5364990234375</v>
      </c>
      <c r="K40" s="24">
        <v>1.0127477645874023</v>
      </c>
      <c r="L40" s="24">
        <f t="shared" si="6"/>
        <v>0.79926644853324491</v>
      </c>
      <c r="M40" s="24">
        <f t="shared" si="7"/>
        <v>0.62561824069452643</v>
      </c>
      <c r="N40" s="24">
        <f t="shared" si="8"/>
        <v>0.57566849898732386</v>
      </c>
      <c r="O40" s="24">
        <f t="shared" si="9"/>
        <v>0.81660549394918447</v>
      </c>
      <c r="P40" s="24">
        <f t="shared" si="10"/>
        <v>8.2736118941153444E-2</v>
      </c>
      <c r="Q40" s="24">
        <f t="shared" si="11"/>
        <v>5.8325075885240517E-2</v>
      </c>
    </row>
    <row r="41" spans="2:51">
      <c r="C41" s="24">
        <f t="shared" ref="C41:C56" si="12">C40+0.25</f>
        <v>0.5</v>
      </c>
      <c r="D41" s="24">
        <v>0.75533213549741074</v>
      </c>
      <c r="E41" s="24">
        <v>4.666044071111215</v>
      </c>
      <c r="F41" s="24">
        <v>502.69192293681942</v>
      </c>
      <c r="G41" s="24">
        <v>0.94027823209762573</v>
      </c>
      <c r="H41" s="24">
        <v>31.755103943600485</v>
      </c>
      <c r="I41" s="24">
        <v>28.234590605369409</v>
      </c>
      <c r="J41" s="24">
        <v>30.897500991821289</v>
      </c>
      <c r="K41" s="24">
        <v>0.90747839212417603</v>
      </c>
      <c r="L41" s="24">
        <f t="shared" si="6"/>
        <v>0.75374528538258445</v>
      </c>
      <c r="M41" s="24">
        <f t="shared" si="7"/>
        <v>0.50269192293681941</v>
      </c>
      <c r="N41" s="24">
        <f t="shared" si="8"/>
        <v>0.53204223883761503</v>
      </c>
      <c r="O41" s="24">
        <f t="shared" si="9"/>
        <v>0.80030018722702401</v>
      </c>
      <c r="P41" s="24">
        <f t="shared" si="10"/>
        <v>8.1084112181056142E-2</v>
      </c>
      <c r="Q41" s="24">
        <f t="shared" si="11"/>
        <v>5.3904988737347025E-2</v>
      </c>
    </row>
    <row r="42" spans="2:51">
      <c r="C42" s="24">
        <f t="shared" si="12"/>
        <v>0.75</v>
      </c>
      <c r="D42" s="24">
        <v>0.8058225622581161</v>
      </c>
      <c r="E42" s="24">
        <v>4.9623008375309761</v>
      </c>
      <c r="F42" s="24">
        <v>428.52149956472459</v>
      </c>
      <c r="G42" s="24">
        <v>1.1730592250823975</v>
      </c>
      <c r="H42" s="24">
        <v>31.689340469106007</v>
      </c>
      <c r="I42" s="24">
        <v>27.716485396422879</v>
      </c>
      <c r="J42" s="24">
        <v>29.517498016357422</v>
      </c>
      <c r="K42" s="24">
        <v>0.85692936182022095</v>
      </c>
      <c r="L42" s="24">
        <f t="shared" si="6"/>
        <v>0.70794380337583462</v>
      </c>
      <c r="M42" s="24">
        <f t="shared" si="7"/>
        <v>0.42852149956472457</v>
      </c>
      <c r="N42" s="24">
        <f t="shared" si="8"/>
        <v>0.49054285219385979</v>
      </c>
      <c r="O42" s="24">
        <f t="shared" si="9"/>
        <v>0.7856146654314875</v>
      </c>
      <c r="P42" s="24">
        <f t="shared" si="10"/>
        <v>7.9596217368945038E-2</v>
      </c>
      <c r="Q42" s="24">
        <f t="shared" si="11"/>
        <v>4.9700390293197554E-2</v>
      </c>
    </row>
    <row r="43" spans="2:51">
      <c r="C43" s="24">
        <f t="shared" si="12"/>
        <v>1</v>
      </c>
      <c r="D43" s="24">
        <v>0.8355594217123069</v>
      </c>
      <c r="E43" s="24">
        <v>5.1351172846091702</v>
      </c>
      <c r="F43" s="24">
        <v>368.13314495570239</v>
      </c>
      <c r="G43" s="24">
        <v>1.4130414724349976</v>
      </c>
      <c r="H43" s="24">
        <v>31.650978442317562</v>
      </c>
      <c r="I43" s="24">
        <v>27.095903806199775</v>
      </c>
      <c r="J43" s="24">
        <v>28.070501327514648</v>
      </c>
      <c r="K43" s="24">
        <v>0.79040437936782837</v>
      </c>
      <c r="L43" s="24">
        <f t="shared" si="6"/>
        <v>0.66229675407976663</v>
      </c>
      <c r="M43" s="24">
        <f t="shared" si="7"/>
        <v>0.36813314495570237</v>
      </c>
      <c r="N43" s="24">
        <f t="shared" si="8"/>
        <v>0.44863822849259261</v>
      </c>
      <c r="O43" s="24">
        <f t="shared" si="9"/>
        <v>0.76802448430271464</v>
      </c>
      <c r="P43" s="24">
        <f t="shared" si="10"/>
        <v>7.7814030831075451E-2</v>
      </c>
      <c r="Q43" s="24">
        <f t="shared" si="11"/>
        <v>4.5454734396412635E-2</v>
      </c>
    </row>
    <row r="44" spans="2:51">
      <c r="C44" s="24">
        <f t="shared" si="12"/>
        <v>1.25</v>
      </c>
      <c r="D44" s="24">
        <v>0.8655297974962316</v>
      </c>
      <c r="E44" s="24">
        <v>5.3079337316873643</v>
      </c>
      <c r="F44" s="24">
        <v>325.27502009586664</v>
      </c>
      <c r="G44" s="24">
        <v>1.653043270111084</v>
      </c>
      <c r="H44" s="24">
        <v>31.612616415529114</v>
      </c>
      <c r="I44" s="24">
        <v>26.506095424077756</v>
      </c>
      <c r="J44" s="24">
        <v>26.792505264282227</v>
      </c>
      <c r="K44" s="24">
        <v>0.73233973979949951</v>
      </c>
      <c r="L44" s="24">
        <f t="shared" si="6"/>
        <v>0.61648570966220717</v>
      </c>
      <c r="M44" s="24">
        <f t="shared" si="7"/>
        <v>0.32527502009586662</v>
      </c>
      <c r="N44" s="24">
        <f t="shared" si="8"/>
        <v>0.40851572619716892</v>
      </c>
      <c r="O44" s="24">
        <f t="shared" si="9"/>
        <v>0.75130655963939219</v>
      </c>
      <c r="P44" s="24">
        <f t="shared" si="10"/>
        <v>7.6120218808449061E-2</v>
      </c>
      <c r="Q44" s="24">
        <f t="shared" si="11"/>
        <v>4.1389637912580442E-2</v>
      </c>
    </row>
    <row r="45" spans="2:51">
      <c r="C45" s="24">
        <f t="shared" si="12"/>
        <v>1.5</v>
      </c>
      <c r="D45" s="24">
        <v>0.89575488518364721</v>
      </c>
      <c r="E45" s="24">
        <v>5.4807501787655593</v>
      </c>
      <c r="F45" s="24">
        <v>293.28104042699806</v>
      </c>
      <c r="G45" s="24">
        <v>1.8930647373199463</v>
      </c>
      <c r="H45" s="24">
        <v>31.57425438874067</v>
      </c>
      <c r="I45" s="24">
        <v>25.947567411955582</v>
      </c>
      <c r="J45" s="24">
        <v>25.660503387451172</v>
      </c>
      <c r="K45" s="24">
        <v>0.69195330142974854</v>
      </c>
      <c r="L45" s="24">
        <f t="shared" si="6"/>
        <v>0.57051026453943654</v>
      </c>
      <c r="M45" s="24">
        <f t="shared" si="7"/>
        <v>0.29328104042699804</v>
      </c>
      <c r="N45" s="24">
        <f t="shared" si="8"/>
        <v>0.37008383870874106</v>
      </c>
      <c r="O45" s="24">
        <f t="shared" si="9"/>
        <v>0.73547526677878627</v>
      </c>
      <c r="P45" s="24">
        <f t="shared" si="10"/>
        <v>7.4516237768874005E-2</v>
      </c>
      <c r="Q45" s="24">
        <f t="shared" si="11"/>
        <v>3.7495829656407409E-2</v>
      </c>
    </row>
    <row r="46" spans="2:51">
      <c r="C46" s="24">
        <f t="shared" si="12"/>
        <v>1.75</v>
      </c>
      <c r="D46" s="24">
        <v>0.9218823734997279</v>
      </c>
      <c r="E46" s="24">
        <v>5.6288785619754398</v>
      </c>
      <c r="F46" s="24">
        <v>267.13428084541204</v>
      </c>
      <c r="G46" s="24">
        <v>2.1345272064208984</v>
      </c>
      <c r="H46" s="24">
        <v>31.541372651493429</v>
      </c>
      <c r="I46" s="24">
        <v>25.383071999136558</v>
      </c>
      <c r="J46" s="24">
        <v>24.599496841430664</v>
      </c>
      <c r="K46" s="24">
        <v>0.66469812393188477</v>
      </c>
      <c r="L46" s="24">
        <f t="shared" si="6"/>
        <v>0.52449266675742756</v>
      </c>
      <c r="M46" s="24">
        <f t="shared" si="7"/>
        <v>0.26713428084541202</v>
      </c>
      <c r="N46" s="24">
        <f t="shared" si="8"/>
        <v>0.33283087808307299</v>
      </c>
      <c r="O46" s="24">
        <f t="shared" si="9"/>
        <v>0.71947482990749878</v>
      </c>
      <c r="P46" s="24">
        <f t="shared" si="10"/>
        <v>7.2895119544832715E-2</v>
      </c>
      <c r="Q46" s="24">
        <f t="shared" si="11"/>
        <v>3.3721466877717633E-2</v>
      </c>
    </row>
    <row r="47" spans="2:51">
      <c r="C47" s="24">
        <f t="shared" si="12"/>
        <v>2</v>
      </c>
      <c r="D47" s="24">
        <v>0.93502624615893282</v>
      </c>
      <c r="E47" s="24">
        <v>5.7029427535803805</v>
      </c>
      <c r="F47" s="24">
        <v>242.70758753094398</v>
      </c>
      <c r="G47" s="24">
        <v>2.3802638053894043</v>
      </c>
      <c r="H47" s="24">
        <v>31.52493178286981</v>
      </c>
      <c r="I47" s="24">
        <v>24.729968265000021</v>
      </c>
      <c r="J47" s="24">
        <v>23.486507415771484</v>
      </c>
      <c r="K47" s="24">
        <v>0.62497061491012573</v>
      </c>
      <c r="L47" s="24">
        <f t="shared" si="6"/>
        <v>0.47873710227866467</v>
      </c>
      <c r="M47" s="24">
        <f t="shared" si="7"/>
        <v>0.24270758753094399</v>
      </c>
      <c r="N47" s="24">
        <f t="shared" si="8"/>
        <v>0.29597883366573619</v>
      </c>
      <c r="O47" s="24">
        <f t="shared" si="9"/>
        <v>0.70096281930272164</v>
      </c>
      <c r="P47" s="24">
        <f t="shared" si="10"/>
        <v>7.1019535896932287E-2</v>
      </c>
      <c r="Q47" s="24">
        <f t="shared" si="11"/>
        <v>2.9987723775657164E-2</v>
      </c>
    </row>
    <row r="48" spans="2:51">
      <c r="C48" s="24">
        <f t="shared" si="12"/>
        <v>2.25</v>
      </c>
      <c r="D48" s="24">
        <v>0.96592302074423375</v>
      </c>
      <c r="E48" s="24">
        <v>5.9004472645268882</v>
      </c>
      <c r="F48" s="24">
        <v>228.23035736378702</v>
      </c>
      <c r="G48" s="24">
        <v>2.6189124584197998</v>
      </c>
      <c r="H48" s="24">
        <v>31.481089466540158</v>
      </c>
      <c r="I48" s="24">
        <v>24.298368799701723</v>
      </c>
      <c r="J48" s="24">
        <v>22.744512557983398</v>
      </c>
      <c r="K48" s="24">
        <v>0.61937463283538818</v>
      </c>
      <c r="L48" s="24">
        <f t="shared" si="6"/>
        <v>0.43217938675797984</v>
      </c>
      <c r="M48" s="24">
        <f t="shared" si="7"/>
        <v>0.22823035736378702</v>
      </c>
      <c r="N48" s="24">
        <f t="shared" si="8"/>
        <v>0.26253135317685805</v>
      </c>
      <c r="O48" s="24">
        <f t="shared" si="9"/>
        <v>0.68872927436796261</v>
      </c>
      <c r="P48" s="24">
        <f t="shared" si="10"/>
        <v>6.9780068325021552E-2</v>
      </c>
      <c r="Q48" s="24">
        <f t="shared" si="11"/>
        <v>2.6598921294514497E-2</v>
      </c>
    </row>
    <row r="49" spans="2:17">
      <c r="C49" s="24">
        <f t="shared" si="12"/>
        <v>2.5</v>
      </c>
      <c r="D49" s="24">
        <v>0.97481074816610569</v>
      </c>
      <c r="E49" s="24">
        <v>5.9498233922635144</v>
      </c>
      <c r="F49" s="24">
        <v>210.29330302892154</v>
      </c>
      <c r="G49" s="24">
        <v>2.8660783767700195</v>
      </c>
      <c r="H49" s="24">
        <v>31.470128887457744</v>
      </c>
      <c r="I49" s="24">
        <v>23.652049303090124</v>
      </c>
      <c r="J49" s="24">
        <v>21.771512985229492</v>
      </c>
      <c r="K49" s="24">
        <v>0.58471524715423584</v>
      </c>
      <c r="L49" s="24">
        <f t="shared" si="6"/>
        <v>0.38638178602352186</v>
      </c>
      <c r="M49" s="24">
        <f t="shared" si="7"/>
        <v>0.21029330302892155</v>
      </c>
      <c r="N49" s="24">
        <f t="shared" si="8"/>
        <v>0.22846802632110891</v>
      </c>
      <c r="O49" s="24">
        <f t="shared" si="9"/>
        <v>0.67040956074518487</v>
      </c>
      <c r="P49" s="24">
        <f t="shared" si="10"/>
        <v>6.792396765402077E-2</v>
      </c>
      <c r="Q49" s="24">
        <f t="shared" si="11"/>
        <v>2.3147723031520663E-2</v>
      </c>
    </row>
    <row r="50" spans="2:17">
      <c r="C50" s="24">
        <f t="shared" si="12"/>
        <v>2.75</v>
      </c>
      <c r="D50" s="24">
        <v>1.0061472849468667</v>
      </c>
      <c r="E50" s="24">
        <v>6.1226398393417085</v>
      </c>
      <c r="F50" s="24">
        <v>199.67450390029842</v>
      </c>
      <c r="G50" s="24">
        <v>3.1061723232269287</v>
      </c>
      <c r="H50" s="24">
        <v>31.431766860669299</v>
      </c>
      <c r="I50" s="24">
        <v>23.237210389282996</v>
      </c>
      <c r="J50" s="24">
        <v>21.13850212097168</v>
      </c>
      <c r="K50" s="24">
        <v>0.58258742094039917</v>
      </c>
      <c r="L50" s="24">
        <f t="shared" si="6"/>
        <v>0.33968646365804028</v>
      </c>
      <c r="M50" s="24">
        <f t="shared" si="7"/>
        <v>0.19967450390029842</v>
      </c>
      <c r="N50" s="24">
        <f t="shared" si="8"/>
        <v>0.19733414556033538</v>
      </c>
      <c r="O50" s="24">
        <f t="shared" si="9"/>
        <v>0.65865108813160422</v>
      </c>
      <c r="P50" s="24">
        <f t="shared" si="10"/>
        <v>6.6732633042715733E-2</v>
      </c>
      <c r="Q50" s="24">
        <f t="shared" si="11"/>
        <v>1.9993327817663161E-2</v>
      </c>
    </row>
    <row r="51" spans="2:17">
      <c r="C51" s="24">
        <f t="shared" si="12"/>
        <v>3</v>
      </c>
      <c r="D51" s="24">
        <v>1.0151675825917046</v>
      </c>
      <c r="E51" s="24">
        <v>6.1720159670783366</v>
      </c>
      <c r="F51" s="24">
        <v>186.4481929706935</v>
      </c>
      <c r="G51" s="24">
        <v>3.3533456325531006</v>
      </c>
      <c r="H51" s="24">
        <v>31.420806281586884</v>
      </c>
      <c r="I51" s="24">
        <v>22.636010009115971</v>
      </c>
      <c r="J51" s="24">
        <v>20.322509765625</v>
      </c>
      <c r="K51" s="24">
        <v>0.57365584373474121</v>
      </c>
      <c r="L51" s="24">
        <f t="shared" si="6"/>
        <v>0.29373551284878152</v>
      </c>
      <c r="M51" s="24">
        <f t="shared" si="7"/>
        <v>0.18644819297069351</v>
      </c>
      <c r="N51" s="24">
        <f t="shared" si="8"/>
        <v>0.16622500022194578</v>
      </c>
      <c r="O51" s="24">
        <f t="shared" si="9"/>
        <v>0.64161026102936425</v>
      </c>
      <c r="P51" s="24">
        <f t="shared" si="10"/>
        <v>6.5006105474099726E-2</v>
      </c>
      <c r="Q51" s="24">
        <f t="shared" si="11"/>
        <v>1.6841438725627739E-2</v>
      </c>
    </row>
    <row r="52" spans="2:17">
      <c r="C52" s="24">
        <f t="shared" si="12"/>
        <v>3.25</v>
      </c>
      <c r="D52" s="24">
        <v>1.0378609315686673</v>
      </c>
      <c r="E52" s="24">
        <v>6.2954562864199026</v>
      </c>
      <c r="F52" s="24">
        <v>177.33011267290217</v>
      </c>
      <c r="G52" s="24">
        <v>3.5962855815887451</v>
      </c>
      <c r="H52" s="24">
        <v>31.393404833880854</v>
      </c>
      <c r="I52" s="24">
        <v>22.188257613702604</v>
      </c>
      <c r="J52" s="24">
        <v>19.721517562866211</v>
      </c>
      <c r="K52" s="24">
        <v>0.56265580654144287</v>
      </c>
      <c r="L52" s="24">
        <f t="shared" si="6"/>
        <v>0.24715540708243419</v>
      </c>
      <c r="M52" s="24">
        <f t="shared" si="7"/>
        <v>0.17733011267290216</v>
      </c>
      <c r="N52" s="24">
        <f t="shared" si="8"/>
        <v>0.13709869607411468</v>
      </c>
      <c r="O52" s="24">
        <f t="shared" si="9"/>
        <v>0.62891886660154772</v>
      </c>
      <c r="P52" s="24">
        <f t="shared" si="10"/>
        <v>6.3720249908971405E-2</v>
      </c>
      <c r="Q52" s="24">
        <f t="shared" si="11"/>
        <v>1.3890445397580008E-2</v>
      </c>
    </row>
    <row r="53" spans="2:17">
      <c r="C53" s="24">
        <f t="shared" si="12"/>
        <v>3.5</v>
      </c>
      <c r="D53" s="24">
        <v>1.0469958891891562</v>
      </c>
      <c r="E53" s="24">
        <v>6.3448324141565289</v>
      </c>
      <c r="F53" s="24">
        <v>167.22713424057451</v>
      </c>
      <c r="G53" s="24">
        <v>3.8434643745422363</v>
      </c>
      <c r="H53" s="24">
        <v>31.38244425479844</v>
      </c>
      <c r="I53" s="24">
        <v>21.631400348636635</v>
      </c>
      <c r="J53" s="24">
        <v>19.034509658813477</v>
      </c>
      <c r="K53" s="24">
        <v>0.55893844366073608</v>
      </c>
      <c r="L53" s="24">
        <f t="shared" si="6"/>
        <v>0.20107442412263773</v>
      </c>
      <c r="M53" s="24">
        <f t="shared" si="7"/>
        <v>0.1672271342405745</v>
      </c>
      <c r="N53" s="24">
        <f t="shared" si="8"/>
        <v>0.10873803420170843</v>
      </c>
      <c r="O53" s="24">
        <f t="shared" si="9"/>
        <v>0.61313493051691137</v>
      </c>
      <c r="P53" s="24">
        <f t="shared" si="10"/>
        <v>6.2121066921672893E-2</v>
      </c>
      <c r="Q53" s="24">
        <f t="shared" si="11"/>
        <v>1.1017024741814431E-2</v>
      </c>
    </row>
    <row r="54" spans="2:17">
      <c r="C54" s="24">
        <f t="shared" si="12"/>
        <v>3.75</v>
      </c>
      <c r="D54" s="24">
        <v>1.0653691146800695</v>
      </c>
      <c r="E54" s="24">
        <v>6.443584669629784</v>
      </c>
      <c r="F54" s="24">
        <v>159.67779260752891</v>
      </c>
      <c r="G54" s="24">
        <v>4.0878267288208008</v>
      </c>
      <c r="H54" s="24">
        <v>31.360523096633614</v>
      </c>
      <c r="I54" s="24">
        <v>21.186588176707584</v>
      </c>
      <c r="J54" s="24">
        <v>18.49553108215332</v>
      </c>
      <c r="K54" s="24">
        <v>0.5503615140914917</v>
      </c>
      <c r="L54" s="24">
        <f t="shared" si="6"/>
        <v>0.15451043392249023</v>
      </c>
      <c r="M54" s="24">
        <f t="shared" si="7"/>
        <v>0.1596777926075289</v>
      </c>
      <c r="N54" s="24">
        <f t="shared" si="8"/>
        <v>8.1838723313004749E-2</v>
      </c>
      <c r="O54" s="24">
        <f t="shared" si="9"/>
        <v>0.60052687575701769</v>
      </c>
      <c r="P54" s="24">
        <f t="shared" si="10"/>
        <v>6.0843655091896424E-2</v>
      </c>
      <c r="Q54" s="24">
        <f t="shared" si="11"/>
        <v>8.2916639628170981E-3</v>
      </c>
    </row>
    <row r="55" spans="2:17">
      <c r="C55" s="24">
        <f t="shared" si="12"/>
        <v>4</v>
      </c>
      <c r="D55" s="24">
        <v>1.0699846364725729</v>
      </c>
      <c r="E55" s="24">
        <v>6.4682727334980967</v>
      </c>
      <c r="F55" s="24">
        <v>151.10074845396755</v>
      </c>
      <c r="G55" s="24">
        <v>4.3364181518554687</v>
      </c>
      <c r="H55" s="24">
        <v>31.355042807092406</v>
      </c>
      <c r="I55" s="24">
        <v>20.629940619159953</v>
      </c>
      <c r="J55" s="24">
        <v>17.872509002685547</v>
      </c>
      <c r="K55" s="24">
        <v>0.53870213031768799</v>
      </c>
      <c r="L55" s="24">
        <f t="shared" si="6"/>
        <v>0.10854079765255772</v>
      </c>
      <c r="M55" s="24">
        <f t="shared" si="7"/>
        <v>0.15110074845396756</v>
      </c>
      <c r="N55" s="24">
        <f t="shared" si="8"/>
        <v>5.5979755258213047E-2</v>
      </c>
      <c r="O55" s="24">
        <f t="shared" si="9"/>
        <v>0.58474888376303724</v>
      </c>
      <c r="P55" s="24">
        <f t="shared" si="10"/>
        <v>5.92450743427596E-2</v>
      </c>
      <c r="Q55" s="24">
        <f t="shared" si="11"/>
        <v>5.6717077262627208E-3</v>
      </c>
    </row>
    <row r="56" spans="2:17">
      <c r="C56" s="24">
        <f t="shared" si="12"/>
        <v>4.25</v>
      </c>
      <c r="D56" s="24">
        <v>1.0699846364725729</v>
      </c>
      <c r="E56" s="24">
        <v>6.4682727334980967</v>
      </c>
      <c r="F56" s="24">
        <v>142.86443290502146</v>
      </c>
      <c r="G56" s="24">
        <v>4.5864181518554687</v>
      </c>
      <c r="H56" s="24">
        <v>31.355042807092406</v>
      </c>
      <c r="I56" s="24">
        <v>20.047938397674962</v>
      </c>
      <c r="J56" s="24">
        <v>17.256494522094727</v>
      </c>
      <c r="K56" s="24">
        <v>0.53865581750869751</v>
      </c>
      <c r="L56" s="24">
        <f t="shared" si="6"/>
        <v>6.2789090553485111E-2</v>
      </c>
      <c r="M56" s="24">
        <f t="shared" si="7"/>
        <v>0.14286443290502146</v>
      </c>
      <c r="N56" s="24">
        <f t="shared" si="8"/>
        <v>3.1469795486557608E-2</v>
      </c>
      <c r="O56" s="24">
        <f t="shared" si="9"/>
        <v>0.56825222215631976</v>
      </c>
      <c r="P56" s="24">
        <f t="shared" si="10"/>
        <v>5.7573680056364721E-2</v>
      </c>
      <c r="Q56" s="24">
        <f t="shared" si="11"/>
        <v>3.1884291273108021E-3</v>
      </c>
    </row>
    <row r="57" spans="2:17">
      <c r="B57" s="24">
        <v>45</v>
      </c>
      <c r="C57" s="26">
        <v>0.1</v>
      </c>
      <c r="D57" s="24">
        <v>0.66000185514051046</v>
      </c>
      <c r="E57" s="24">
        <v>4.073530538271692</v>
      </c>
      <c r="F57" s="24">
        <v>717.78664622133851</v>
      </c>
      <c r="G57" s="24">
        <v>0.5748903751373291</v>
      </c>
      <c r="H57" s="24">
        <v>31.886630892589441</v>
      </c>
      <c r="I57" s="24">
        <v>30.573539833878897</v>
      </c>
      <c r="J57" s="24">
        <v>38.096504211425781</v>
      </c>
      <c r="K57" s="24">
        <v>1.1851958036422729</v>
      </c>
      <c r="L57" s="24">
        <f t="shared" ref="L57" si="13">((101.3*(-0.0043+0.01*EXP(0.0511*H57)))-C57)/(101.3*(0.0043+0.01*EXP(0.0511*H57)))</f>
        <v>0.82666009817126307</v>
      </c>
      <c r="M57" s="24">
        <f t="shared" ref="M57" si="14">F57/1000</f>
        <v>0.71778664622133848</v>
      </c>
      <c r="N57" s="24">
        <f>(L57*I57)/45</f>
        <v>0.56164278756705233</v>
      </c>
      <c r="O57" s="24">
        <f>I57/40.28</f>
        <v>0.75902531861665579</v>
      </c>
      <c r="P57" s="24">
        <f>I57/((45-4.72)*9.87)</f>
        <v>7.6902261258019841E-2</v>
      </c>
      <c r="Q57" s="24">
        <f>(L57*I57)/(45*9.87)</f>
        <v>5.6904031161808748E-2</v>
      </c>
    </row>
    <row r="58" spans="2:17">
      <c r="C58" s="26">
        <v>0.15</v>
      </c>
      <c r="D58" s="24">
        <v>0.66000185514051046</v>
      </c>
      <c r="E58" s="24">
        <v>4.073530538271692</v>
      </c>
      <c r="F58" s="24">
        <v>660.35364196666956</v>
      </c>
      <c r="G58" s="24">
        <v>0.62489038705825806</v>
      </c>
      <c r="H58" s="24">
        <v>31.886630892589441</v>
      </c>
      <c r="I58" s="24">
        <v>30.409801707310251</v>
      </c>
      <c r="J58" s="24">
        <v>37.536518096923828</v>
      </c>
      <c r="K58" s="24">
        <v>1.1158334016799927</v>
      </c>
      <c r="L58" s="24">
        <f t="shared" ref="L58:L76" si="15">((101.3*(-0.0043+0.01*EXP(0.0511*H58)))-C58)/(101.3*(0.0043+0.01*EXP(0.0511*H58)))</f>
        <v>0.81773590791668926</v>
      </c>
      <c r="M58" s="24">
        <f t="shared" ref="M58:M76" si="16">F58/1000</f>
        <v>0.66035364196666957</v>
      </c>
      <c r="N58" s="24">
        <f t="shared" ref="N58:N76" si="17">(L58*I58)/45</f>
        <v>0.5526041513043074</v>
      </c>
      <c r="O58" s="24">
        <f>I58/40.28</f>
        <v>0.75496032043967853</v>
      </c>
      <c r="P58" s="24">
        <f t="shared" ref="P58:P76" si="18">I58/((45-4.72)*9.87)</f>
        <v>7.6490407339379785E-2</v>
      </c>
      <c r="Q58" s="24">
        <f t="shared" ref="Q58:Q76" si="19">(L58*I58)/(45*9.87)</f>
        <v>5.5988262543496196E-2</v>
      </c>
    </row>
    <row r="59" spans="2:17">
      <c r="C59" s="26">
        <v>0.2</v>
      </c>
      <c r="D59" s="24">
        <v>0.6805848782567393</v>
      </c>
      <c r="E59" s="24">
        <v>4.2216589214815734</v>
      </c>
      <c r="F59" s="24">
        <v>641.91546656065054</v>
      </c>
      <c r="G59" s="24">
        <v>0.66621553897857666</v>
      </c>
      <c r="H59" s="24">
        <v>31.853749155342204</v>
      </c>
      <c r="I59" s="24">
        <v>30.379491466199497</v>
      </c>
      <c r="J59" s="24">
        <v>37.329509735107422</v>
      </c>
      <c r="K59" s="24">
        <v>1.1257898807525635</v>
      </c>
      <c r="L59" s="24">
        <f t="shared" si="15"/>
        <v>0.80851523744257114</v>
      </c>
      <c r="M59" s="24">
        <f t="shared" si="16"/>
        <v>0.64191546656065057</v>
      </c>
      <c r="N59" s="24">
        <f t="shared" si="17"/>
        <v>0.54582848347064106</v>
      </c>
      <c r="O59" s="24">
        <f t="shared" ref="O59:O76" si="20">I59/40.28</f>
        <v>0.75420783183216222</v>
      </c>
      <c r="P59" s="24">
        <f t="shared" si="18"/>
        <v>7.6414167358881693E-2</v>
      </c>
      <c r="Q59" s="24">
        <f t="shared" si="19"/>
        <v>5.5301771374938309E-2</v>
      </c>
    </row>
    <row r="60" spans="2:17">
      <c r="C60" s="24">
        <v>0.25</v>
      </c>
      <c r="D60" s="24">
        <v>0.6805848782567393</v>
      </c>
      <c r="E60" s="24">
        <v>4.2216589214815734</v>
      </c>
      <c r="F60" s="24">
        <v>597.10245669902292</v>
      </c>
      <c r="G60" s="24">
        <v>0.71621555089950562</v>
      </c>
      <c r="H60" s="24">
        <v>31.853749155342204</v>
      </c>
      <c r="I60" s="24">
        <v>30.21876368269352</v>
      </c>
      <c r="J60" s="24">
        <v>36.797519683837891</v>
      </c>
      <c r="K60" s="24">
        <v>1.0752263069152832</v>
      </c>
      <c r="L60" s="24">
        <f t="shared" si="15"/>
        <v>0.79957720823378142</v>
      </c>
      <c r="M60" s="24">
        <f t="shared" si="16"/>
        <v>0.59710245669902295</v>
      </c>
      <c r="N60" s="24">
        <f t="shared" si="17"/>
        <v>0.53693854892632153</v>
      </c>
      <c r="O60" s="24">
        <f t="shared" si="20"/>
        <v>0.7502175690837517</v>
      </c>
      <c r="P60" s="24">
        <f t="shared" si="18"/>
        <v>7.6009885418819825E-2</v>
      </c>
      <c r="Q60" s="24">
        <f t="shared" si="19"/>
        <v>5.4401068786861351E-2</v>
      </c>
    </row>
    <row r="61" spans="2:17">
      <c r="C61" s="24">
        <f t="shared" ref="C61:C76" si="21">C60+0.25</f>
        <v>0.5</v>
      </c>
      <c r="D61" s="24">
        <v>0.73029471349135855</v>
      </c>
      <c r="E61" s="24">
        <v>4.5179156879013336</v>
      </c>
      <c r="F61" s="24">
        <v>482.30613928092828</v>
      </c>
      <c r="G61" s="24">
        <v>0.9489094614982605</v>
      </c>
      <c r="H61" s="24">
        <v>31.787985680847726</v>
      </c>
      <c r="I61" s="24">
        <v>29.713696038864924</v>
      </c>
      <c r="J61" s="24">
        <v>35.015514373779297</v>
      </c>
      <c r="K61" s="24">
        <v>0.95903319120407104</v>
      </c>
      <c r="L61" s="24">
        <f t="shared" si="15"/>
        <v>0.75412641742428888</v>
      </c>
      <c r="M61" s="24">
        <f t="shared" si="16"/>
        <v>0.4823061392809283</v>
      </c>
      <c r="N61" s="24">
        <f t="shared" si="17"/>
        <v>0.49795295871607753</v>
      </c>
      <c r="O61" s="24">
        <f t="shared" si="20"/>
        <v>0.73767865041869229</v>
      </c>
      <c r="P61" s="24">
        <f t="shared" si="18"/>
        <v>7.4739478259239336E-2</v>
      </c>
      <c r="Q61" s="24">
        <f t="shared" si="19"/>
        <v>5.0451160964141602E-2</v>
      </c>
    </row>
    <row r="62" spans="2:17">
      <c r="C62" s="24">
        <f t="shared" si="21"/>
        <v>0.75</v>
      </c>
      <c r="D62" s="24">
        <v>0.75533213549741074</v>
      </c>
      <c r="E62" s="24">
        <v>4.666044071111215</v>
      </c>
      <c r="F62" s="24">
        <v>397.10906082573621</v>
      </c>
      <c r="G62" s="24">
        <v>1.190278172492981</v>
      </c>
      <c r="H62" s="24">
        <v>31.755103943600485</v>
      </c>
      <c r="I62" s="24">
        <v>29.090191748246301</v>
      </c>
      <c r="J62" s="24">
        <v>33.127510070800781</v>
      </c>
      <c r="K62" s="24">
        <v>0.84682661294937134</v>
      </c>
      <c r="L62" s="24">
        <f t="shared" si="15"/>
        <v>0.70884696520992008</v>
      </c>
      <c r="M62" s="24">
        <f t="shared" si="16"/>
        <v>0.39710906082573622</v>
      </c>
      <c r="N62" s="24">
        <f t="shared" si="17"/>
        <v>0.4582332030693122</v>
      </c>
      <c r="O62" s="24">
        <f t="shared" si="20"/>
        <v>0.72219939792071253</v>
      </c>
      <c r="P62" s="24">
        <f t="shared" si="18"/>
        <v>7.31711649362424E-2</v>
      </c>
      <c r="Q62" s="24">
        <f t="shared" si="19"/>
        <v>4.6426869611885739E-2</v>
      </c>
    </row>
    <row r="63" spans="2:17">
      <c r="C63" s="24">
        <f t="shared" si="21"/>
        <v>1</v>
      </c>
      <c r="D63" s="24">
        <v>0.8058225622581161</v>
      </c>
      <c r="E63" s="24">
        <v>4.9623008375309761</v>
      </c>
      <c r="F63" s="24">
        <v>353.23975646627167</v>
      </c>
      <c r="G63" s="24">
        <v>1.4230592250823975</v>
      </c>
      <c r="H63" s="24">
        <v>31.689340469106007</v>
      </c>
      <c r="I63" s="24">
        <v>28.671818046335645</v>
      </c>
      <c r="J63" s="24">
        <v>31.844501495361328</v>
      </c>
      <c r="K63" s="24">
        <v>0.81536287069320679</v>
      </c>
      <c r="L63" s="24">
        <f t="shared" si="15"/>
        <v>0.66290620782442067</v>
      </c>
      <c r="M63" s="24">
        <f t="shared" si="16"/>
        <v>0.35323975646627165</v>
      </c>
      <c r="N63" s="24">
        <f t="shared" si="17"/>
        <v>0.4223716927228478</v>
      </c>
      <c r="O63" s="24">
        <f t="shared" si="20"/>
        <v>0.71181276182561182</v>
      </c>
      <c r="P63" s="24">
        <f t="shared" si="18"/>
        <v>7.2118820853658741E-2</v>
      </c>
      <c r="Q63" s="24">
        <f t="shared" si="19"/>
        <v>4.2793484571717104E-2</v>
      </c>
    </row>
    <row r="64" spans="2:17">
      <c r="C64" s="24">
        <f t="shared" si="21"/>
        <v>1.25</v>
      </c>
      <c r="D64" s="24">
        <v>0.8355594217123069</v>
      </c>
      <c r="E64" s="24">
        <v>5.1351172846091702</v>
      </c>
      <c r="F64" s="24">
        <v>312.79279968384736</v>
      </c>
      <c r="G64" s="24">
        <v>1.6630414724349976</v>
      </c>
      <c r="H64" s="24">
        <v>31.650978442317562</v>
      </c>
      <c r="I64" s="24">
        <v>28.137181025089323</v>
      </c>
      <c r="J64" s="24">
        <v>30.420507431030273</v>
      </c>
      <c r="K64" s="24">
        <v>0.75721818208694458</v>
      </c>
      <c r="L64" s="24">
        <f t="shared" si="15"/>
        <v>0.61717773213636284</v>
      </c>
      <c r="M64" s="24">
        <f t="shared" si="16"/>
        <v>0.31279279968384738</v>
      </c>
      <c r="N64" s="24">
        <f t="shared" si="17"/>
        <v>0.38590314608388732</v>
      </c>
      <c r="O64" s="24">
        <f t="shared" si="20"/>
        <v>0.69853974739546476</v>
      </c>
      <c r="P64" s="24">
        <f t="shared" si="18"/>
        <v>7.0774037223451353E-2</v>
      </c>
      <c r="Q64" s="24">
        <f t="shared" si="19"/>
        <v>3.9098596361082809E-2</v>
      </c>
    </row>
    <row r="65" spans="2:17">
      <c r="C65" s="24">
        <f t="shared" si="21"/>
        <v>1.5</v>
      </c>
      <c r="D65" s="24">
        <v>0.8655297974962316</v>
      </c>
      <c r="E65" s="24">
        <v>5.3079337316873643</v>
      </c>
      <c r="F65" s="24">
        <v>282.544118617935</v>
      </c>
      <c r="G65" s="24">
        <v>1.903043270111084</v>
      </c>
      <c r="H65" s="24">
        <v>31.612616415529114</v>
      </c>
      <c r="I65" s="24">
        <v>27.627951087559619</v>
      </c>
      <c r="J65" s="24">
        <v>29.152507781982422</v>
      </c>
      <c r="K65" s="24">
        <v>0.71517103910446167</v>
      </c>
      <c r="L65" s="24">
        <f t="shared" si="15"/>
        <v>0.57128512669213949</v>
      </c>
      <c r="M65" s="24">
        <f t="shared" si="16"/>
        <v>0.28254411861793499</v>
      </c>
      <c r="N65" s="24">
        <f t="shared" si="17"/>
        <v>0.35074305638446063</v>
      </c>
      <c r="O65" s="24">
        <f t="shared" si="20"/>
        <v>0.68589749472590911</v>
      </c>
      <c r="P65" s="24">
        <f t="shared" si="18"/>
        <v>6.9493160559869205E-2</v>
      </c>
      <c r="Q65" s="24">
        <f t="shared" si="19"/>
        <v>3.5536277242599869E-2</v>
      </c>
    </row>
    <row r="66" spans="2:17">
      <c r="C66" s="24">
        <f t="shared" si="21"/>
        <v>1.75</v>
      </c>
      <c r="D66" s="24">
        <v>0.89142087793381863</v>
      </c>
      <c r="E66" s="24">
        <v>5.4560621148972457</v>
      </c>
      <c r="F66" s="24">
        <v>257.7299684231852</v>
      </c>
      <c r="G66" s="24">
        <v>2.144489049911499</v>
      </c>
      <c r="H66" s="24">
        <v>31.579734678281874</v>
      </c>
      <c r="I66" s="24">
        <v>27.107553296929552</v>
      </c>
      <c r="J66" s="24">
        <v>27.953516006469727</v>
      </c>
      <c r="K66" s="24">
        <v>0.67568308115005493</v>
      </c>
      <c r="L66" s="24">
        <f t="shared" si="15"/>
        <v>0.5253504377672249</v>
      </c>
      <c r="M66" s="24">
        <f t="shared" si="16"/>
        <v>0.25772996842318519</v>
      </c>
      <c r="N66" s="24">
        <f t="shared" si="17"/>
        <v>0.31646588869645154</v>
      </c>
      <c r="O66" s="24">
        <f t="shared" si="20"/>
        <v>0.67297798651761553</v>
      </c>
      <c r="P66" s="24">
        <f t="shared" si="18"/>
        <v>6.8184193162878978E-2</v>
      </c>
      <c r="Q66" s="24">
        <f t="shared" si="19"/>
        <v>3.2063413241788408E-2</v>
      </c>
    </row>
    <row r="67" spans="2:17">
      <c r="C67" s="24">
        <f t="shared" si="21"/>
        <v>2</v>
      </c>
      <c r="D67" s="24">
        <v>0.90009441534285695</v>
      </c>
      <c r="E67" s="24">
        <v>5.5054382426338719</v>
      </c>
      <c r="F67" s="24">
        <v>233.18756315572429</v>
      </c>
      <c r="G67" s="24">
        <v>2.3916409015655518</v>
      </c>
      <c r="H67" s="24">
        <v>31.568774099199462</v>
      </c>
      <c r="I67" s="24">
        <v>26.455550201613509</v>
      </c>
      <c r="J67" s="24">
        <v>26.612503051757813</v>
      </c>
      <c r="K67" s="24">
        <v>0.6313941478729248</v>
      </c>
      <c r="L67" s="24">
        <f t="shared" si="15"/>
        <v>0.47981154415260835</v>
      </c>
      <c r="M67" s="24">
        <f t="shared" si="16"/>
        <v>0.23318756315572428</v>
      </c>
      <c r="N67" s="24">
        <f t="shared" si="17"/>
        <v>0.28208174208095615</v>
      </c>
      <c r="O67" s="24">
        <f t="shared" si="20"/>
        <v>0.65679121652466499</v>
      </c>
      <c r="P67" s="24">
        <f t="shared" si="18"/>
        <v>6.6544196203106892E-2</v>
      </c>
      <c r="Q67" s="24">
        <f t="shared" si="19"/>
        <v>2.8579710443865872E-2</v>
      </c>
    </row>
    <row r="68" spans="2:17">
      <c r="C68" s="24">
        <f t="shared" si="21"/>
        <v>2.25</v>
      </c>
      <c r="D68" s="24">
        <v>0.93502624615893282</v>
      </c>
      <c r="E68" s="24">
        <v>5.7029427535803805</v>
      </c>
      <c r="F68" s="24">
        <v>219.63883856041258</v>
      </c>
      <c r="G68" s="24">
        <v>2.6302638053894043</v>
      </c>
      <c r="H68" s="24">
        <v>31.52493178286981</v>
      </c>
      <c r="I68" s="24">
        <v>26.0551626982116</v>
      </c>
      <c r="J68" s="24">
        <v>25.773508071899414</v>
      </c>
      <c r="K68" s="24">
        <v>0.62157583236694336</v>
      </c>
      <c r="L68" s="24">
        <f t="shared" si="15"/>
        <v>0.43334958758772441</v>
      </c>
      <c r="M68" s="24">
        <f t="shared" si="16"/>
        <v>0.21963883856041258</v>
      </c>
      <c r="N68" s="24">
        <f t="shared" si="17"/>
        <v>0.25091097799557904</v>
      </c>
      <c r="O68" s="24">
        <f t="shared" si="20"/>
        <v>0.64685110968747761</v>
      </c>
      <c r="P68" s="24">
        <f t="shared" si="18"/>
        <v>6.5537093180088921E-2</v>
      </c>
      <c r="Q68" s="24">
        <f t="shared" si="19"/>
        <v>2.5421578317687848E-2</v>
      </c>
    </row>
    <row r="69" spans="2:17">
      <c r="C69" s="24">
        <f t="shared" si="21"/>
        <v>2.5</v>
      </c>
      <c r="D69" s="24">
        <v>0.95706273280331888</v>
      </c>
      <c r="E69" s="24">
        <v>5.851071136790261</v>
      </c>
      <c r="F69" s="24">
        <v>206.39468843149385</v>
      </c>
      <c r="G69" s="24">
        <v>2.8717479705810547</v>
      </c>
      <c r="H69" s="24">
        <v>31.49205004562257</v>
      </c>
      <c r="I69" s="24">
        <v>25.600599453468078</v>
      </c>
      <c r="J69" s="24">
        <v>24.897500991821289</v>
      </c>
      <c r="K69" s="24">
        <v>0.60166662931442261</v>
      </c>
      <c r="L69" s="24">
        <f t="shared" si="15"/>
        <v>0.38701434775627436</v>
      </c>
      <c r="M69" s="24">
        <f t="shared" si="16"/>
        <v>0.20639468843149383</v>
      </c>
      <c r="N69" s="24">
        <f t="shared" si="17"/>
        <v>0.22017331777007962</v>
      </c>
      <c r="O69" s="24">
        <f t="shared" si="20"/>
        <v>0.63556602416752928</v>
      </c>
      <c r="P69" s="24">
        <f t="shared" si="18"/>
        <v>6.4393720786983716E-2</v>
      </c>
      <c r="Q69" s="24">
        <f t="shared" si="19"/>
        <v>2.2307327028376862E-2</v>
      </c>
    </row>
    <row r="70" spans="2:17">
      <c r="C70" s="24">
        <f t="shared" si="21"/>
        <v>2.75</v>
      </c>
      <c r="D70" s="24">
        <v>0.97036328499137692</v>
      </c>
      <c r="E70" s="24">
        <v>5.9251353283952017</v>
      </c>
      <c r="F70" s="24">
        <v>192.53155648659842</v>
      </c>
      <c r="G70" s="24">
        <v>3.1174952983856201</v>
      </c>
      <c r="H70" s="24">
        <v>31.475609176998951</v>
      </c>
      <c r="I70" s="24">
        <v>25.042182166543661</v>
      </c>
      <c r="J70" s="24">
        <v>23.91950798034668</v>
      </c>
      <c r="K70" s="24">
        <v>0.57790303230285645</v>
      </c>
      <c r="L70" s="24">
        <f t="shared" si="15"/>
        <v>0.3410470082659659</v>
      </c>
      <c r="M70" s="24">
        <f t="shared" si="16"/>
        <v>0.19253155648659842</v>
      </c>
      <c r="N70" s="24">
        <f t="shared" si="17"/>
        <v>0.18979025129668975</v>
      </c>
      <c r="O70" s="24">
        <f t="shared" si="20"/>
        <v>0.6217026357135963</v>
      </c>
      <c r="P70" s="24">
        <f t="shared" si="18"/>
        <v>6.2989122159432254E-2</v>
      </c>
      <c r="Q70" s="24">
        <f t="shared" si="19"/>
        <v>1.9229002157719329E-2</v>
      </c>
    </row>
    <row r="71" spans="2:17">
      <c r="C71" s="24">
        <f t="shared" si="21"/>
        <v>3</v>
      </c>
      <c r="D71" s="24">
        <v>0.99267361510418117</v>
      </c>
      <c r="E71" s="24">
        <v>6.0485756477367687</v>
      </c>
      <c r="F71" s="24">
        <v>182.33481100405854</v>
      </c>
      <c r="G71" s="24">
        <v>3.3604154586791992</v>
      </c>
      <c r="H71" s="24">
        <v>31.448207729292918</v>
      </c>
      <c r="I71" s="24">
        <v>24.587086327406716</v>
      </c>
      <c r="J71" s="24">
        <v>23.144525527954102</v>
      </c>
      <c r="K71" s="24">
        <v>0.56934261322021484</v>
      </c>
      <c r="L71" s="24">
        <f t="shared" si="15"/>
        <v>0.29464530904216091</v>
      </c>
      <c r="M71" s="24">
        <f t="shared" si="16"/>
        <v>0.18233481100405854</v>
      </c>
      <c r="N71" s="24">
        <f t="shared" si="17"/>
        <v>0.16098821443077871</v>
      </c>
      <c r="O71" s="24">
        <f t="shared" si="20"/>
        <v>0.61040432788993837</v>
      </c>
      <c r="P71" s="24">
        <f t="shared" si="18"/>
        <v>6.1844410120561126E-2</v>
      </c>
      <c r="Q71" s="24">
        <f t="shared" si="19"/>
        <v>1.6310862657627021E-2</v>
      </c>
    </row>
    <row r="72" spans="2:17">
      <c r="C72" s="24">
        <f t="shared" si="21"/>
        <v>3.25</v>
      </c>
      <c r="D72" s="24">
        <v>1.0151675825917046</v>
      </c>
      <c r="E72" s="24">
        <v>6.1720159670783366</v>
      </c>
      <c r="F72" s="24">
        <v>173.51242324027456</v>
      </c>
      <c r="G72" s="24">
        <v>3.6033456325531006</v>
      </c>
      <c r="H72" s="24">
        <v>31.420806281586884</v>
      </c>
      <c r="I72" s="24">
        <v>24.153086654899127</v>
      </c>
      <c r="J72" s="24">
        <v>22.438507080078125</v>
      </c>
      <c r="K72" s="24">
        <v>0.56314104795455933</v>
      </c>
      <c r="L72" s="24">
        <f t="shared" si="15"/>
        <v>0.24812509902462335</v>
      </c>
      <c r="M72" s="24">
        <f t="shared" si="16"/>
        <v>0.17351242324027455</v>
      </c>
      <c r="N72" s="24">
        <f t="shared" si="17"/>
        <v>0.13317748928882564</v>
      </c>
      <c r="O72" s="24">
        <f t="shared" si="20"/>
        <v>0.59962975806601604</v>
      </c>
      <c r="P72" s="24">
        <f t="shared" si="18"/>
        <v>6.0752761708816216E-2</v>
      </c>
      <c r="Q72" s="24">
        <f t="shared" si="19"/>
        <v>1.349316000899956E-2</v>
      </c>
    </row>
    <row r="73" spans="2:17">
      <c r="C73" s="24">
        <f t="shared" si="21"/>
        <v>3.5</v>
      </c>
      <c r="D73" s="24">
        <v>1.0151675825917046</v>
      </c>
      <c r="E73" s="24">
        <v>6.1720159670783366</v>
      </c>
      <c r="F73" s="24">
        <v>162.255165023535</v>
      </c>
      <c r="G73" s="24">
        <v>3.8533456325531006</v>
      </c>
      <c r="H73" s="24">
        <v>31.420806281586884</v>
      </c>
      <c r="I73" s="24">
        <v>23.514953820883726</v>
      </c>
      <c r="J73" s="24">
        <v>21.510509490966797</v>
      </c>
      <c r="K73" s="24">
        <v>0.5404815673828125</v>
      </c>
      <c r="L73" s="24">
        <f t="shared" si="15"/>
        <v>0.20251468520046517</v>
      </c>
      <c r="M73" s="24">
        <f t="shared" si="16"/>
        <v>0.16225516502353499</v>
      </c>
      <c r="N73" s="24">
        <f t="shared" si="17"/>
        <v>0.10582496601199429</v>
      </c>
      <c r="O73" s="24">
        <f t="shared" si="20"/>
        <v>0.58378733418281348</v>
      </c>
      <c r="P73" s="24">
        <f t="shared" si="18"/>
        <v>5.9147652906060125E-2</v>
      </c>
      <c r="Q73" s="24">
        <f t="shared" si="19"/>
        <v>1.0721881054913302E-2</v>
      </c>
    </row>
    <row r="74" spans="2:17">
      <c r="C74" s="24">
        <f t="shared" si="21"/>
        <v>3.75</v>
      </c>
      <c r="D74" s="24">
        <v>1.0378609315686673</v>
      </c>
      <c r="E74" s="24">
        <v>6.2954562864199026</v>
      </c>
      <c r="F74" s="24">
        <v>155.68487938760964</v>
      </c>
      <c r="G74" s="24">
        <v>4.096285343170166</v>
      </c>
      <c r="H74" s="24">
        <v>31.393404833880854</v>
      </c>
      <c r="I74" s="24">
        <v>23.12067938605248</v>
      </c>
      <c r="J74" s="24">
        <v>20.930484771728516</v>
      </c>
      <c r="K74" s="24">
        <v>0.53855973482131958</v>
      </c>
      <c r="L74" s="24">
        <f t="shared" si="15"/>
        <v>0.15581693206829189</v>
      </c>
      <c r="M74" s="24">
        <f t="shared" si="16"/>
        <v>0.15568487938760964</v>
      </c>
      <c r="N74" s="24">
        <f t="shared" si="17"/>
        <v>8.0057629539317693E-2</v>
      </c>
      <c r="O74" s="24">
        <f t="shared" si="20"/>
        <v>0.57399899170934654</v>
      </c>
      <c r="P74" s="24">
        <f t="shared" si="18"/>
        <v>5.8155926211686582E-2</v>
      </c>
      <c r="Q74" s="24">
        <f t="shared" si="19"/>
        <v>8.1112086665975375E-3</v>
      </c>
    </row>
    <row r="75" spans="2:17">
      <c r="C75" s="24">
        <f t="shared" si="21"/>
        <v>4</v>
      </c>
      <c r="D75" s="24">
        <v>1.0515761147311153</v>
      </c>
      <c r="E75" s="24">
        <v>6.3695204780248433</v>
      </c>
      <c r="F75" s="24">
        <v>148.60072687955227</v>
      </c>
      <c r="G75" s="24">
        <v>4.3420543670654297</v>
      </c>
      <c r="H75" s="24">
        <v>31.376963965257232</v>
      </c>
      <c r="I75" s="24">
        <v>22.65408741051754</v>
      </c>
      <c r="J75" s="24">
        <v>20.292533874511719</v>
      </c>
      <c r="K75" s="24">
        <v>0.52596503496170044</v>
      </c>
      <c r="L75" s="24">
        <f t="shared" si="15"/>
        <v>0.10945934872190201</v>
      </c>
      <c r="M75" s="24">
        <f t="shared" si="16"/>
        <v>0.14860072687955228</v>
      </c>
      <c r="N75" s="24">
        <f t="shared" si="17"/>
        <v>5.510448119653976E-2</v>
      </c>
      <c r="O75" s="24">
        <f t="shared" si="20"/>
        <v>0.56241527831473537</v>
      </c>
      <c r="P75" s="24">
        <f t="shared" si="18"/>
        <v>5.6982297701594263E-2</v>
      </c>
      <c r="Q75" s="24">
        <f t="shared" si="19"/>
        <v>5.5830274768530665E-3</v>
      </c>
    </row>
    <row r="76" spans="2:17">
      <c r="C76" s="24">
        <f t="shared" si="21"/>
        <v>4.25</v>
      </c>
      <c r="D76" s="24">
        <v>1.0653691146800695</v>
      </c>
      <c r="E76" s="24">
        <v>6.443584669629784</v>
      </c>
      <c r="F76" s="24">
        <v>142.27545738967561</v>
      </c>
      <c r="G76" s="24">
        <v>4.5878267288208008</v>
      </c>
      <c r="H76" s="24">
        <v>31.360523096633614</v>
      </c>
      <c r="I76" s="24">
        <v>22.205397305179673</v>
      </c>
      <c r="J76" s="24">
        <v>19.704490661621094</v>
      </c>
      <c r="K76" s="24">
        <v>0.52393573522567749</v>
      </c>
      <c r="L76" s="24">
        <f t="shared" si="15"/>
        <v>6.3030599110006219E-2</v>
      </c>
      <c r="M76" s="24">
        <f t="shared" si="16"/>
        <v>0.14227545738967562</v>
      </c>
      <c r="N76" s="24">
        <f t="shared" si="17"/>
        <v>3.110265545824872E-2</v>
      </c>
      <c r="O76" s="24">
        <f t="shared" si="20"/>
        <v>0.55127600062511595</v>
      </c>
      <c r="P76" s="24">
        <f t="shared" si="18"/>
        <v>5.5853698138309628E-2</v>
      </c>
      <c r="Q76" s="24">
        <f t="shared" si="19"/>
        <v>3.1512315560535686E-3</v>
      </c>
    </row>
    <row r="77" spans="2:17">
      <c r="B77">
        <v>50</v>
      </c>
      <c r="C77" s="26">
        <v>0.1</v>
      </c>
      <c r="D77" s="24">
        <v>0.63539328373998238</v>
      </c>
      <c r="E77" s="24">
        <v>3.925402155061811</v>
      </c>
      <c r="F77" s="24">
        <v>681.38618015323971</v>
      </c>
      <c r="G77" s="24">
        <v>0.58357983827590942</v>
      </c>
      <c r="H77" s="24">
        <v>31.919512629836682</v>
      </c>
      <c r="I77" s="24">
        <v>31.694132205292316</v>
      </c>
      <c r="J77" s="24">
        <v>42.461513519287109</v>
      </c>
      <c r="K77" s="24">
        <v>1.2279024124145508</v>
      </c>
      <c r="L77" s="24">
        <f t="shared" ref="L77" si="22">((101.3*(-0.0043+0.01*EXP(0.0511*H77)))-C77)/(101.3*(0.0043+0.01*EXP(0.0511*H77)))</f>
        <v>0.82692851932480993</v>
      </c>
      <c r="M77" s="24">
        <f t="shared" ref="M77" si="23">F77/1000</f>
        <v>0.68138618015323971</v>
      </c>
      <c r="N77" s="24">
        <f>(L77*I77)/50</f>
        <v>0.52417563631614295</v>
      </c>
      <c r="O77" s="24">
        <f>I77/45.28</f>
        <v>0.6999587501168798</v>
      </c>
      <c r="P77" s="24">
        <f>I77/((50-4.72)*9.87)</f>
        <v>7.091780649613777E-2</v>
      </c>
      <c r="Q77" s="24">
        <f>(L77*I77)/(50*9.87)</f>
        <v>5.3107967205282977E-2</v>
      </c>
    </row>
    <row r="78" spans="2:17">
      <c r="C78" s="26">
        <v>0.15</v>
      </c>
      <c r="D78" s="24">
        <v>0.63539328373998238</v>
      </c>
      <c r="E78" s="24">
        <v>3.925402155061811</v>
      </c>
      <c r="F78" s="24">
        <v>627.61346386424577</v>
      </c>
      <c r="G78" s="24">
        <v>0.63357985019683838</v>
      </c>
      <c r="H78" s="24">
        <v>31.919512629836682</v>
      </c>
      <c r="I78" s="24">
        <v>31.545798798273271</v>
      </c>
      <c r="J78" s="24">
        <v>41.853515625</v>
      </c>
      <c r="K78" s="24">
        <v>1.1764112710952759</v>
      </c>
      <c r="L78" s="24">
        <f t="shared" ref="L78:L96" si="24">((101.3*(-0.0043+0.01*EXP(0.0511*H78)))-C78)/(101.3*(0.0043+0.01*EXP(0.0511*H78)))</f>
        <v>0.81801814840102682</v>
      </c>
      <c r="M78" s="24">
        <f t="shared" ref="M78:M96" si="25">F78/1000</f>
        <v>0.62761346386424577</v>
      </c>
      <c r="N78" s="24">
        <f t="shared" ref="N78:N96" si="26">(L78*I78)/50</f>
        <v>0.51610071845589678</v>
      </c>
      <c r="O78" s="24">
        <f t="shared" ref="O78:O96" si="27">I78/45.28</f>
        <v>0.69668283565091149</v>
      </c>
      <c r="P78" s="24">
        <f t="shared" ref="P78:P96" si="28">I78/((50-4.72)*9.87)</f>
        <v>7.0585900268582732E-2</v>
      </c>
      <c r="Q78" s="24">
        <f t="shared" ref="Q78:Q96" si="29">(L78*I78)/(50*9.87)</f>
        <v>5.2289839762502212E-2</v>
      </c>
    </row>
    <row r="79" spans="2:17">
      <c r="C79" s="26">
        <v>0.2</v>
      </c>
      <c r="D79" s="24">
        <v>0.65589402192487301</v>
      </c>
      <c r="E79" s="24">
        <v>4.073530538271692</v>
      </c>
      <c r="F79" s="24">
        <v>611.43061285437841</v>
      </c>
      <c r="G79" s="24">
        <v>0.67489039897918701</v>
      </c>
      <c r="H79" s="24">
        <v>31.886630892589441</v>
      </c>
      <c r="I79" s="24">
        <v>31.524527635612383</v>
      </c>
      <c r="J79" s="24">
        <v>41.643512725830078</v>
      </c>
      <c r="K79" s="24">
        <v>1.1860339641571045</v>
      </c>
      <c r="L79" s="24">
        <f t="shared" si="24"/>
        <v>0.80881171766211568</v>
      </c>
      <c r="M79" s="24">
        <f t="shared" si="25"/>
        <v>0.61143061285437839</v>
      </c>
      <c r="N79" s="24">
        <f t="shared" si="26"/>
        <v>0.50994814690892976</v>
      </c>
      <c r="O79" s="24">
        <f t="shared" si="27"/>
        <v>0.69621306615751732</v>
      </c>
      <c r="P79" s="24">
        <f t="shared" si="28"/>
        <v>7.0538304575229721E-2</v>
      </c>
      <c r="Q79" s="24">
        <f t="shared" si="29"/>
        <v>5.1666478916811531E-2</v>
      </c>
    </row>
    <row r="80" spans="2:17">
      <c r="C80" s="24">
        <v>0.25</v>
      </c>
      <c r="D80" s="24">
        <v>0.66000185514051046</v>
      </c>
      <c r="E80" s="24">
        <v>4.0982186021400056</v>
      </c>
      <c r="F80" s="24">
        <v>573.85201080715217</v>
      </c>
      <c r="G80" s="24">
        <v>0.72344356775283813</v>
      </c>
      <c r="H80" s="24">
        <v>31.881150603048233</v>
      </c>
      <c r="I80" s="24">
        <v>31.400885610950365</v>
      </c>
      <c r="J80" s="24">
        <v>41.131515502929688</v>
      </c>
      <c r="K80" s="24">
        <v>1.1397982835769653</v>
      </c>
      <c r="L80" s="24">
        <f t="shared" si="24"/>
        <v>0.79983583811620973</v>
      </c>
      <c r="M80" s="24">
        <f t="shared" si="25"/>
        <v>0.5738520108071522</v>
      </c>
      <c r="N80" s="24">
        <f t="shared" si="26"/>
        <v>0.50231107320451429</v>
      </c>
      <c r="O80" s="24">
        <f t="shared" si="27"/>
        <v>0.69348245607222536</v>
      </c>
      <c r="P80" s="24">
        <f t="shared" si="28"/>
        <v>7.0261647018462547E-2</v>
      </c>
      <c r="Q80" s="24">
        <f t="shared" si="29"/>
        <v>5.0892712584044007E-2</v>
      </c>
    </row>
    <row r="81" spans="3:17">
      <c r="C81" s="24">
        <f t="shared" ref="C81:C96" si="30">C80+0.25</f>
        <v>0.5</v>
      </c>
      <c r="D81" s="24">
        <v>0.70538212882241114</v>
      </c>
      <c r="E81" s="24">
        <v>4.369787304691453</v>
      </c>
      <c r="F81" s="24">
        <v>462.28086194530812</v>
      </c>
      <c r="G81" s="24">
        <v>0.95755523443222046</v>
      </c>
      <c r="H81" s="24">
        <v>31.820867418094963</v>
      </c>
      <c r="I81" s="24">
        <v>30.933799486271234</v>
      </c>
      <c r="J81" s="24">
        <v>39.154510498046875</v>
      </c>
      <c r="K81" s="24">
        <v>1.0230224132537842</v>
      </c>
      <c r="L81" s="24">
        <f t="shared" si="24"/>
        <v>0.7545070094898364</v>
      </c>
      <c r="M81" s="24">
        <f t="shared" si="25"/>
        <v>0.4622808619453081</v>
      </c>
      <c r="N81" s="24">
        <f t="shared" si="26"/>
        <v>0.46679537085089495</v>
      </c>
      <c r="O81" s="24">
        <f t="shared" si="27"/>
        <v>0.68316694978514203</v>
      </c>
      <c r="P81" s="24">
        <f t="shared" si="28"/>
        <v>6.9216509603357859E-2</v>
      </c>
      <c r="Q81" s="24">
        <f t="shared" si="29"/>
        <v>4.7294363814680343E-2</v>
      </c>
    </row>
    <row r="82" spans="3:17">
      <c r="C82" s="24">
        <f t="shared" si="30"/>
        <v>0.75</v>
      </c>
      <c r="D82" s="24">
        <v>0.73029471349135855</v>
      </c>
      <c r="E82" s="24">
        <v>4.5179156879013336</v>
      </c>
      <c r="F82" s="24">
        <v>381.73429575678205</v>
      </c>
      <c r="G82" s="24">
        <v>1.1989095211029053</v>
      </c>
      <c r="H82" s="24">
        <v>31.787985680847726</v>
      </c>
      <c r="I82" s="24">
        <v>30.37369432083284</v>
      </c>
      <c r="J82" s="24">
        <v>37.104526519775391</v>
      </c>
      <c r="K82" s="24">
        <v>0.89033967256546021</v>
      </c>
      <c r="L82" s="24">
        <f t="shared" si="24"/>
        <v>0.70929758704175128</v>
      </c>
      <c r="M82" s="24">
        <f t="shared" si="25"/>
        <v>0.38173429575678203</v>
      </c>
      <c r="N82" s="24">
        <f t="shared" si="26"/>
        <v>0.43087976182620957</v>
      </c>
      <c r="O82" s="24">
        <f t="shared" si="27"/>
        <v>0.67079713606079594</v>
      </c>
      <c r="P82" s="24">
        <f t="shared" si="28"/>
        <v>6.796323566978682E-2</v>
      </c>
      <c r="Q82" s="24">
        <f t="shared" si="29"/>
        <v>4.3655497652098238E-2</v>
      </c>
    </row>
    <row r="83" spans="3:17">
      <c r="C83" s="24">
        <f t="shared" si="30"/>
        <v>1</v>
      </c>
      <c r="D83" s="24">
        <v>0.77629959260899206</v>
      </c>
      <c r="E83" s="24">
        <v>4.789484390452782</v>
      </c>
      <c r="F83" s="24">
        <v>338.54994510446244</v>
      </c>
      <c r="G83" s="24">
        <v>1.4330965280532837</v>
      </c>
      <c r="H83" s="24">
        <v>31.727702495894452</v>
      </c>
      <c r="I83" s="24">
        <v>29.976788520355715</v>
      </c>
      <c r="J83" s="24">
        <v>35.649520874023438</v>
      </c>
      <c r="K83" s="24">
        <v>0.84526872634887695</v>
      </c>
      <c r="L83" s="24">
        <f t="shared" si="24"/>
        <v>0.66351465519123731</v>
      </c>
      <c r="M83" s="24">
        <f t="shared" si="25"/>
        <v>0.33854994510446246</v>
      </c>
      <c r="N83" s="24">
        <f t="shared" si="26"/>
        <v>0.39780076997648928</v>
      </c>
      <c r="O83" s="24">
        <f t="shared" si="27"/>
        <v>0.66203154859442837</v>
      </c>
      <c r="P83" s="24">
        <f t="shared" si="28"/>
        <v>6.7075131569850899E-2</v>
      </c>
      <c r="Q83" s="24">
        <f t="shared" si="29"/>
        <v>4.0304029379583516E-2</v>
      </c>
    </row>
    <row r="84" spans="3:17">
      <c r="C84" s="24">
        <f t="shared" si="30"/>
        <v>1.25</v>
      </c>
      <c r="D84" s="24">
        <v>0.81005678039066731</v>
      </c>
      <c r="E84" s="24">
        <v>4.9869889013992905</v>
      </c>
      <c r="F84" s="24">
        <v>302.20977401828327</v>
      </c>
      <c r="G84" s="24">
        <v>1.6716268062591553</v>
      </c>
      <c r="H84" s="24">
        <v>31.6838601795648</v>
      </c>
      <c r="I84" s="24">
        <v>29.523759402384947</v>
      </c>
      <c r="J84" s="24">
        <v>34.166522979736328</v>
      </c>
      <c r="K84" s="24">
        <v>0.78962230682373047</v>
      </c>
      <c r="L84" s="24">
        <f t="shared" si="24"/>
        <v>0.61776998499272584</v>
      </c>
      <c r="M84" s="24">
        <f t="shared" si="25"/>
        <v>0.30220977401828325</v>
      </c>
      <c r="N84" s="24">
        <f t="shared" si="26"/>
        <v>0.36477784805880398</v>
      </c>
      <c r="O84" s="24">
        <f t="shared" si="27"/>
        <v>0.65202648856857215</v>
      </c>
      <c r="P84" s="24">
        <f t="shared" si="28"/>
        <v>6.6061447676653715E-2</v>
      </c>
      <c r="Q84" s="24">
        <f t="shared" si="29"/>
        <v>3.6958241951246605E-2</v>
      </c>
    </row>
    <row r="85" spans="3:17">
      <c r="C85" s="24">
        <f t="shared" si="30"/>
        <v>1.5</v>
      </c>
      <c r="D85" s="24">
        <v>0.8355594217123069</v>
      </c>
      <c r="E85" s="24">
        <v>5.1351172846091702</v>
      </c>
      <c r="F85" s="24">
        <v>271.91642387162699</v>
      </c>
      <c r="G85" s="24">
        <v>1.9130414724349976</v>
      </c>
      <c r="H85" s="24">
        <v>31.650978442317562</v>
      </c>
      <c r="I85" s="24">
        <v>29.029773451873702</v>
      </c>
      <c r="J85" s="24">
        <v>32.697498321533203</v>
      </c>
      <c r="K85" s="24">
        <v>0.73527926206588745</v>
      </c>
      <c r="L85" s="24">
        <f t="shared" si="24"/>
        <v>0.57205871019295906</v>
      </c>
      <c r="M85" s="24">
        <f t="shared" si="25"/>
        <v>0.27191642387162701</v>
      </c>
      <c r="N85" s="24">
        <f t="shared" si="26"/>
        <v>0.3321346951614535</v>
      </c>
      <c r="O85" s="24">
        <f t="shared" si="27"/>
        <v>0.64111690485586792</v>
      </c>
      <c r="P85" s="24">
        <f t="shared" si="28"/>
        <v>6.4956120046187241E-2</v>
      </c>
      <c r="Q85" s="24">
        <f t="shared" si="29"/>
        <v>3.3650931627300262E-2</v>
      </c>
    </row>
    <row r="86" spans="3:17">
      <c r="C86" s="24">
        <f t="shared" si="30"/>
        <v>1.75</v>
      </c>
      <c r="D86" s="24">
        <v>0.86123355585784656</v>
      </c>
      <c r="E86" s="24">
        <v>5.2832456678190507</v>
      </c>
      <c r="F86" s="24">
        <v>248.41036995639527</v>
      </c>
      <c r="G86" s="24">
        <v>2.1544704437255859</v>
      </c>
      <c r="H86" s="24">
        <v>31.618096705070322</v>
      </c>
      <c r="I86" s="24">
        <v>28.552707943359717</v>
      </c>
      <c r="J86" s="24">
        <v>31.370512008666992</v>
      </c>
      <c r="K86" s="24">
        <v>0.70239239931106567</v>
      </c>
      <c r="L86" s="24">
        <f t="shared" si="24"/>
        <v>0.5262067937212741</v>
      </c>
      <c r="M86" s="24">
        <f t="shared" si="25"/>
        <v>0.24841036995639526</v>
      </c>
      <c r="N86" s="24">
        <f t="shared" si="26"/>
        <v>0.30049257797870543</v>
      </c>
      <c r="O86" s="24">
        <f t="shared" si="27"/>
        <v>0.63058100581624821</v>
      </c>
      <c r="P86" s="24">
        <f t="shared" si="28"/>
        <v>6.3888653071555043E-2</v>
      </c>
      <c r="Q86" s="24">
        <f t="shared" si="29"/>
        <v>3.0445043361570969E-2</v>
      </c>
    </row>
    <row r="87" spans="3:17">
      <c r="C87" s="24">
        <f t="shared" si="30"/>
        <v>2</v>
      </c>
      <c r="D87" s="24">
        <v>0.88709232528653981</v>
      </c>
      <c r="E87" s="24">
        <v>5.4313740510289321</v>
      </c>
      <c r="F87" s="24">
        <v>229.64023300143859</v>
      </c>
      <c r="G87" s="24">
        <v>2.39591383934021</v>
      </c>
      <c r="H87" s="24">
        <v>31.585214967823081</v>
      </c>
      <c r="I87" s="24">
        <v>28.094040309328562</v>
      </c>
      <c r="J87" s="24">
        <v>30.171487808227539</v>
      </c>
      <c r="K87" s="24">
        <v>0.66574990749359131</v>
      </c>
      <c r="L87" s="24">
        <f t="shared" si="24"/>
        <v>0.48021393755108155</v>
      </c>
      <c r="M87" s="24">
        <f t="shared" si="25"/>
        <v>0.2296402330014386</v>
      </c>
      <c r="N87" s="24">
        <f t="shared" si="26"/>
        <v>0.26982299437322949</v>
      </c>
      <c r="O87" s="24">
        <f t="shared" si="27"/>
        <v>0.620451420259023</v>
      </c>
      <c r="P87" s="24">
        <f t="shared" si="28"/>
        <v>6.2862352609830099E-2</v>
      </c>
      <c r="Q87" s="24">
        <f t="shared" si="29"/>
        <v>2.7337689399516668E-2</v>
      </c>
    </row>
    <row r="88" spans="3:17">
      <c r="C88" s="24">
        <f t="shared" si="30"/>
        <v>2.25</v>
      </c>
      <c r="D88" s="24">
        <v>0.90009441534285695</v>
      </c>
      <c r="E88" s="24">
        <v>5.5054382426338719</v>
      </c>
      <c r="F88" s="24">
        <v>211.11912356263096</v>
      </c>
      <c r="G88" s="24">
        <v>2.6416409015655518</v>
      </c>
      <c r="H88" s="24">
        <v>31.568774099199462</v>
      </c>
      <c r="I88" s="24">
        <v>27.537388545884124</v>
      </c>
      <c r="J88" s="24">
        <v>28.859506607055664</v>
      </c>
      <c r="K88" s="24">
        <v>0.62556719779968262</v>
      </c>
      <c r="L88" s="24">
        <f t="shared" si="24"/>
        <v>0.43451758349467401</v>
      </c>
      <c r="M88" s="24">
        <f t="shared" si="25"/>
        <v>0.21111912356263096</v>
      </c>
      <c r="N88" s="24">
        <f t="shared" si="26"/>
        <v>0.23930959053422968</v>
      </c>
      <c r="O88" s="24">
        <f t="shared" si="27"/>
        <v>0.60815787424655754</v>
      </c>
      <c r="P88" s="24">
        <f t="shared" si="28"/>
        <v>6.1616805901373611E-2</v>
      </c>
      <c r="Q88" s="24">
        <f t="shared" si="29"/>
        <v>2.4246159122009087E-2</v>
      </c>
    </row>
    <row r="89" spans="3:17">
      <c r="C89" s="24">
        <f t="shared" si="30"/>
        <v>2.5</v>
      </c>
      <c r="D89" s="24">
        <v>0.93063886370112159</v>
      </c>
      <c r="E89" s="24">
        <v>5.678254689712066</v>
      </c>
      <c r="F89" s="24">
        <v>199.60796596467878</v>
      </c>
      <c r="G89" s="24">
        <v>2.8816845417022705</v>
      </c>
      <c r="H89" s="24">
        <v>31.530412072411018</v>
      </c>
      <c r="I89" s="24">
        <v>27.152816510417978</v>
      </c>
      <c r="J89" s="24">
        <v>27.952505111694336</v>
      </c>
      <c r="K89" s="24">
        <v>0.61310499906539917</v>
      </c>
      <c r="L89" s="24">
        <f t="shared" si="24"/>
        <v>0.38811989680615755</v>
      </c>
      <c r="M89" s="24">
        <f t="shared" si="25"/>
        <v>0.19960796596467878</v>
      </c>
      <c r="N89" s="24">
        <f t="shared" si="26"/>
        <v>0.21077096684039912</v>
      </c>
      <c r="O89" s="24">
        <f t="shared" si="27"/>
        <v>0.59966467558343584</v>
      </c>
      <c r="P89" s="24">
        <f t="shared" si="28"/>
        <v>6.0756299451209313E-2</v>
      </c>
      <c r="Q89" s="24">
        <f t="shared" si="29"/>
        <v>2.1354707886565263E-2</v>
      </c>
    </row>
    <row r="90" spans="3:17">
      <c r="C90" s="24">
        <f t="shared" si="30"/>
        <v>2.75</v>
      </c>
      <c r="D90" s="24">
        <v>0.93502624615893282</v>
      </c>
      <c r="E90" s="24">
        <v>5.7029427535803805</v>
      </c>
      <c r="F90" s="24">
        <v>184.5557197138551</v>
      </c>
      <c r="G90" s="24">
        <v>3.1302638053894043</v>
      </c>
      <c r="H90" s="24">
        <v>31.52493178286981</v>
      </c>
      <c r="I90" s="24">
        <v>26.538491424547569</v>
      </c>
      <c r="J90" s="24">
        <v>26.694509506225586</v>
      </c>
      <c r="K90" s="24">
        <v>0.57466065883636475</v>
      </c>
      <c r="L90" s="24">
        <f t="shared" si="24"/>
        <v>0.34257455820584387</v>
      </c>
      <c r="M90" s="24">
        <f t="shared" si="25"/>
        <v>0.18455571971385509</v>
      </c>
      <c r="N90" s="24">
        <f t="shared" si="26"/>
        <v>0.1818282395042792</v>
      </c>
      <c r="O90" s="24">
        <f t="shared" si="27"/>
        <v>0.58609742545378907</v>
      </c>
      <c r="P90" s="24">
        <f t="shared" si="28"/>
        <v>5.9381704706564245E-2</v>
      </c>
      <c r="Q90" s="24">
        <f t="shared" si="29"/>
        <v>1.8422314032855037E-2</v>
      </c>
    </row>
    <row r="91" spans="3:17">
      <c r="C91" s="24">
        <f t="shared" si="30"/>
        <v>3</v>
      </c>
      <c r="D91" s="24">
        <v>0.97036328499137692</v>
      </c>
      <c r="E91" s="24">
        <v>5.9251353283952017</v>
      </c>
      <c r="F91" s="24">
        <v>178.23817643721688</v>
      </c>
      <c r="G91" s="24">
        <v>3.3674952983856201</v>
      </c>
      <c r="H91" s="24">
        <v>31.475609176998951</v>
      </c>
      <c r="I91" s="24">
        <v>26.278184618122612</v>
      </c>
      <c r="J91" s="24">
        <v>26.105504989624023</v>
      </c>
      <c r="K91" s="24">
        <v>0.57172876596450806</v>
      </c>
      <c r="L91" s="24">
        <f t="shared" si="24"/>
        <v>0.29555403417091713</v>
      </c>
      <c r="M91" s="24">
        <f t="shared" si="25"/>
        <v>0.17823817643721687</v>
      </c>
      <c r="N91" s="24">
        <f t="shared" si="26"/>
        <v>0.1553324694914856</v>
      </c>
      <c r="O91" s="24">
        <f t="shared" si="27"/>
        <v>0.58034860022355594</v>
      </c>
      <c r="P91" s="24">
        <f t="shared" si="28"/>
        <v>5.8799250275942856E-2</v>
      </c>
      <c r="Q91" s="24">
        <f t="shared" si="29"/>
        <v>1.5737838854253863E-2</v>
      </c>
    </row>
    <row r="92" spans="3:17">
      <c r="C92" s="24">
        <f t="shared" si="30"/>
        <v>3.25</v>
      </c>
      <c r="D92" s="24">
        <v>0.97036328499137692</v>
      </c>
      <c r="E92" s="24">
        <v>5.9251353283952017</v>
      </c>
      <c r="F92" s="24">
        <v>165.92038711357472</v>
      </c>
      <c r="G92" s="24">
        <v>3.6174952983856201</v>
      </c>
      <c r="H92" s="24">
        <v>31.475609176998951</v>
      </c>
      <c r="I92" s="24">
        <v>25.645447843048672</v>
      </c>
      <c r="J92" s="24">
        <v>24.949508666992188</v>
      </c>
      <c r="K92" s="24">
        <v>0.54327750205993652</v>
      </c>
      <c r="L92" s="24">
        <f t="shared" si="24"/>
        <v>0.25006106007586842</v>
      </c>
      <c r="M92" s="24">
        <f t="shared" si="25"/>
        <v>0.16592038711357471</v>
      </c>
      <c r="N92" s="24">
        <f t="shared" si="26"/>
        <v>0.12825855747506287</v>
      </c>
      <c r="O92" s="24">
        <f t="shared" si="27"/>
        <v>0.56637473151609252</v>
      </c>
      <c r="P92" s="24">
        <f t="shared" si="28"/>
        <v>5.7383458107000261E-2</v>
      </c>
      <c r="Q92" s="24">
        <f t="shared" si="29"/>
        <v>1.2994787991394417E-2</v>
      </c>
    </row>
    <row r="93" spans="3:17">
      <c r="C93" s="24">
        <f t="shared" si="30"/>
        <v>3.5</v>
      </c>
      <c r="D93" s="24">
        <v>1.0061472849468667</v>
      </c>
      <c r="E93" s="24">
        <v>6.1226398393417085</v>
      </c>
      <c r="F93" s="24">
        <v>160.83913406963364</v>
      </c>
      <c r="G93" s="24">
        <v>3.8561723232269287</v>
      </c>
      <c r="H93" s="24">
        <v>31.431766860669299</v>
      </c>
      <c r="I93" s="24">
        <v>25.382356534870208</v>
      </c>
      <c r="J93" s="24">
        <v>24.422512054443359</v>
      </c>
      <c r="K93" s="24">
        <v>0.54892224073410034</v>
      </c>
      <c r="L93" s="24">
        <f t="shared" si="24"/>
        <v>0.20292575243781097</v>
      </c>
      <c r="M93" s="24">
        <f t="shared" si="25"/>
        <v>0.16083913406963365</v>
      </c>
      <c r="N93" s="24">
        <f t="shared" si="26"/>
        <v>0.10301467596966651</v>
      </c>
      <c r="O93" s="24">
        <f t="shared" si="27"/>
        <v>0.56056441110579081</v>
      </c>
      <c r="P93" s="24">
        <f t="shared" si="28"/>
        <v>5.6794773161680939E-2</v>
      </c>
      <c r="Q93" s="24">
        <f t="shared" si="29"/>
        <v>1.0437150554170873E-2</v>
      </c>
    </row>
    <row r="94" spans="3:17">
      <c r="C94" s="24">
        <f t="shared" si="30"/>
        <v>3.75</v>
      </c>
      <c r="D94" s="24">
        <v>1.0151675825917046</v>
      </c>
      <c r="E94" s="24">
        <v>6.1720159670783366</v>
      </c>
      <c r="F94" s="24">
        <v>152.36962387161952</v>
      </c>
      <c r="G94" s="24">
        <v>4.1033453941345215</v>
      </c>
      <c r="H94" s="24">
        <v>31.420806281586884</v>
      </c>
      <c r="I94" s="24">
        <v>24.86673169800865</v>
      </c>
      <c r="J94" s="24">
        <v>23.549501419067383</v>
      </c>
      <c r="K94" s="24">
        <v>0.53623956441879272</v>
      </c>
      <c r="L94" s="24">
        <f t="shared" si="24"/>
        <v>0.156904271376307</v>
      </c>
      <c r="M94" s="24">
        <f t="shared" si="25"/>
        <v>0.15236962387161954</v>
      </c>
      <c r="N94" s="24">
        <f t="shared" si="26"/>
        <v>7.8033928371723293E-2</v>
      </c>
      <c r="O94" s="24">
        <f t="shared" si="27"/>
        <v>0.54917693679347723</v>
      </c>
      <c r="P94" s="24">
        <f t="shared" si="28"/>
        <v>5.5641027030747442E-2</v>
      </c>
      <c r="Q94" s="24">
        <f t="shared" si="29"/>
        <v>7.9061730873073253E-3</v>
      </c>
    </row>
    <row r="95" spans="3:17">
      <c r="C95" s="24">
        <f t="shared" si="30"/>
        <v>4</v>
      </c>
      <c r="D95" s="24">
        <v>1.0151675825917046</v>
      </c>
      <c r="E95" s="24">
        <v>6.1720159670783366</v>
      </c>
      <c r="F95" s="24">
        <v>143.61947859482743</v>
      </c>
      <c r="G95" s="24">
        <v>4.3533453941345215</v>
      </c>
      <c r="H95" s="24">
        <v>31.420806281586884</v>
      </c>
      <c r="I95" s="24">
        <v>24.268339510435034</v>
      </c>
      <c r="J95" s="24">
        <v>22.612491607666016</v>
      </c>
      <c r="K95" s="24">
        <v>0.52135246992111206</v>
      </c>
      <c r="L95" s="24">
        <f t="shared" si="24"/>
        <v>0.11129385755214882</v>
      </c>
      <c r="M95" s="24">
        <f t="shared" si="25"/>
        <v>0.14361947859482743</v>
      </c>
      <c r="N95" s="24">
        <f t="shared" si="26"/>
        <v>5.4018342410030833E-2</v>
      </c>
      <c r="O95" s="24">
        <f t="shared" si="27"/>
        <v>0.53596156162621544</v>
      </c>
      <c r="P95" s="24">
        <f t="shared" si="28"/>
        <v>5.4302083244803998E-2</v>
      </c>
      <c r="Q95" s="24">
        <f t="shared" si="29"/>
        <v>5.4729830202665487E-3</v>
      </c>
    </row>
    <row r="96" spans="3:17">
      <c r="C96" s="24">
        <f t="shared" si="30"/>
        <v>4.25</v>
      </c>
      <c r="D96" s="24">
        <v>1.0469958891891562</v>
      </c>
      <c r="E96" s="24">
        <v>6.3448324141565289</v>
      </c>
      <c r="F96" s="24">
        <v>139.92304695882703</v>
      </c>
      <c r="G96" s="24">
        <v>4.5934643745422363</v>
      </c>
      <c r="H96" s="24">
        <v>31.38244425479844</v>
      </c>
      <c r="I96" s="24">
        <v>24.016067104126758</v>
      </c>
      <c r="J96" s="24">
        <v>22.181507110595703</v>
      </c>
      <c r="K96" s="24">
        <v>0.52318614721298218</v>
      </c>
      <c r="L96" s="24">
        <f t="shared" si="24"/>
        <v>6.3996064982080311E-2</v>
      </c>
      <c r="M96" s="24">
        <f t="shared" si="25"/>
        <v>0.13992304695882704</v>
      </c>
      <c r="N96" s="24">
        <f t="shared" si="26"/>
        <v>3.0738675820193948E-2</v>
      </c>
      <c r="O96" s="24">
        <f t="shared" si="27"/>
        <v>0.53039017456110327</v>
      </c>
      <c r="P96" s="24">
        <f t="shared" si="28"/>
        <v>5.3737606338510976E-2</v>
      </c>
      <c r="Q96" s="24">
        <f t="shared" si="29"/>
        <v>3.1143541864431562E-3</v>
      </c>
    </row>
    <row r="97" spans="2:17">
      <c r="B97">
        <v>55</v>
      </c>
      <c r="C97" s="26">
        <v>0.1</v>
      </c>
      <c r="D97" s="24">
        <v>0.61495602794131909</v>
      </c>
      <c r="E97" s="24">
        <v>3.801961835720244</v>
      </c>
      <c r="F97" s="24">
        <v>651.85805020770158</v>
      </c>
      <c r="G97" s="24">
        <v>0.59083223342895508</v>
      </c>
      <c r="H97" s="24">
        <v>31.946914077542715</v>
      </c>
      <c r="I97" s="24">
        <v>32.64851903905943</v>
      </c>
      <c r="J97" s="24">
        <v>46.882514953613281</v>
      </c>
      <c r="K97" s="24">
        <v>1.3025960922241211</v>
      </c>
      <c r="L97" s="24">
        <f t="shared" ref="L97" si="31">((101.3*(-0.0043+0.01*EXP(0.0511*H97)))-C97)/(101.3*(0.0043+0.01*EXP(0.0511*H97)))</f>
        <v>0.82715191276909761</v>
      </c>
      <c r="M97" s="24">
        <f t="shared" ref="M97" si="32">F97/1000</f>
        <v>0.6518580502077016</v>
      </c>
      <c r="N97" s="24">
        <f>(L97*I97)/55</f>
        <v>0.49100518131338738</v>
      </c>
      <c r="O97" s="24">
        <f>I97/50.28</f>
        <v>0.64933410976649619</v>
      </c>
      <c r="P97" s="24">
        <f>I97/((55-4.72)*9.87)</f>
        <v>6.5788663603495057E-2</v>
      </c>
      <c r="Q97" s="24">
        <f>(L97*I97)/(55*9.87)</f>
        <v>4.9747232149279383E-2</v>
      </c>
    </row>
    <row r="98" spans="2:17">
      <c r="C98" s="26">
        <v>0.15</v>
      </c>
      <c r="D98" s="24">
        <v>0.61495602794131909</v>
      </c>
      <c r="E98" s="24">
        <v>3.801961835720244</v>
      </c>
      <c r="F98" s="24">
        <v>600.99777526988555</v>
      </c>
      <c r="G98" s="24">
        <v>0.64083218574523926</v>
      </c>
      <c r="H98" s="24">
        <v>31.946914077542715</v>
      </c>
      <c r="I98" s="24">
        <v>32.514226947726755</v>
      </c>
      <c r="J98" s="24">
        <v>46.231521606445313</v>
      </c>
      <c r="K98" s="24">
        <v>1.238581657409668</v>
      </c>
      <c r="L98" s="24">
        <f t="shared" ref="L98:L117" si="33">((101.3*(-0.0043+0.01*EXP(0.0511*H98)))-C98)/(101.3*(0.0043+0.01*EXP(0.0511*H98)))</f>
        <v>0.81825304298023749</v>
      </c>
      <c r="M98" s="24">
        <f t="shared" ref="M98:M117" si="34">F98/1000</f>
        <v>0.60099777526988551</v>
      </c>
      <c r="N98" s="24">
        <f t="shared" ref="N98:N116" si="35">(L98*I98)/55</f>
        <v>0.48372482072959011</v>
      </c>
      <c r="O98" s="24">
        <f t="shared" ref="O98:O116" si="36">I98/50.28</f>
        <v>0.6466632248951224</v>
      </c>
      <c r="P98" s="24">
        <f t="shared" ref="P98:P116" si="37">I98/((55-4.72)*9.87)</f>
        <v>6.5518057233548366E-2</v>
      </c>
      <c r="Q98" s="24">
        <f t="shared" ref="Q98:Q116" si="38">(L98*I98)/(55*9.87)</f>
        <v>4.900960696348431E-2</v>
      </c>
    </row>
    <row r="99" spans="2:17">
      <c r="C99" s="26">
        <v>0.2</v>
      </c>
      <c r="D99" s="24">
        <v>0.61495602794131909</v>
      </c>
      <c r="E99" s="24">
        <v>3.8266498995885572</v>
      </c>
      <c r="F99" s="24">
        <v>562.30107404469118</v>
      </c>
      <c r="G99" s="24">
        <v>0.689380943775177</v>
      </c>
      <c r="H99" s="24">
        <v>31.941433788001508</v>
      </c>
      <c r="I99" s="24">
        <v>32.399056944018035</v>
      </c>
      <c r="J99" s="24">
        <v>45.661506652832031</v>
      </c>
      <c r="K99" s="24">
        <v>1.1815453767776489</v>
      </c>
      <c r="L99" s="24">
        <f t="shared" si="33"/>
        <v>0.8093049173646446</v>
      </c>
      <c r="M99" s="24">
        <f t="shared" si="34"/>
        <v>0.56230107404469121</v>
      </c>
      <c r="N99" s="24">
        <f t="shared" si="35"/>
        <v>0.47674029277765334</v>
      </c>
      <c r="O99" s="24">
        <f t="shared" si="36"/>
        <v>0.64437265202899829</v>
      </c>
      <c r="P99" s="24">
        <f t="shared" si="37"/>
        <v>6.5285982981661425E-2</v>
      </c>
      <c r="Q99" s="24">
        <f t="shared" si="38"/>
        <v>4.830195468871868E-2</v>
      </c>
    </row>
    <row r="100" spans="2:17">
      <c r="C100" s="24">
        <v>0.25</v>
      </c>
      <c r="D100" s="24">
        <v>0.63539328373998238</v>
      </c>
      <c r="E100" s="24">
        <v>3.9500902189301246</v>
      </c>
      <c r="F100" s="24">
        <v>546.54749818688992</v>
      </c>
      <c r="G100" s="24">
        <v>0.73213058710098267</v>
      </c>
      <c r="H100" s="24">
        <v>31.914032340295474</v>
      </c>
      <c r="I100" s="24">
        <v>32.368732242327802</v>
      </c>
      <c r="J100" s="24">
        <v>45.401519775390625</v>
      </c>
      <c r="K100" s="24">
        <v>1.187610387802124</v>
      </c>
      <c r="L100" s="24">
        <f t="shared" si="33"/>
        <v>0.80014579056546142</v>
      </c>
      <c r="M100" s="24">
        <f t="shared" si="34"/>
        <v>0.54654749818688997</v>
      </c>
      <c r="N100" s="24">
        <f t="shared" si="35"/>
        <v>0.47090372453889312</v>
      </c>
      <c r="O100" s="24">
        <f t="shared" si="36"/>
        <v>0.64376953544804694</v>
      </c>
      <c r="P100" s="24">
        <f t="shared" si="37"/>
        <v>6.5224876945090882E-2</v>
      </c>
      <c r="Q100" s="24">
        <f t="shared" si="38"/>
        <v>4.7710610388945612E-2</v>
      </c>
    </row>
    <row r="101" spans="2:17">
      <c r="C101" s="24">
        <f t="shared" ref="C101:C116" si="39">C100+0.25</f>
        <v>0.5</v>
      </c>
      <c r="D101" s="24">
        <v>0.6805848782567393</v>
      </c>
      <c r="E101" s="24">
        <v>4.2216589214815734</v>
      </c>
      <c r="F101" s="24">
        <v>442.60730472894284</v>
      </c>
      <c r="G101" s="24">
        <v>0.96621555089950562</v>
      </c>
      <c r="H101" s="24">
        <v>31.853749155342204</v>
      </c>
      <c r="I101" s="24">
        <v>31.953592256267708</v>
      </c>
      <c r="J101" s="24">
        <v>43.299518585205078</v>
      </c>
      <c r="K101" s="24">
        <v>1.0635265111923218</v>
      </c>
      <c r="L101" s="24">
        <f t="shared" si="33"/>
        <v>0.75488706218983248</v>
      </c>
      <c r="M101" s="24">
        <f t="shared" si="34"/>
        <v>0.44260730472894283</v>
      </c>
      <c r="N101" s="24">
        <f t="shared" si="35"/>
        <v>0.43857006154083111</v>
      </c>
      <c r="O101" s="24">
        <f t="shared" si="36"/>
        <v>0.63551297247946914</v>
      </c>
      <c r="P101" s="24">
        <f t="shared" si="37"/>
        <v>6.4388345742600717E-2</v>
      </c>
      <c r="Q101" s="24">
        <f t="shared" si="38"/>
        <v>4.4434656691066984E-2</v>
      </c>
    </row>
    <row r="102" spans="2:17">
      <c r="C102" s="24">
        <f t="shared" si="39"/>
        <v>0.75</v>
      </c>
      <c r="D102" s="24">
        <v>0.70538212882241114</v>
      </c>
      <c r="E102" s="24">
        <v>4.369787304691453</v>
      </c>
      <c r="F102" s="24">
        <v>366.57491553312235</v>
      </c>
      <c r="G102" s="24">
        <v>1.2075551748275757</v>
      </c>
      <c r="H102" s="24">
        <v>31.820867418094963</v>
      </c>
      <c r="I102" s="24">
        <v>31.447763716636899</v>
      </c>
      <c r="J102" s="24">
        <v>41.096500396728516</v>
      </c>
      <c r="K102" s="24">
        <v>0.93456214666366577</v>
      </c>
      <c r="L102" s="24">
        <f t="shared" si="33"/>
        <v>0.70974757044642789</v>
      </c>
      <c r="M102" s="24">
        <f t="shared" si="34"/>
        <v>0.36657491553312233</v>
      </c>
      <c r="N102" s="24">
        <f t="shared" si="35"/>
        <v>0.40581770716102489</v>
      </c>
      <c r="O102" s="24">
        <f t="shared" si="36"/>
        <v>0.62545273899436948</v>
      </c>
      <c r="P102" s="24">
        <f t="shared" si="37"/>
        <v>6.3369071833269452E-2</v>
      </c>
      <c r="Q102" s="24">
        <f t="shared" si="38"/>
        <v>4.1116282387135251E-2</v>
      </c>
    </row>
    <row r="103" spans="2:17">
      <c r="C103" s="24">
        <f t="shared" si="39"/>
        <v>1</v>
      </c>
      <c r="D103" s="24">
        <v>0.75115045347784526</v>
      </c>
      <c r="E103" s="24">
        <v>4.6413560072429005</v>
      </c>
      <c r="F103" s="24">
        <v>326.11793521811632</v>
      </c>
      <c r="G103" s="24">
        <v>1.4417157173156738</v>
      </c>
      <c r="H103" s="24">
        <v>31.760584233141692</v>
      </c>
      <c r="I103" s="24">
        <v>31.095943303650429</v>
      </c>
      <c r="J103" s="24">
        <v>39.545505523681641</v>
      </c>
      <c r="K103" s="24">
        <v>0.88904702663421631</v>
      </c>
      <c r="L103" s="24">
        <f t="shared" si="33"/>
        <v>0.66403538151504682</v>
      </c>
      <c r="M103" s="24">
        <f t="shared" si="34"/>
        <v>0.32611793521811633</v>
      </c>
      <c r="N103" s="24">
        <f t="shared" si="35"/>
        <v>0.37543284682199596</v>
      </c>
      <c r="O103" s="24">
        <f t="shared" si="36"/>
        <v>0.61845551518795605</v>
      </c>
      <c r="P103" s="24">
        <f t="shared" si="37"/>
        <v>6.2660133251059374E-2</v>
      </c>
      <c r="Q103" s="24">
        <f t="shared" si="38"/>
        <v>3.8037775767172849E-2</v>
      </c>
    </row>
    <row r="104" spans="2:17">
      <c r="C104" s="24">
        <f t="shared" si="39"/>
        <v>1.25</v>
      </c>
      <c r="D104" s="24">
        <v>0.78050450098398538</v>
      </c>
      <c r="E104" s="24">
        <v>4.8141724543210955</v>
      </c>
      <c r="F104" s="24">
        <v>289.99634064261312</v>
      </c>
      <c r="G104" s="24">
        <v>1.6816614866256714</v>
      </c>
      <c r="H104" s="24">
        <v>31.722222206353244</v>
      </c>
      <c r="I104" s="24">
        <v>30.659342960158863</v>
      </c>
      <c r="J104" s="24">
        <v>37.865509033203125</v>
      </c>
      <c r="K104" s="24">
        <v>0.81390917301177979</v>
      </c>
      <c r="L104" s="24">
        <f t="shared" si="33"/>
        <v>0.61845988717844447</v>
      </c>
      <c r="M104" s="24">
        <f t="shared" si="34"/>
        <v>0.28999634064261309</v>
      </c>
      <c r="N104" s="24">
        <f t="shared" si="35"/>
        <v>0.3447558870564561</v>
      </c>
      <c r="O104" s="24">
        <f t="shared" si="36"/>
        <v>0.60977213524580076</v>
      </c>
      <c r="P104" s="24">
        <f t="shared" si="37"/>
        <v>6.17803581809322E-2</v>
      </c>
      <c r="Q104" s="24">
        <f t="shared" si="38"/>
        <v>3.4929674473805079E-2</v>
      </c>
    </row>
    <row r="105" spans="2:17">
      <c r="C105" s="24">
        <f t="shared" si="39"/>
        <v>1.5</v>
      </c>
      <c r="D105" s="24">
        <v>0.81005678039066731</v>
      </c>
      <c r="E105" s="24">
        <v>4.9869889013992905</v>
      </c>
      <c r="F105" s="24">
        <v>262.89285715832273</v>
      </c>
      <c r="G105" s="24">
        <v>1.9216268062591553</v>
      </c>
      <c r="H105" s="24">
        <v>31.6838601795648</v>
      </c>
      <c r="I105" s="24">
        <v>30.240359624190937</v>
      </c>
      <c r="J105" s="24">
        <v>36.356521606445313</v>
      </c>
      <c r="K105" s="24">
        <v>0.7696797251701355</v>
      </c>
      <c r="L105" s="24">
        <f t="shared" si="33"/>
        <v>0.57272076533582794</v>
      </c>
      <c r="M105" s="24">
        <f t="shared" si="34"/>
        <v>0.26289285715832272</v>
      </c>
      <c r="N105" s="24">
        <f t="shared" si="35"/>
        <v>0.31489603469086008</v>
      </c>
      <c r="O105" s="24">
        <f t="shared" si="36"/>
        <v>0.60143913333713084</v>
      </c>
      <c r="P105" s="24">
        <f t="shared" si="37"/>
        <v>6.093608240497779E-2</v>
      </c>
      <c r="Q105" s="24">
        <f t="shared" si="38"/>
        <v>3.1904360151049659E-2</v>
      </c>
    </row>
    <row r="106" spans="2:17">
      <c r="C106" s="24">
        <f t="shared" si="39"/>
        <v>1.75</v>
      </c>
      <c r="D106" s="24">
        <v>0.8355594217123069</v>
      </c>
      <c r="E106" s="24">
        <v>5.1351172846091702</v>
      </c>
      <c r="F106" s="24">
        <v>240.48886755122831</v>
      </c>
      <c r="G106" s="24">
        <v>2.163041353225708</v>
      </c>
      <c r="H106" s="24">
        <v>31.650978442317562</v>
      </c>
      <c r="I106" s="24">
        <v>29.806095006028961</v>
      </c>
      <c r="J106" s="24">
        <v>34.912528991699219</v>
      </c>
      <c r="K106" s="24">
        <v>0.7275540828704834</v>
      </c>
      <c r="L106" s="24">
        <f t="shared" si="33"/>
        <v>0.52693968824955528</v>
      </c>
      <c r="M106" s="24">
        <f t="shared" si="34"/>
        <v>0.24048886755122831</v>
      </c>
      <c r="N106" s="24">
        <f t="shared" si="35"/>
        <v>0.28556389837115503</v>
      </c>
      <c r="O106" s="24">
        <f t="shared" si="36"/>
        <v>0.59280220775713921</v>
      </c>
      <c r="P106" s="24">
        <f t="shared" si="37"/>
        <v>6.0061013957156968E-2</v>
      </c>
      <c r="Q106" s="24">
        <f t="shared" si="38"/>
        <v>2.8932512499610444E-2</v>
      </c>
    </row>
    <row r="107" spans="2:17">
      <c r="C107" s="24">
        <f t="shared" si="39"/>
        <v>2</v>
      </c>
      <c r="D107" s="24">
        <v>0.85694230019449458</v>
      </c>
      <c r="E107" s="24">
        <v>5.258557603950738</v>
      </c>
      <c r="F107" s="24">
        <v>221.41084491998203</v>
      </c>
      <c r="G107" s="24">
        <v>2.405897855758667</v>
      </c>
      <c r="H107" s="24">
        <v>31.623576994611529</v>
      </c>
      <c r="I107" s="24">
        <v>29.350844236714636</v>
      </c>
      <c r="J107" s="24">
        <v>33.514511108398437</v>
      </c>
      <c r="K107" s="24">
        <v>0.68701928853988647</v>
      </c>
      <c r="L107" s="24">
        <f t="shared" si="33"/>
        <v>0.4811517488086598</v>
      </c>
      <c r="M107" s="24">
        <f t="shared" si="34"/>
        <v>0.22141084491998203</v>
      </c>
      <c r="N107" s="24">
        <f t="shared" si="35"/>
        <v>0.25676745515465127</v>
      </c>
      <c r="O107" s="24">
        <f t="shared" si="36"/>
        <v>0.58374789651381531</v>
      </c>
      <c r="P107" s="24">
        <f t="shared" si="37"/>
        <v>5.9143657194915433E-2</v>
      </c>
      <c r="Q107" s="24">
        <f t="shared" si="38"/>
        <v>2.6014939731980886E-2</v>
      </c>
    </row>
    <row r="108" spans="2:17">
      <c r="C108" s="24">
        <f t="shared" si="39"/>
        <v>2.25</v>
      </c>
      <c r="D108" s="24">
        <v>0.86983132689587239</v>
      </c>
      <c r="E108" s="24">
        <v>5.3326217955556778</v>
      </c>
      <c r="F108" s="24">
        <v>203.72273750159653</v>
      </c>
      <c r="G108" s="24">
        <v>2.6516165733337402</v>
      </c>
      <c r="H108" s="24">
        <v>31.607136125987907</v>
      </c>
      <c r="I108" s="24">
        <v>28.831463134112276</v>
      </c>
      <c r="J108" s="24">
        <v>32.062511444091797</v>
      </c>
      <c r="K108" s="24">
        <v>0.63868510723114014</v>
      </c>
      <c r="L108" s="24">
        <f t="shared" si="33"/>
        <v>0.43553777378424058</v>
      </c>
      <c r="M108" s="24">
        <f t="shared" si="34"/>
        <v>0.20372273750159653</v>
      </c>
      <c r="N108" s="24">
        <f t="shared" si="35"/>
        <v>0.2283125685158848</v>
      </c>
      <c r="O108" s="24">
        <f t="shared" si="36"/>
        <v>0.57341812120350588</v>
      </c>
      <c r="P108" s="24">
        <f t="shared" si="37"/>
        <v>5.809707408343525E-2</v>
      </c>
      <c r="Q108" s="24">
        <f t="shared" si="38"/>
        <v>2.3131972494010621E-2</v>
      </c>
    </row>
    <row r="109" spans="2:17">
      <c r="C109" s="24">
        <f t="shared" si="39"/>
        <v>2.5</v>
      </c>
      <c r="D109" s="24">
        <v>0.90009441534285695</v>
      </c>
      <c r="E109" s="24">
        <v>5.5054382426338719</v>
      </c>
      <c r="F109" s="24">
        <v>192.866586599285</v>
      </c>
      <c r="G109" s="24">
        <v>2.8916409015655518</v>
      </c>
      <c r="H109" s="24">
        <v>31.568774099199462</v>
      </c>
      <c r="I109" s="24">
        <v>28.477577701173928</v>
      </c>
      <c r="J109" s="24">
        <v>31.068511962890625</v>
      </c>
      <c r="K109" s="24">
        <v>0.6239088773727417</v>
      </c>
      <c r="L109" s="24">
        <f t="shared" si="33"/>
        <v>0.38922362283673967</v>
      </c>
      <c r="M109" s="24">
        <f t="shared" si="34"/>
        <v>0.19286658659928499</v>
      </c>
      <c r="N109" s="24">
        <f t="shared" si="35"/>
        <v>0.2015299265902849</v>
      </c>
      <c r="O109" s="24">
        <f t="shared" si="36"/>
        <v>0.56637982699232159</v>
      </c>
      <c r="P109" s="24">
        <f t="shared" si="37"/>
        <v>5.7383974365990027E-2</v>
      </c>
      <c r="Q109" s="24">
        <f t="shared" si="38"/>
        <v>2.0418432278650957E-2</v>
      </c>
    </row>
    <row r="110" spans="2:17">
      <c r="C110" s="24">
        <f t="shared" si="39"/>
        <v>2.75</v>
      </c>
      <c r="D110" s="24">
        <v>0.92625759818347564</v>
      </c>
      <c r="E110" s="24">
        <v>5.6535666258437534</v>
      </c>
      <c r="F110" s="24">
        <v>182.79188485197807</v>
      </c>
      <c r="G110" s="24">
        <v>3.1331057548522949</v>
      </c>
      <c r="H110" s="24">
        <v>31.535892361952222</v>
      </c>
      <c r="I110" s="24">
        <v>28.102047309004288</v>
      </c>
      <c r="J110" s="24">
        <v>30.083524703979492</v>
      </c>
      <c r="K110" s="24">
        <v>0.60271459817886353</v>
      </c>
      <c r="L110" s="24">
        <f t="shared" si="33"/>
        <v>0.34291357387519178</v>
      </c>
      <c r="M110" s="24">
        <f t="shared" si="34"/>
        <v>0.18279188485197806</v>
      </c>
      <c r="N110" s="24">
        <f t="shared" si="35"/>
        <v>0.17521042683527954</v>
      </c>
      <c r="O110" s="24">
        <f t="shared" si="36"/>
        <v>0.55891104433182748</v>
      </c>
      <c r="P110" s="24">
        <f t="shared" si="37"/>
        <v>5.6627258797550914E-2</v>
      </c>
      <c r="Q110" s="24">
        <f t="shared" si="38"/>
        <v>1.7751816295367737E-2</v>
      </c>
    </row>
    <row r="111" spans="2:17">
      <c r="C111" s="24">
        <f t="shared" si="39"/>
        <v>3</v>
      </c>
      <c r="D111" s="24">
        <v>0.93502624615893282</v>
      </c>
      <c r="E111" s="24">
        <v>5.7276308174486941</v>
      </c>
      <c r="F111" s="24">
        <v>171.71822102294726</v>
      </c>
      <c r="G111" s="24">
        <v>3.3788435459136963</v>
      </c>
      <c r="H111" s="24">
        <v>31.519451493328603</v>
      </c>
      <c r="I111" s="24">
        <v>27.616477193839685</v>
      </c>
      <c r="J111" s="24">
        <v>28.934524536132813</v>
      </c>
      <c r="K111" s="24">
        <v>0.57628780603408813</v>
      </c>
      <c r="L111" s="24">
        <f t="shared" si="33"/>
        <v>0.29700576906094833</v>
      </c>
      <c r="M111" s="24">
        <f t="shared" si="34"/>
        <v>0.17171822102294726</v>
      </c>
      <c r="N111" s="24">
        <f t="shared" si="35"/>
        <v>0.14913187359473629</v>
      </c>
      <c r="O111" s="24">
        <f t="shared" si="36"/>
        <v>0.54925372302783781</v>
      </c>
      <c r="P111" s="24">
        <f t="shared" si="37"/>
        <v>5.5648806791067665E-2</v>
      </c>
      <c r="Q111" s="24">
        <f t="shared" si="38"/>
        <v>1.5109612319628806E-2</v>
      </c>
    </row>
    <row r="112" spans="2:17">
      <c r="C112" s="24">
        <f t="shared" si="39"/>
        <v>3.25</v>
      </c>
      <c r="D112" s="24">
        <v>0.95706273280331888</v>
      </c>
      <c r="E112" s="24">
        <v>5.851071136790261</v>
      </c>
      <c r="F112" s="24">
        <v>163.65399470289373</v>
      </c>
      <c r="G112" s="24">
        <v>3.6217479705810547</v>
      </c>
      <c r="H112" s="24">
        <v>31.49205004562257</v>
      </c>
      <c r="I112" s="24">
        <v>27.227282742922675</v>
      </c>
      <c r="J112" s="24">
        <v>28.035501480102539</v>
      </c>
      <c r="K112" s="24">
        <v>0.56335353851318359</v>
      </c>
      <c r="L112" s="24">
        <f t="shared" si="33"/>
        <v>0.25064095945224008</v>
      </c>
      <c r="M112" s="24">
        <f t="shared" si="34"/>
        <v>0.16365399470289371</v>
      </c>
      <c r="N112" s="24">
        <f t="shared" si="35"/>
        <v>0.12407767763570106</v>
      </c>
      <c r="O112" s="24">
        <f t="shared" si="36"/>
        <v>0.54151318104460366</v>
      </c>
      <c r="P112" s="24">
        <f t="shared" si="37"/>
        <v>5.4864557350010508E-2</v>
      </c>
      <c r="Q112" s="24">
        <f t="shared" si="38"/>
        <v>1.257119327616019E-2</v>
      </c>
    </row>
    <row r="113" spans="2:17">
      <c r="C113" s="24">
        <f t="shared" si="39"/>
        <v>3.5</v>
      </c>
      <c r="D113" s="24">
        <v>0.97036328499137692</v>
      </c>
      <c r="E113" s="24">
        <v>5.9251353283952017</v>
      </c>
      <c r="F113" s="24">
        <v>155.19507413372799</v>
      </c>
      <c r="G113" s="24">
        <v>3.8674952983856201</v>
      </c>
      <c r="H113" s="24">
        <v>31.475609176998951</v>
      </c>
      <c r="I113" s="24">
        <v>26.763276777514459</v>
      </c>
      <c r="J113" s="24">
        <v>27.049518585205078</v>
      </c>
      <c r="K113" s="24">
        <v>0.54751884937286377</v>
      </c>
      <c r="L113" s="24">
        <f t="shared" si="33"/>
        <v>0.20456808598081969</v>
      </c>
      <c r="M113" s="24">
        <f t="shared" si="34"/>
        <v>0.15519507413372799</v>
      </c>
      <c r="N113" s="24">
        <f t="shared" si="35"/>
        <v>9.9543860090019143E-2</v>
      </c>
      <c r="O113" s="24">
        <f t="shared" si="36"/>
        <v>0.53228474100068535</v>
      </c>
      <c r="P113" s="24">
        <f t="shared" si="37"/>
        <v>5.3929558358732053E-2</v>
      </c>
      <c r="Q113" s="24">
        <f t="shared" si="38"/>
        <v>1.0085497476192418E-2</v>
      </c>
    </row>
    <row r="114" spans="2:17">
      <c r="C114" s="24">
        <f t="shared" si="39"/>
        <v>3.75</v>
      </c>
      <c r="D114" s="24">
        <v>0.99267361510418117</v>
      </c>
      <c r="E114" s="24">
        <v>6.0485756477367687</v>
      </c>
      <c r="F114" s="24">
        <v>149.06539810955394</v>
      </c>
      <c r="G114" s="24">
        <v>4.1104154586791992</v>
      </c>
      <c r="H114" s="24">
        <v>31.448207729292918</v>
      </c>
      <c r="I114" s="24">
        <v>26.402087917822104</v>
      </c>
      <c r="J114" s="24">
        <v>26.29350471496582</v>
      </c>
      <c r="K114" s="24">
        <v>0.53848803043365479</v>
      </c>
      <c r="L114" s="24">
        <f t="shared" si="33"/>
        <v>0.15799033091704676</v>
      </c>
      <c r="M114" s="24">
        <f t="shared" si="34"/>
        <v>0.14906539810955394</v>
      </c>
      <c r="N114" s="24">
        <f t="shared" si="35"/>
        <v>7.5841356491594111E-2</v>
      </c>
      <c r="O114" s="24">
        <f t="shared" si="36"/>
        <v>0.52510119168301717</v>
      </c>
      <c r="P114" s="24">
        <f t="shared" si="37"/>
        <v>5.3201741811855843E-2</v>
      </c>
      <c r="Q114" s="24">
        <f t="shared" si="38"/>
        <v>7.6840280133327384E-3</v>
      </c>
    </row>
    <row r="115" spans="2:17">
      <c r="C115" s="24">
        <f t="shared" si="39"/>
        <v>4</v>
      </c>
      <c r="D115" s="24">
        <v>1.0061472849468667</v>
      </c>
      <c r="E115" s="24">
        <v>6.1226398393417085</v>
      </c>
      <c r="F115" s="24">
        <v>142.37807209884244</v>
      </c>
      <c r="G115" s="24">
        <v>4.3561720848083496</v>
      </c>
      <c r="H115" s="24">
        <v>31.431766860669299</v>
      </c>
      <c r="I115" s="24">
        <v>25.962765604008553</v>
      </c>
      <c r="J115" s="24">
        <v>25.445484161376953</v>
      </c>
      <c r="K115" s="24">
        <v>0.52646654844284058</v>
      </c>
      <c r="L115" s="24">
        <f t="shared" si="33"/>
        <v>0.1117519449576581</v>
      </c>
      <c r="M115" s="24">
        <f t="shared" si="34"/>
        <v>0.14237807209884243</v>
      </c>
      <c r="N115" s="24">
        <f t="shared" si="35"/>
        <v>5.2752537322322594E-2</v>
      </c>
      <c r="O115" s="24">
        <f t="shared" si="36"/>
        <v>0.51636367549738571</v>
      </c>
      <c r="P115" s="24">
        <f t="shared" si="37"/>
        <v>5.2316481813311617E-2</v>
      </c>
      <c r="Q115" s="24">
        <f t="shared" si="38"/>
        <v>5.3447352910154615E-3</v>
      </c>
    </row>
    <row r="116" spans="2:17">
      <c r="C116" s="24">
        <f t="shared" si="39"/>
        <v>4.25</v>
      </c>
      <c r="D116" s="24">
        <v>1.0151675825917046</v>
      </c>
      <c r="E116" s="24">
        <v>6.1720159670783366</v>
      </c>
      <c r="F116" s="24">
        <v>135.81974483823112</v>
      </c>
      <c r="G116" s="24">
        <v>4.6033453941345215</v>
      </c>
      <c r="H116" s="24">
        <v>31.420806281586884</v>
      </c>
      <c r="I116" s="24">
        <v>25.487434364297943</v>
      </c>
      <c r="J116" s="24">
        <v>24.585527420043945</v>
      </c>
      <c r="K116" s="24">
        <v>0.51394343376159668</v>
      </c>
      <c r="L116" s="24">
        <f t="shared" si="33"/>
        <v>6.5683443727990648E-2</v>
      </c>
      <c r="M116" s="24">
        <f t="shared" si="34"/>
        <v>0.13581974483823112</v>
      </c>
      <c r="N116" s="24">
        <f t="shared" si="35"/>
        <v>3.0438226560694892E-2</v>
      </c>
      <c r="O116" s="24">
        <f t="shared" si="36"/>
        <v>0.50690999133448578</v>
      </c>
      <c r="P116" s="24">
        <f t="shared" si="37"/>
        <v>5.1358661736016796E-2</v>
      </c>
      <c r="Q116" s="24">
        <f t="shared" si="38"/>
        <v>3.0839135319852989E-3</v>
      </c>
    </row>
    <row r="117" spans="2:17">
      <c r="B117">
        <v>60</v>
      </c>
      <c r="C117" s="26">
        <v>0.1</v>
      </c>
      <c r="D117" s="24">
        <v>0.59050921213130136</v>
      </c>
      <c r="E117" s="24">
        <v>3.6538334525103626</v>
      </c>
      <c r="F117" s="24">
        <v>617.35346673375068</v>
      </c>
      <c r="G117" s="24">
        <v>0.59954845905303955</v>
      </c>
      <c r="H117" s="24">
        <v>31.979795814789952</v>
      </c>
      <c r="I117" s="24">
        <v>33.438241988509006</v>
      </c>
      <c r="J117" s="24">
        <v>51.221511840820313</v>
      </c>
      <c r="K117" s="24">
        <v>1.3446260690689087</v>
      </c>
      <c r="L117" s="24">
        <f t="shared" si="33"/>
        <v>0.8274196362557501</v>
      </c>
      <c r="M117" s="24">
        <f t="shared" si="34"/>
        <v>0.61735346673375069</v>
      </c>
      <c r="N117" s="24">
        <f>(L117*I117)/60</f>
        <v>0.4611243003860645</v>
      </c>
      <c r="O117" s="24">
        <f>I117/55.28</f>
        <v>0.60488860326535832</v>
      </c>
      <c r="P117" s="24">
        <f>I117/((60-4.72)*9.87)</f>
        <v>6.1285572772579358E-2</v>
      </c>
      <c r="Q117" s="24">
        <f>(L117*I117)/(60*9.87)</f>
        <v>4.6719787273157502E-2</v>
      </c>
    </row>
    <row r="118" spans="2:17">
      <c r="C118" s="26">
        <v>0.15</v>
      </c>
      <c r="D118" s="24">
        <v>0.59050921213130136</v>
      </c>
      <c r="E118" s="24">
        <v>3.6538334525103626</v>
      </c>
      <c r="F118" s="24">
        <v>569.83172727236661</v>
      </c>
      <c r="G118" s="24">
        <v>0.64954847097396851</v>
      </c>
      <c r="H118" s="24">
        <v>31.979795814789952</v>
      </c>
      <c r="I118" s="24">
        <v>33.314662369814116</v>
      </c>
      <c r="J118" s="24">
        <v>50.524497985839844</v>
      </c>
      <c r="K118" s="24">
        <v>1.2715944051742554</v>
      </c>
      <c r="L118" s="24">
        <f t="shared" ref="L118:L136" si="40">((101.3*(-0.0043+0.01*EXP(0.0511*H118)))-C118)/(101.3*(0.0043+0.01*EXP(0.0511*H118)))</f>
        <v>0.8185345498791643</v>
      </c>
      <c r="M118" s="24">
        <f t="shared" ref="M118:M136" si="41">F118/1000</f>
        <v>0.56983172727236664</v>
      </c>
      <c r="N118" s="24">
        <f t="shared" ref="N118:N136" si="42">(L118*I118)/60</f>
        <v>0.4544867027875355</v>
      </c>
      <c r="O118" s="24">
        <f>I118/55.28</f>
        <v>0.60265308194309175</v>
      </c>
      <c r="P118" s="24">
        <f t="shared" ref="P118:P136" si="43">I118/((60-4.72)*9.87)</f>
        <v>6.1059076184710417E-2</v>
      </c>
      <c r="Q118" s="24">
        <f t="shared" ref="Q118:Q136" si="44">(L118*I118)/(60*9.87)</f>
        <v>4.604728498353957E-2</v>
      </c>
    </row>
    <row r="119" spans="2:17">
      <c r="C119" s="26">
        <v>0.2</v>
      </c>
      <c r="D119" s="24">
        <v>0.6108760645709852</v>
      </c>
      <c r="E119" s="24">
        <v>3.801961835720244</v>
      </c>
      <c r="F119" s="24">
        <v>557.49967511586954</v>
      </c>
      <c r="G119" s="24">
        <v>0.69083219766616821</v>
      </c>
      <c r="H119" s="24">
        <v>31.946914077542715</v>
      </c>
      <c r="I119" s="24">
        <v>33.307482538023116</v>
      </c>
      <c r="J119" s="24">
        <v>50.317497253417969</v>
      </c>
      <c r="K119" s="24">
        <v>1.2928107976913452</v>
      </c>
      <c r="L119" s="24">
        <f t="shared" si="40"/>
        <v>0.80935417319137737</v>
      </c>
      <c r="M119" s="24">
        <f t="shared" si="41"/>
        <v>0.55749967511586951</v>
      </c>
      <c r="N119" s="24">
        <f t="shared" si="42"/>
        <v>0.44929249984413228</v>
      </c>
      <c r="O119" s="24">
        <f t="shared" ref="O119:O136" si="45">I119/55.28</f>
        <v>0.60252320076018662</v>
      </c>
      <c r="P119" s="24">
        <f t="shared" si="43"/>
        <v>6.1045916996979394E-2</v>
      </c>
      <c r="Q119" s="24">
        <f t="shared" si="44"/>
        <v>4.5521023287146134E-2</v>
      </c>
    </row>
    <row r="120" spans="2:17">
      <c r="C120" s="24">
        <v>0.25</v>
      </c>
      <c r="D120" s="24">
        <v>0.61495602794131909</v>
      </c>
      <c r="E120" s="24">
        <v>3.8266498995885572</v>
      </c>
      <c r="F120" s="24">
        <v>524.27594689707803</v>
      </c>
      <c r="G120" s="24">
        <v>0.73938089609146118</v>
      </c>
      <c r="H120" s="24">
        <v>31.941433788001508</v>
      </c>
      <c r="I120" s="24">
        <v>33.206162166703166</v>
      </c>
      <c r="J120" s="24">
        <v>49.734516143798828</v>
      </c>
      <c r="K120" s="24">
        <v>1.2497437000274658</v>
      </c>
      <c r="L120" s="24">
        <f t="shared" si="40"/>
        <v>0.8004037484371368</v>
      </c>
      <c r="M120" s="24">
        <f t="shared" si="41"/>
        <v>0.52427594689707802</v>
      </c>
      <c r="N120" s="24">
        <f t="shared" si="42"/>
        <v>0.44297227782401083</v>
      </c>
      <c r="O120" s="24">
        <f t="shared" si="45"/>
        <v>0.60069034310244507</v>
      </c>
      <c r="P120" s="24">
        <f t="shared" si="43"/>
        <v>6.0860217132973161E-2</v>
      </c>
      <c r="Q120" s="24">
        <f t="shared" si="44"/>
        <v>4.4880676577913968E-2</v>
      </c>
    </row>
    <row r="121" spans="2:17">
      <c r="C121" s="24">
        <f t="shared" ref="C121:C136" si="46">C120+0.25</f>
        <v>0.5</v>
      </c>
      <c r="D121" s="24">
        <v>0.66000185514051046</v>
      </c>
      <c r="E121" s="24">
        <v>4.0982186021400056</v>
      </c>
      <c r="F121" s="24">
        <v>426.47520553405838</v>
      </c>
      <c r="G121" s="24">
        <v>0.97344356775283813</v>
      </c>
      <c r="H121" s="24">
        <v>31.881150603048233</v>
      </c>
      <c r="I121" s="24">
        <v>32.837090101822035</v>
      </c>
      <c r="J121" s="24">
        <v>47.520503997802734</v>
      </c>
      <c r="K121" s="24">
        <v>1.1279201507568359</v>
      </c>
      <c r="L121" s="24">
        <f t="shared" si="40"/>
        <v>0.75520336119818798</v>
      </c>
      <c r="M121" s="24">
        <f t="shared" si="41"/>
        <v>0.42647520553405838</v>
      </c>
      <c r="N121" s="24">
        <f t="shared" si="42"/>
        <v>0.4133113469477292</v>
      </c>
      <c r="O121" s="24">
        <f t="shared" si="45"/>
        <v>0.59401393093021049</v>
      </c>
      <c r="P121" s="24">
        <f t="shared" si="43"/>
        <v>6.0183782262432671E-2</v>
      </c>
      <c r="Q121" s="24">
        <f t="shared" si="44"/>
        <v>4.1875516408077934E-2</v>
      </c>
    </row>
    <row r="122" spans="2:17">
      <c r="C122" s="24">
        <f t="shared" si="46"/>
        <v>0.75</v>
      </c>
      <c r="D122" s="24">
        <v>0.6805848782567393</v>
      </c>
      <c r="E122" s="24">
        <v>4.2216589214815734</v>
      </c>
      <c r="F122" s="24">
        <v>351.6268625103317</v>
      </c>
      <c r="G122" s="24">
        <v>1.2162154912948608</v>
      </c>
      <c r="H122" s="24">
        <v>31.853749155342204</v>
      </c>
      <c r="I122" s="24">
        <v>32.355713867182033</v>
      </c>
      <c r="J122" s="24">
        <v>45.086509704589844</v>
      </c>
      <c r="K122" s="24">
        <v>0.970054030418396</v>
      </c>
      <c r="L122" s="24">
        <f t="shared" si="40"/>
        <v>0.71019691614588354</v>
      </c>
      <c r="M122" s="24">
        <f t="shared" si="41"/>
        <v>0.35162686251033171</v>
      </c>
      <c r="N122" s="24">
        <f t="shared" si="42"/>
        <v>0.38298213680285464</v>
      </c>
      <c r="O122" s="24">
        <f t="shared" si="45"/>
        <v>0.58530596720662142</v>
      </c>
      <c r="P122" s="24">
        <f t="shared" si="43"/>
        <v>5.9301516434308144E-2</v>
      </c>
      <c r="Q122" s="24">
        <f t="shared" si="44"/>
        <v>3.8802648105659039E-2</v>
      </c>
    </row>
    <row r="123" spans="2:17">
      <c r="C123" s="24">
        <f t="shared" si="46"/>
        <v>1</v>
      </c>
      <c r="D123" s="24">
        <v>0.7261345049393807</v>
      </c>
      <c r="E123" s="24">
        <v>4.4932276240330209</v>
      </c>
      <c r="F123" s="24">
        <v>313.83055285430635</v>
      </c>
      <c r="G123" s="24">
        <v>1.4503494501113892</v>
      </c>
      <c r="H123" s="24">
        <v>31.79346597038893</v>
      </c>
      <c r="I123" s="24">
        <v>32.043491983741298</v>
      </c>
      <c r="J123" s="24">
        <v>43.451522827148438</v>
      </c>
      <c r="K123" s="24">
        <v>0.92471426725387573</v>
      </c>
      <c r="L123" s="24">
        <f t="shared" si="40"/>
        <v>0.66455537026610179</v>
      </c>
      <c r="M123" s="24">
        <f t="shared" si="41"/>
        <v>0.31383055285430633</v>
      </c>
      <c r="N123" s="24">
        <f t="shared" si="42"/>
        <v>0.35491124466456775</v>
      </c>
      <c r="O123" s="24">
        <f t="shared" si="45"/>
        <v>0.57965795918490048</v>
      </c>
      <c r="P123" s="24">
        <f t="shared" si="43"/>
        <v>5.8729276513161142E-2</v>
      </c>
      <c r="Q123" s="24">
        <f t="shared" si="44"/>
        <v>3.5958586085569177E-2</v>
      </c>
    </row>
    <row r="124" spans="2:17">
      <c r="C124" s="24">
        <f t="shared" si="46"/>
        <v>1.25</v>
      </c>
      <c r="D124" s="24">
        <v>0.75533213549741074</v>
      </c>
      <c r="E124" s="24">
        <v>4.666044071111215</v>
      </c>
      <c r="F124" s="24">
        <v>279.64051123720031</v>
      </c>
      <c r="G124" s="24">
        <v>1.690278172492981</v>
      </c>
      <c r="H124" s="24">
        <v>31.755103943600485</v>
      </c>
      <c r="I124" s="24">
        <v>31.648233996268043</v>
      </c>
      <c r="J124" s="24">
        <v>41.657497406005859</v>
      </c>
      <c r="K124" s="24">
        <v>0.85053479671478271</v>
      </c>
      <c r="L124" s="24">
        <f t="shared" si="40"/>
        <v>0.61905032486459133</v>
      </c>
      <c r="M124" s="24">
        <f t="shared" si="41"/>
        <v>0.2796405112372003</v>
      </c>
      <c r="N124" s="24">
        <f t="shared" si="42"/>
        <v>0.32653082561300562</v>
      </c>
      <c r="O124" s="24">
        <f t="shared" si="45"/>
        <v>0.57250785087315559</v>
      </c>
      <c r="P124" s="24">
        <f t="shared" si="43"/>
        <v>5.8004848112781726E-2</v>
      </c>
      <c r="Q124" s="24">
        <f t="shared" si="44"/>
        <v>3.308316368926096E-2</v>
      </c>
    </row>
    <row r="125" spans="2:17">
      <c r="C125" s="24">
        <f t="shared" si="46"/>
        <v>1.5</v>
      </c>
      <c r="D125" s="24">
        <v>0.78050450098398538</v>
      </c>
      <c r="E125" s="24">
        <v>4.8141724543210955</v>
      </c>
      <c r="F125" s="24">
        <v>252.46435760161228</v>
      </c>
      <c r="G125" s="24">
        <v>1.9316614866256714</v>
      </c>
      <c r="H125" s="24">
        <v>31.722222206353244</v>
      </c>
      <c r="I125" s="24">
        <v>31.238170347849675</v>
      </c>
      <c r="J125" s="24">
        <v>39.946506500244141</v>
      </c>
      <c r="K125" s="24">
        <v>0.78861540555953979</v>
      </c>
      <c r="L125" s="24">
        <f t="shared" si="40"/>
        <v>0.57349197865328927</v>
      </c>
      <c r="M125" s="24">
        <f t="shared" si="41"/>
        <v>0.25246435760161229</v>
      </c>
      <c r="N125" s="24">
        <f t="shared" si="42"/>
        <v>0.29858066870494698</v>
      </c>
      <c r="O125" s="24">
        <f t="shared" si="45"/>
        <v>0.56508991222593474</v>
      </c>
      <c r="P125" s="24">
        <f t="shared" si="43"/>
        <v>5.7253283913468567E-2</v>
      </c>
      <c r="Q125" s="24">
        <f t="shared" si="44"/>
        <v>3.0251334215293517E-2</v>
      </c>
    </row>
    <row r="126" spans="2:17">
      <c r="C126" s="24">
        <f t="shared" si="46"/>
        <v>1.75</v>
      </c>
      <c r="D126" s="24">
        <v>0.81005678039066731</v>
      </c>
      <c r="E126" s="24">
        <v>4.9869889013992905</v>
      </c>
      <c r="F126" s="24">
        <v>232.62835109177894</v>
      </c>
      <c r="G126" s="24">
        <v>2.1716268062591553</v>
      </c>
      <c r="H126" s="24">
        <v>31.6838601795648</v>
      </c>
      <c r="I126" s="24">
        <v>30.873143795590138</v>
      </c>
      <c r="J126" s="24">
        <v>38.490505218505859</v>
      </c>
      <c r="K126" s="24">
        <v>0.7489742636680603</v>
      </c>
      <c r="L126" s="24">
        <f t="shared" si="40"/>
        <v>0.52767154567893015</v>
      </c>
      <c r="M126" s="24">
        <f t="shared" si="41"/>
        <v>0.23262835109177893</v>
      </c>
      <c r="N126" s="24">
        <f t="shared" si="42"/>
        <v>0.27151465844311534</v>
      </c>
      <c r="O126" s="24">
        <f t="shared" si="45"/>
        <v>0.55848668226465514</v>
      </c>
      <c r="P126" s="24">
        <f t="shared" si="43"/>
        <v>5.6584263653967092E-2</v>
      </c>
      <c r="Q126" s="24">
        <f t="shared" si="44"/>
        <v>2.7509083935472686E-2</v>
      </c>
    </row>
    <row r="127" spans="2:17">
      <c r="C127" s="24">
        <f t="shared" si="46"/>
        <v>2</v>
      </c>
      <c r="D127" s="24">
        <v>0.8355594217123069</v>
      </c>
      <c r="E127" s="24">
        <v>5.1351172846091702</v>
      </c>
      <c r="F127" s="24">
        <v>215.57333296698928</v>
      </c>
      <c r="G127" s="24">
        <v>2.413041353225708</v>
      </c>
      <c r="H127" s="24">
        <v>31.650978442317562</v>
      </c>
      <c r="I127" s="24">
        <v>30.490112580600481</v>
      </c>
      <c r="J127" s="24">
        <v>37.076507568359375</v>
      </c>
      <c r="K127" s="24">
        <v>0.71680748462677002</v>
      </c>
      <c r="L127" s="24">
        <f t="shared" si="40"/>
        <v>0.48182066630615145</v>
      </c>
      <c r="M127" s="24">
        <f t="shared" si="41"/>
        <v>0.21557333296698927</v>
      </c>
      <c r="N127" s="24">
        <f t="shared" si="42"/>
        <v>0.24484610598890824</v>
      </c>
      <c r="O127" s="24">
        <f t="shared" si="45"/>
        <v>0.55155775290521858</v>
      </c>
      <c r="P127" s="24">
        <f t="shared" si="43"/>
        <v>5.5882244468613833E-2</v>
      </c>
      <c r="Q127" s="24">
        <f t="shared" si="44"/>
        <v>2.4807102937072775E-2</v>
      </c>
    </row>
    <row r="128" spans="2:17">
      <c r="C128" s="24">
        <f t="shared" si="46"/>
        <v>2.25</v>
      </c>
      <c r="D128" s="24">
        <v>0.85694230019449458</v>
      </c>
      <c r="E128" s="24">
        <v>5.258557603950738</v>
      </c>
      <c r="F128" s="24">
        <v>200.56941446593586</v>
      </c>
      <c r="G128" s="24">
        <v>2.655897855758667</v>
      </c>
      <c r="H128" s="24">
        <v>31.623576994611529</v>
      </c>
      <c r="I128" s="24">
        <v>30.084161489886288</v>
      </c>
      <c r="J128" s="24">
        <v>35.689506530761719</v>
      </c>
      <c r="K128" s="24">
        <v>0.67904716730117798</v>
      </c>
      <c r="L128" s="24">
        <f t="shared" si="40"/>
        <v>0.43597448273762451</v>
      </c>
      <c r="M128" s="24">
        <f t="shared" si="41"/>
        <v>0.20056941446593587</v>
      </c>
      <c r="N128" s="24">
        <f t="shared" si="42"/>
        <v>0.21859877906913897</v>
      </c>
      <c r="O128" s="24">
        <f t="shared" si="45"/>
        <v>0.54421420929606168</v>
      </c>
      <c r="P128" s="24">
        <f t="shared" si="43"/>
        <v>5.5138217760492568E-2</v>
      </c>
      <c r="Q128" s="24">
        <f t="shared" si="44"/>
        <v>2.2147799297785105E-2</v>
      </c>
    </row>
    <row r="129" spans="2:17">
      <c r="C129" s="24">
        <f t="shared" si="46"/>
        <v>2.5</v>
      </c>
      <c r="D129" s="24">
        <v>0.86983132689587239</v>
      </c>
      <c r="E129" s="24">
        <v>5.3326217955556778</v>
      </c>
      <c r="F129" s="24">
        <v>186.17021702818431</v>
      </c>
      <c r="G129" s="24">
        <v>2.9016165733337402</v>
      </c>
      <c r="H129" s="24">
        <v>31.607136125987907</v>
      </c>
      <c r="I129" s="24">
        <v>29.612067549388694</v>
      </c>
      <c r="J129" s="24">
        <v>34.220508575439453</v>
      </c>
      <c r="K129" s="24">
        <v>0.63347601890563965</v>
      </c>
      <c r="L129" s="24">
        <f t="shared" si="40"/>
        <v>0.39032552823802413</v>
      </c>
      <c r="M129" s="24">
        <f t="shared" si="41"/>
        <v>0.18617021702818431</v>
      </c>
      <c r="N129" s="24">
        <f t="shared" si="42"/>
        <v>0.19263909847391991</v>
      </c>
      <c r="O129" s="24">
        <f t="shared" si="45"/>
        <v>0.53567415972121368</v>
      </c>
      <c r="P129" s="24">
        <f t="shared" si="43"/>
        <v>5.4272964510761267E-2</v>
      </c>
      <c r="Q129" s="24">
        <f t="shared" si="44"/>
        <v>1.9517639156425525E-2</v>
      </c>
    </row>
    <row r="130" spans="2:17">
      <c r="C130" s="24">
        <f t="shared" si="46"/>
        <v>2.75</v>
      </c>
      <c r="D130" s="24">
        <v>0.89575488518364721</v>
      </c>
      <c r="E130" s="24">
        <v>5.4807501787655593</v>
      </c>
      <c r="F130" s="24">
        <v>176.64287601571763</v>
      </c>
      <c r="G130" s="24">
        <v>3.1430647373199463</v>
      </c>
      <c r="H130" s="24">
        <v>31.57425438874067</v>
      </c>
      <c r="I130" s="24">
        <v>29.264304641274052</v>
      </c>
      <c r="J130" s="24">
        <v>33.148506164550781</v>
      </c>
      <c r="K130" s="24">
        <v>0.62225478887557983</v>
      </c>
      <c r="L130" s="24">
        <f t="shared" si="40"/>
        <v>0.34409887049693266</v>
      </c>
      <c r="M130" s="24">
        <f t="shared" si="41"/>
        <v>0.17664287601571763</v>
      </c>
      <c r="N130" s="24">
        <f t="shared" si="42"/>
        <v>0.16783023621567575</v>
      </c>
      <c r="O130" s="24">
        <f t="shared" si="45"/>
        <v>0.52938322433563767</v>
      </c>
      <c r="P130" s="24">
        <f t="shared" si="43"/>
        <v>5.3635585039071697E-2</v>
      </c>
      <c r="Q130" s="24">
        <f t="shared" si="44"/>
        <v>1.7004076617596328E-2</v>
      </c>
    </row>
    <row r="131" spans="2:17">
      <c r="C131" s="24">
        <f t="shared" si="46"/>
        <v>3</v>
      </c>
      <c r="D131" s="24">
        <v>0.90009441534285695</v>
      </c>
      <c r="E131" s="24">
        <v>5.5054382426338719</v>
      </c>
      <c r="F131" s="24">
        <v>164.4339492674701</v>
      </c>
      <c r="G131" s="24">
        <v>3.3916409015655518</v>
      </c>
      <c r="H131" s="24">
        <v>31.568774099199462</v>
      </c>
      <c r="I131" s="24">
        <v>28.722740159377363</v>
      </c>
      <c r="J131" s="24">
        <v>31.68950080871582</v>
      </c>
      <c r="K131" s="24">
        <v>0.577492356300354</v>
      </c>
      <c r="L131" s="24">
        <f t="shared" si="40"/>
        <v>0.29863570152087099</v>
      </c>
      <c r="M131" s="24">
        <f t="shared" si="41"/>
        <v>0.1644339492674701</v>
      </c>
      <c r="N131" s="24">
        <f t="shared" si="42"/>
        <v>0.14296059428495589</v>
      </c>
      <c r="O131" s="24">
        <f t="shared" si="45"/>
        <v>0.5195864717687656</v>
      </c>
      <c r="P131" s="24">
        <f t="shared" si="43"/>
        <v>5.2643006258233593E-2</v>
      </c>
      <c r="Q131" s="24">
        <f t="shared" si="44"/>
        <v>1.4484356057239706E-2</v>
      </c>
    </row>
    <row r="132" spans="2:17">
      <c r="C132" s="24">
        <f t="shared" si="46"/>
        <v>3.25</v>
      </c>
      <c r="D132" s="24">
        <v>0.93502624615893282</v>
      </c>
      <c r="E132" s="24">
        <v>5.7276308174486941</v>
      </c>
      <c r="F132" s="24">
        <v>159.88812838261541</v>
      </c>
      <c r="G132" s="24">
        <v>3.6288435459136963</v>
      </c>
      <c r="H132" s="24">
        <v>31.519451493328603</v>
      </c>
      <c r="I132" s="24">
        <v>28.527751528164028</v>
      </c>
      <c r="J132" s="24">
        <v>31.082515716552734</v>
      </c>
      <c r="K132" s="24">
        <v>0.57862573862075806</v>
      </c>
      <c r="L132" s="24">
        <f t="shared" si="40"/>
        <v>0.25160654770343904</v>
      </c>
      <c r="M132" s="24">
        <f t="shared" si="41"/>
        <v>0.1598881283826154</v>
      </c>
      <c r="N132" s="24">
        <f t="shared" si="42"/>
        <v>0.11962948459571431</v>
      </c>
      <c r="O132" s="24">
        <f t="shared" si="45"/>
        <v>0.51605918104493542</v>
      </c>
      <c r="P132" s="24">
        <f t="shared" si="43"/>
        <v>5.2285631311543602E-2</v>
      </c>
      <c r="Q132" s="24">
        <f t="shared" si="44"/>
        <v>1.2120515156607328E-2</v>
      </c>
    </row>
    <row r="133" spans="2:17">
      <c r="C133" s="24">
        <f t="shared" si="46"/>
        <v>3.5</v>
      </c>
      <c r="D133" s="24">
        <v>0.93502624615893282</v>
      </c>
      <c r="E133" s="24">
        <v>5.7029427535803805</v>
      </c>
      <c r="F133" s="24">
        <v>148.88371530477721</v>
      </c>
      <c r="G133" s="24">
        <v>3.8802638053894043</v>
      </c>
      <c r="H133" s="24">
        <v>31.52493178286981</v>
      </c>
      <c r="I133" s="24">
        <v>27.911873487074715</v>
      </c>
      <c r="J133" s="24">
        <v>29.615510940551758</v>
      </c>
      <c r="K133" s="24">
        <v>0.53913313150405884</v>
      </c>
      <c r="L133" s="24">
        <f t="shared" si="40"/>
        <v>0.20641201413302307</v>
      </c>
      <c r="M133" s="24">
        <f t="shared" si="41"/>
        <v>0.1488837153047772</v>
      </c>
      <c r="N133" s="24">
        <f t="shared" si="42"/>
        <v>9.6022433744886962E-2</v>
      </c>
      <c r="O133" s="24">
        <f t="shared" si="45"/>
        <v>0.50491811662580888</v>
      </c>
      <c r="P133" s="24">
        <f t="shared" si="43"/>
        <v>5.1156850721966449E-2</v>
      </c>
      <c r="Q133" s="24">
        <f t="shared" si="44"/>
        <v>9.7287166914779098E-3</v>
      </c>
    </row>
    <row r="134" spans="2:17">
      <c r="C134" s="24">
        <f t="shared" si="46"/>
        <v>3.75</v>
      </c>
      <c r="D134" s="24">
        <v>0.97036328499137692</v>
      </c>
      <c r="E134" s="24">
        <v>5.9251353283952017</v>
      </c>
      <c r="F134" s="24">
        <v>145.77216861078324</v>
      </c>
      <c r="G134" s="24">
        <v>4.117495059967041</v>
      </c>
      <c r="H134" s="24">
        <v>31.475609176998951</v>
      </c>
      <c r="I134" s="24">
        <v>27.750423713857014</v>
      </c>
      <c r="J134" s="24">
        <v>29.145509719848633</v>
      </c>
      <c r="K134" s="24">
        <v>0.55429089069366455</v>
      </c>
      <c r="L134" s="24">
        <f t="shared" si="40"/>
        <v>0.15907511188577095</v>
      </c>
      <c r="M134" s="24">
        <f t="shared" si="41"/>
        <v>0.14577216861078324</v>
      </c>
      <c r="N134" s="24">
        <f t="shared" si="42"/>
        <v>7.3573362619322596E-2</v>
      </c>
      <c r="O134" s="24">
        <f t="shared" si="45"/>
        <v>0.50199753462114716</v>
      </c>
      <c r="P134" s="24">
        <f t="shared" si="43"/>
        <v>5.0860945756955128E-2</v>
      </c>
      <c r="Q134" s="24">
        <f t="shared" si="44"/>
        <v>7.4542414001340018E-3</v>
      </c>
    </row>
    <row r="135" spans="2:17">
      <c r="C135" s="24">
        <f t="shared" si="46"/>
        <v>4</v>
      </c>
      <c r="D135" s="24">
        <v>0.97036328499137692</v>
      </c>
      <c r="E135" s="24">
        <v>5.9251353283952017</v>
      </c>
      <c r="F135" s="24">
        <v>137.42801704508574</v>
      </c>
      <c r="G135" s="24">
        <v>4.367495059967041</v>
      </c>
      <c r="H135" s="24">
        <v>31.475609176998951</v>
      </c>
      <c r="I135" s="24">
        <v>27.192518314329607</v>
      </c>
      <c r="J135" s="24">
        <v>27.930521011352539</v>
      </c>
      <c r="K135" s="24">
        <v>0.52116918563842773</v>
      </c>
      <c r="L135" s="24">
        <f t="shared" si="40"/>
        <v>0.11358213779072221</v>
      </c>
      <c r="M135" s="24">
        <f t="shared" si="41"/>
        <v>0.13742801704508573</v>
      </c>
      <c r="N135" s="24">
        <f t="shared" si="42"/>
        <v>5.147640603424871E-2</v>
      </c>
      <c r="O135" s="24">
        <f t="shared" si="45"/>
        <v>0.4919051793474965</v>
      </c>
      <c r="P135" s="24">
        <f t="shared" si="43"/>
        <v>4.983841736043531E-2</v>
      </c>
      <c r="Q135" s="24">
        <f t="shared" si="44"/>
        <v>5.2154413408559992E-3</v>
      </c>
    </row>
    <row r="136" spans="2:17">
      <c r="C136" s="24">
        <f t="shared" si="46"/>
        <v>4.25</v>
      </c>
      <c r="D136" s="24">
        <v>0.99715739606163001</v>
      </c>
      <c r="E136" s="24">
        <v>6.0732637116050823</v>
      </c>
      <c r="F136" s="24">
        <v>133.48264813846916</v>
      </c>
      <c r="G136" s="24">
        <v>4.6090006828308105</v>
      </c>
      <c r="H136" s="24">
        <v>31.442727439751714</v>
      </c>
      <c r="I136" s="24">
        <v>26.922604966098927</v>
      </c>
      <c r="J136" s="24">
        <v>27.310514450073242</v>
      </c>
      <c r="K136" s="24">
        <v>0.52104043960571289</v>
      </c>
      <c r="L136" s="24">
        <f t="shared" si="40"/>
        <v>6.66464118743786E-2</v>
      </c>
      <c r="M136" s="24">
        <f t="shared" si="41"/>
        <v>0.13348264813846916</v>
      </c>
      <c r="N136" s="24">
        <f t="shared" si="42"/>
        <v>2.9904916988363662E-2</v>
      </c>
      <c r="O136" s="24">
        <f t="shared" si="45"/>
        <v>0.48702252109440897</v>
      </c>
      <c r="P136" s="24">
        <f t="shared" si="43"/>
        <v>4.9343720475624006E-2</v>
      </c>
      <c r="Q136" s="24">
        <f t="shared" si="44"/>
        <v>3.0298801406650117E-3</v>
      </c>
    </row>
    <row r="137" spans="2:17">
      <c r="B137">
        <v>65</v>
      </c>
      <c r="C137" s="26">
        <v>0.1</v>
      </c>
      <c r="D137" s="24">
        <v>0.57019648110753096</v>
      </c>
      <c r="E137" s="24">
        <v>3.5303931331687957</v>
      </c>
      <c r="F137" s="24">
        <v>589.34597774297038</v>
      </c>
      <c r="G137" s="24">
        <v>0.60682320594787598</v>
      </c>
      <c r="H137" s="24">
        <v>32.007197262495986</v>
      </c>
      <c r="I137" s="24">
        <v>34.130136304937636</v>
      </c>
      <c r="J137" s="24">
        <v>55.614505767822266</v>
      </c>
      <c r="K137" s="24">
        <v>1.3897510766983032</v>
      </c>
      <c r="L137" s="24">
        <f t="shared" ref="L137" si="47">((101.3*(-0.0043+0.01*EXP(0.0511*H137)))-C137)/(101.3*(0.0043+0.01*EXP(0.0511*H137)))</f>
        <v>0.82764244891571592</v>
      </c>
      <c r="M137" s="24">
        <f t="shared" ref="M137" si="48">F137/1000</f>
        <v>0.58934597774297037</v>
      </c>
      <c r="N137" s="24">
        <f>(L137*I137)/65</f>
        <v>0.43457768604993491</v>
      </c>
      <c r="O137" s="24">
        <f>I137/60.28</f>
        <v>0.56619336935862041</v>
      </c>
      <c r="P137" s="24">
        <f>I137/((65-4.72)*9.87)</f>
        <v>5.7365083015057793E-2</v>
      </c>
      <c r="Q137" s="24">
        <f>(L137*I137)/(65*9.87)</f>
        <v>4.4030160694015698E-2</v>
      </c>
    </row>
    <row r="138" spans="2:17">
      <c r="C138" s="26">
        <v>0.15</v>
      </c>
      <c r="D138" s="24">
        <v>0.57019648110753096</v>
      </c>
      <c r="E138" s="24">
        <v>3.5303931331687957</v>
      </c>
      <c r="F138" s="24">
        <v>544.48261427896296</v>
      </c>
      <c r="G138" s="24">
        <v>0.65682321786880493</v>
      </c>
      <c r="H138" s="24">
        <v>32.007197262495986</v>
      </c>
      <c r="I138" s="24">
        <v>34.016343053525297</v>
      </c>
      <c r="J138" s="24">
        <v>54.874515533447266</v>
      </c>
      <c r="K138" s="24">
        <v>1.3198248147964478</v>
      </c>
      <c r="L138" s="24">
        <f t="shared" ref="L138:L157" si="49">((101.3*(-0.0043+0.01*EXP(0.0511*H138)))-C138)/(101.3*(0.0043+0.01*EXP(0.0511*H138)))</f>
        <v>0.81876883377309106</v>
      </c>
      <c r="M138" s="24">
        <f t="shared" ref="M138:M157" si="50">F138/1000</f>
        <v>0.54448261427896294</v>
      </c>
      <c r="N138" s="24">
        <f t="shared" ref="N138:N156" si="51">(L138*I138)/65</f>
        <v>0.42848494663323528</v>
      </c>
      <c r="O138" s="24">
        <f t="shared" ref="O138:O156" si="52">I138/60.28</f>
        <v>0.56430562464375078</v>
      </c>
      <c r="P138" s="24">
        <f t="shared" ref="P138:P156" si="53">I138/((65-4.72)*9.87)</f>
        <v>5.7173822152355711E-2</v>
      </c>
      <c r="Q138" s="24">
        <f t="shared" ref="Q138:Q156" si="54">(L138*I138)/(65*9.87)</f>
        <v>4.3412861867602362E-2</v>
      </c>
    </row>
    <row r="139" spans="2:17">
      <c r="C139" s="26">
        <v>0.2</v>
      </c>
      <c r="D139" s="24">
        <v>0.59050921213130136</v>
      </c>
      <c r="E139" s="24">
        <v>3.6785215163786766</v>
      </c>
      <c r="F139" s="24">
        <v>533.7874716855714</v>
      </c>
      <c r="G139" s="24">
        <v>0.69809472560882568</v>
      </c>
      <c r="H139" s="24">
        <v>31.974315525248745</v>
      </c>
      <c r="I139" s="24">
        <v>34.014612740935966</v>
      </c>
      <c r="J139" s="24">
        <v>54.672519683837891</v>
      </c>
      <c r="K139" s="24">
        <v>1.3402832746505737</v>
      </c>
      <c r="L139" s="24">
        <f t="shared" si="49"/>
        <v>0.80960027756459207</v>
      </c>
      <c r="M139" s="24">
        <f t="shared" si="50"/>
        <v>0.53378747168557139</v>
      </c>
      <c r="N139" s="24">
        <f t="shared" si="51"/>
        <v>0.42366522948175184</v>
      </c>
      <c r="O139" s="24">
        <f t="shared" si="52"/>
        <v>0.56427692005534114</v>
      </c>
      <c r="P139" s="24">
        <f t="shared" si="53"/>
        <v>5.7170913886052811E-2</v>
      </c>
      <c r="Q139" s="24">
        <f t="shared" si="54"/>
        <v>4.2924541994098467E-2</v>
      </c>
    </row>
    <row r="140" spans="2:17">
      <c r="C140" s="24">
        <v>0.25</v>
      </c>
      <c r="D140" s="24">
        <v>0.59050921213130136</v>
      </c>
      <c r="E140" s="24">
        <v>3.6785215163786766</v>
      </c>
      <c r="F140" s="24">
        <v>498.11100995755646</v>
      </c>
      <c r="G140" s="24">
        <v>0.74809473752975464</v>
      </c>
      <c r="H140" s="24">
        <v>31.974315525248745</v>
      </c>
      <c r="I140" s="24">
        <v>33.903215374072893</v>
      </c>
      <c r="J140" s="24">
        <v>53.968524932861328</v>
      </c>
      <c r="K140" s="24">
        <v>1.2736470699310303</v>
      </c>
      <c r="L140" s="24">
        <f t="shared" si="49"/>
        <v>0.8007128953115904</v>
      </c>
      <c r="M140" s="24">
        <f t="shared" si="50"/>
        <v>0.49811100995755647</v>
      </c>
      <c r="N140" s="24">
        <f t="shared" si="51"/>
        <v>0.41764218065455888</v>
      </c>
      <c r="O140" s="24">
        <f t="shared" si="52"/>
        <v>0.56242892126862798</v>
      </c>
      <c r="P140" s="24">
        <f t="shared" si="53"/>
        <v>5.6983679966426344E-2</v>
      </c>
      <c r="Q140" s="24">
        <f t="shared" si="54"/>
        <v>4.2314304017685808E-2</v>
      </c>
    </row>
    <row r="141" spans="2:17">
      <c r="C141" s="24">
        <f t="shared" ref="C141:C156" si="55">C140+0.25</f>
        <v>0.5</v>
      </c>
      <c r="D141" s="24">
        <v>0.63539328373998238</v>
      </c>
      <c r="E141" s="24">
        <v>3.9500902189301246</v>
      </c>
      <c r="F141" s="24">
        <v>407.42457834767004</v>
      </c>
      <c r="G141" s="24">
        <v>0.98213058710098267</v>
      </c>
      <c r="H141" s="24">
        <v>31.914032340295474</v>
      </c>
      <c r="I141" s="24">
        <v>33.57151173304549</v>
      </c>
      <c r="J141" s="24">
        <v>51.6455078125</v>
      </c>
      <c r="K141" s="24">
        <v>1.1577906608581543</v>
      </c>
      <c r="L141" s="24">
        <f t="shared" si="49"/>
        <v>0.75558242664652364</v>
      </c>
      <c r="M141" s="24">
        <f t="shared" si="50"/>
        <v>0.40742457834767004</v>
      </c>
      <c r="N141" s="24">
        <f t="shared" si="51"/>
        <v>0.3902468354068731</v>
      </c>
      <c r="O141" s="24">
        <f t="shared" si="52"/>
        <v>0.5569262065866869</v>
      </c>
      <c r="P141" s="24">
        <f t="shared" si="53"/>
        <v>5.6426160748397874E-2</v>
      </c>
      <c r="Q141" s="24">
        <f t="shared" si="54"/>
        <v>3.9538686464728787E-2</v>
      </c>
    </row>
    <row r="142" spans="2:17">
      <c r="C142" s="24">
        <f t="shared" si="55"/>
        <v>0.75</v>
      </c>
      <c r="D142" s="24">
        <v>0.66000185514051046</v>
      </c>
      <c r="E142" s="24">
        <v>4.0982186021400056</v>
      </c>
      <c r="F142" s="24">
        <v>339.32872453044519</v>
      </c>
      <c r="G142" s="24">
        <v>1.2234435081481934</v>
      </c>
      <c r="H142" s="24">
        <v>31.881150603048233</v>
      </c>
      <c r="I142" s="24">
        <v>33.154668421883962</v>
      </c>
      <c r="J142" s="24">
        <v>49.164516448974609</v>
      </c>
      <c r="K142" s="24">
        <v>1.0169746875762939</v>
      </c>
      <c r="L142" s="24">
        <f t="shared" si="49"/>
        <v>0.71057088428016635</v>
      </c>
      <c r="M142" s="24">
        <f t="shared" si="50"/>
        <v>0.33932872453044516</v>
      </c>
      <c r="N142" s="24">
        <f t="shared" si="51"/>
        <v>0.36244218551621221</v>
      </c>
      <c r="O142" s="24">
        <f t="shared" si="52"/>
        <v>0.55001108861784942</v>
      </c>
      <c r="P142" s="24">
        <f t="shared" si="53"/>
        <v>5.5725540893399136E-2</v>
      </c>
      <c r="Q142" s="24">
        <f t="shared" si="54"/>
        <v>3.6721599343081279E-2</v>
      </c>
    </row>
    <row r="143" spans="2:17">
      <c r="C143" s="24">
        <f t="shared" si="55"/>
        <v>1</v>
      </c>
      <c r="D143" s="24">
        <v>0.70538212882241114</v>
      </c>
      <c r="E143" s="24">
        <v>4.369787304691453</v>
      </c>
      <c r="F143" s="24">
        <v>303.69995380179211</v>
      </c>
      <c r="G143" s="24">
        <v>1.4575551748275757</v>
      </c>
      <c r="H143" s="24">
        <v>31.820867418094963</v>
      </c>
      <c r="I143" s="24">
        <v>32.877882722242617</v>
      </c>
      <c r="J143" s="24">
        <v>47.454502105712891</v>
      </c>
      <c r="K143" s="24">
        <v>0.9641004204750061</v>
      </c>
      <c r="L143" s="24">
        <f t="shared" si="49"/>
        <v>0.66498813140301927</v>
      </c>
      <c r="M143" s="24">
        <f t="shared" si="50"/>
        <v>0.3036999538017921</v>
      </c>
      <c r="N143" s="24">
        <f t="shared" si="51"/>
        <v>0.33636002763002665</v>
      </c>
      <c r="O143" s="24">
        <f t="shared" si="52"/>
        <v>0.54541942140415756</v>
      </c>
      <c r="P143" s="24">
        <f t="shared" si="53"/>
        <v>5.5260326383399963E-2</v>
      </c>
      <c r="Q143" s="24">
        <f t="shared" si="54"/>
        <v>3.4079030155017898E-2</v>
      </c>
    </row>
    <row r="144" spans="2:17">
      <c r="C144" s="24">
        <f t="shared" si="55"/>
        <v>1.25</v>
      </c>
      <c r="D144" s="24">
        <v>0.73029471349135855</v>
      </c>
      <c r="E144" s="24">
        <v>4.5179156879013336</v>
      </c>
      <c r="F144" s="24">
        <v>269.38743317331631</v>
      </c>
      <c r="G144" s="24">
        <v>1.6989095211029053</v>
      </c>
      <c r="H144" s="24">
        <v>31.787985680847726</v>
      </c>
      <c r="I144" s="24">
        <v>32.493206772046854</v>
      </c>
      <c r="J144" s="24">
        <v>45.450527191162109</v>
      </c>
      <c r="K144" s="24">
        <v>0.88726717233657837</v>
      </c>
      <c r="L144" s="24">
        <f t="shared" si="49"/>
        <v>0.6196399262766763</v>
      </c>
      <c r="M144" s="24">
        <f t="shared" si="50"/>
        <v>0.26938743317331632</v>
      </c>
      <c r="N144" s="24">
        <f t="shared" si="51"/>
        <v>0.30975520382652172</v>
      </c>
      <c r="O144" s="24">
        <f t="shared" si="52"/>
        <v>0.53903793583355764</v>
      </c>
      <c r="P144" s="24">
        <f t="shared" si="53"/>
        <v>5.4613772627513442E-2</v>
      </c>
      <c r="Q144" s="24">
        <f t="shared" si="54"/>
        <v>3.1383505960133916E-2</v>
      </c>
    </row>
    <row r="145" spans="2:53">
      <c r="C145" s="24">
        <f t="shared" si="55"/>
        <v>1.5</v>
      </c>
      <c r="D145" s="24">
        <v>0.75533213549741074</v>
      </c>
      <c r="E145" s="24">
        <v>4.666044071111215</v>
      </c>
      <c r="F145" s="24">
        <v>243.60953009260172</v>
      </c>
      <c r="G145" s="24">
        <v>1.940278172492981</v>
      </c>
      <c r="H145" s="24">
        <v>31.755103943600485</v>
      </c>
      <c r="I145" s="24">
        <v>32.118912924682057</v>
      </c>
      <c r="J145" s="24">
        <v>43.630516052246094</v>
      </c>
      <c r="K145" s="24">
        <v>0.82515770196914673</v>
      </c>
      <c r="L145" s="24">
        <f t="shared" si="49"/>
        <v>0.57415200469192695</v>
      </c>
      <c r="M145" s="24">
        <f t="shared" si="50"/>
        <v>0.24360953009260172</v>
      </c>
      <c r="N145" s="24">
        <f t="shared" si="51"/>
        <v>0.28370981914202531</v>
      </c>
      <c r="O145" s="24">
        <f t="shared" si="52"/>
        <v>0.5328286815640686</v>
      </c>
      <c r="P145" s="24">
        <f t="shared" si="53"/>
        <v>5.3984668851476056E-2</v>
      </c>
      <c r="Q145" s="24">
        <f t="shared" si="54"/>
        <v>2.8744662527054238E-2</v>
      </c>
    </row>
    <row r="146" spans="2:53">
      <c r="C146" s="24">
        <f t="shared" si="55"/>
        <v>1.75</v>
      </c>
      <c r="D146" s="24">
        <v>0.78050450098398538</v>
      </c>
      <c r="E146" s="24">
        <v>4.8141724543210955</v>
      </c>
      <c r="F146" s="24">
        <v>223.53407187428078</v>
      </c>
      <c r="G146" s="24">
        <v>2.1816613674163818</v>
      </c>
      <c r="H146" s="24">
        <v>31.722222206353244</v>
      </c>
      <c r="I146" s="24">
        <v>31.755865223883465</v>
      </c>
      <c r="J146" s="24">
        <v>41.975498199462891</v>
      </c>
      <c r="K146" s="24">
        <v>0.7694888710975647</v>
      </c>
      <c r="L146" s="24">
        <f t="shared" si="49"/>
        <v>0.52852407012813396</v>
      </c>
      <c r="M146" s="24">
        <f t="shared" si="50"/>
        <v>0.22353407187428079</v>
      </c>
      <c r="N146" s="24">
        <f t="shared" si="51"/>
        <v>0.25821137136257472</v>
      </c>
      <c r="O146" s="24">
        <f t="shared" si="52"/>
        <v>0.52680599243336867</v>
      </c>
      <c r="P146" s="24">
        <f t="shared" si="53"/>
        <v>5.337446731847708E-2</v>
      </c>
      <c r="Q146" s="24">
        <f t="shared" si="54"/>
        <v>2.6161233167434114E-2</v>
      </c>
    </row>
    <row r="147" spans="2:53">
      <c r="C147" s="24">
        <f t="shared" si="55"/>
        <v>2</v>
      </c>
      <c r="D147" s="24">
        <v>0.81005678039066731</v>
      </c>
      <c r="E147" s="24">
        <v>4.9869889013992905</v>
      </c>
      <c r="F147" s="24">
        <v>208.61264135343305</v>
      </c>
      <c r="G147" s="24">
        <v>2.4216268062591553</v>
      </c>
      <c r="H147" s="24">
        <v>31.6838601795648</v>
      </c>
      <c r="I147" s="24">
        <v>31.437335250358622</v>
      </c>
      <c r="J147" s="24">
        <v>40.575496673583984</v>
      </c>
      <c r="K147" s="24">
        <v>0.73949503898620605</v>
      </c>
      <c r="L147" s="24">
        <f t="shared" si="49"/>
        <v>0.48262232602203231</v>
      </c>
      <c r="M147" s="24">
        <f t="shared" si="50"/>
        <v>0.20861264135343305</v>
      </c>
      <c r="N147" s="24">
        <f t="shared" si="51"/>
        <v>0.23342092096096165</v>
      </c>
      <c r="O147" s="24">
        <f t="shared" si="52"/>
        <v>0.52152181901722994</v>
      </c>
      <c r="P147" s="24">
        <f t="shared" si="53"/>
        <v>5.2839090072667683E-2</v>
      </c>
      <c r="Q147" s="24">
        <f t="shared" si="54"/>
        <v>2.3649536064940392E-2</v>
      </c>
    </row>
    <row r="148" spans="2:53">
      <c r="C148" s="24">
        <f t="shared" si="55"/>
        <v>2.25</v>
      </c>
      <c r="D148" s="24">
        <v>0.83129776506128472</v>
      </c>
      <c r="E148" s="24">
        <v>5.1104292207408575</v>
      </c>
      <c r="F148" s="24">
        <v>194.29238198377666</v>
      </c>
      <c r="G148" s="24">
        <v>2.6644713878631592</v>
      </c>
      <c r="H148" s="24">
        <v>31.656458731858766</v>
      </c>
      <c r="I148" s="24">
        <v>31.063841717706651</v>
      </c>
      <c r="J148" s="24">
        <v>39.086513519287109</v>
      </c>
      <c r="K148" s="24">
        <v>0.70096230506896973</v>
      </c>
      <c r="L148" s="24">
        <f t="shared" si="49"/>
        <v>0.43684697375120729</v>
      </c>
      <c r="M148" s="24">
        <f t="shared" si="50"/>
        <v>0.19429238198377666</v>
      </c>
      <c r="N148" s="24">
        <f t="shared" si="51"/>
        <v>0.20877146534564084</v>
      </c>
      <c r="O148" s="24">
        <f t="shared" si="52"/>
        <v>0.5153258413687235</v>
      </c>
      <c r="P148" s="24">
        <f t="shared" si="53"/>
        <v>5.2211331445666011E-2</v>
      </c>
      <c r="Q148" s="24">
        <f t="shared" si="54"/>
        <v>2.1152124148494517E-2</v>
      </c>
    </row>
    <row r="149" spans="2:53">
      <c r="C149" s="24">
        <f t="shared" si="55"/>
        <v>2.5</v>
      </c>
      <c r="D149" s="24">
        <v>0.83982592147519797</v>
      </c>
      <c r="E149" s="24">
        <v>5.1598053484774837</v>
      </c>
      <c r="F149" s="24">
        <v>179.5185270441747</v>
      </c>
      <c r="G149" s="24">
        <v>2.911611795425415</v>
      </c>
      <c r="H149" s="24">
        <v>31.645498152776355</v>
      </c>
      <c r="I149" s="24">
        <v>30.58699667142027</v>
      </c>
      <c r="J149" s="24">
        <v>37.384502410888672</v>
      </c>
      <c r="K149" s="24">
        <v>0.65154361724853516</v>
      </c>
      <c r="L149" s="24">
        <f t="shared" si="49"/>
        <v>0.39142561539912085</v>
      </c>
      <c r="M149" s="24">
        <f t="shared" si="50"/>
        <v>0.1795185270441747</v>
      </c>
      <c r="N149" s="24">
        <f t="shared" si="51"/>
        <v>0.18419283069725445</v>
      </c>
      <c r="O149" s="24">
        <f t="shared" si="52"/>
        <v>0.50741533960551211</v>
      </c>
      <c r="P149" s="24">
        <f t="shared" si="53"/>
        <v>5.1409862168744901E-2</v>
      </c>
      <c r="Q149" s="24">
        <f t="shared" si="54"/>
        <v>1.8661887608637736E-2</v>
      </c>
    </row>
    <row r="150" spans="2:53">
      <c r="C150" s="24">
        <f t="shared" si="55"/>
        <v>2.75</v>
      </c>
      <c r="D150" s="24">
        <v>0.8655297974962316</v>
      </c>
      <c r="E150" s="24">
        <v>5.3079337316873643</v>
      </c>
      <c r="F150" s="24">
        <v>170.53165427809338</v>
      </c>
      <c r="G150" s="24">
        <v>3.153043270111084</v>
      </c>
      <c r="H150" s="24">
        <v>31.612616415529114</v>
      </c>
      <c r="I150" s="24">
        <v>30.266243102005667</v>
      </c>
      <c r="J150" s="24">
        <v>36.234508514404297</v>
      </c>
      <c r="K150" s="24">
        <v>0.62815874814987183</v>
      </c>
      <c r="L150" s="24">
        <f t="shared" si="49"/>
        <v>0.34528221184180097</v>
      </c>
      <c r="M150" s="24">
        <f t="shared" si="50"/>
        <v>0.17053165427809339</v>
      </c>
      <c r="N150" s="24">
        <f t="shared" si="51"/>
        <v>0.16077531326772565</v>
      </c>
      <c r="O150" s="24">
        <f t="shared" si="52"/>
        <v>0.50209427840089027</v>
      </c>
      <c r="P150" s="24">
        <f t="shared" si="53"/>
        <v>5.0870747558347557E-2</v>
      </c>
      <c r="Q150" s="24">
        <f t="shared" si="54"/>
        <v>1.6289292124389631E-2</v>
      </c>
    </row>
    <row r="151" spans="2:53">
      <c r="C151" s="24">
        <f t="shared" si="55"/>
        <v>3</v>
      </c>
      <c r="D151" s="24">
        <v>0.89575488518364721</v>
      </c>
      <c r="E151" s="24">
        <v>5.4807501787655593</v>
      </c>
      <c r="F151" s="24">
        <v>163.62788144879494</v>
      </c>
      <c r="G151" s="24">
        <v>3.3930647373199463</v>
      </c>
      <c r="H151" s="24">
        <v>31.57425438874067</v>
      </c>
      <c r="I151" s="24">
        <v>29.99780397239843</v>
      </c>
      <c r="J151" s="24">
        <v>35.286502838134766</v>
      </c>
      <c r="K151" s="24">
        <v>0.6201130747795105</v>
      </c>
      <c r="L151" s="24">
        <f t="shared" si="49"/>
        <v>0.29881659168843189</v>
      </c>
      <c r="M151" s="24">
        <f t="shared" si="50"/>
        <v>0.16362788144879495</v>
      </c>
      <c r="N151" s="24">
        <f t="shared" si="51"/>
        <v>0.13790525447953539</v>
      </c>
      <c r="O151" s="24">
        <f t="shared" si="52"/>
        <v>0.49764107452552137</v>
      </c>
      <c r="P151" s="24">
        <f t="shared" si="53"/>
        <v>5.0419561755371982E-2</v>
      </c>
      <c r="Q151" s="24">
        <f t="shared" si="54"/>
        <v>1.3972163574421013E-2</v>
      </c>
    </row>
    <row r="152" spans="2:53">
      <c r="C152" s="24">
        <f t="shared" si="55"/>
        <v>3.25</v>
      </c>
      <c r="D152" s="24">
        <v>0.90009441534285695</v>
      </c>
      <c r="E152" s="24">
        <v>5.5054382426338719</v>
      </c>
      <c r="F152" s="24">
        <v>153.14549733423885</v>
      </c>
      <c r="G152" s="24">
        <v>3.6416409015655518</v>
      </c>
      <c r="H152" s="24">
        <v>31.568774099199462</v>
      </c>
      <c r="I152" s="24">
        <v>29.495335522727697</v>
      </c>
      <c r="J152" s="24">
        <v>33.784511566162109</v>
      </c>
      <c r="K152" s="24">
        <v>0.58161956071853638</v>
      </c>
      <c r="L152" s="24">
        <f t="shared" si="49"/>
        <v>0.25334174086293665</v>
      </c>
      <c r="M152" s="24">
        <f t="shared" si="50"/>
        <v>0.15314549733423885</v>
      </c>
      <c r="N152" s="24">
        <f t="shared" si="51"/>
        <v>0.11495999459483462</v>
      </c>
      <c r="O152" s="24">
        <f t="shared" si="52"/>
        <v>0.48930549971346543</v>
      </c>
      <c r="P152" s="24">
        <f t="shared" si="53"/>
        <v>4.9575025300249799E-2</v>
      </c>
      <c r="Q152" s="24">
        <f t="shared" si="54"/>
        <v>1.1647415865738057E-2</v>
      </c>
    </row>
    <row r="153" spans="2:53">
      <c r="C153" s="24">
        <f t="shared" si="55"/>
        <v>3.5</v>
      </c>
      <c r="D153" s="24">
        <v>0.93063886370112159</v>
      </c>
      <c r="E153" s="24">
        <v>5.7029427535803805</v>
      </c>
      <c r="F153" s="24">
        <v>148.88371530477721</v>
      </c>
      <c r="G153" s="24">
        <v>3.8802638053894043</v>
      </c>
      <c r="H153" s="24">
        <v>31.52493178286981</v>
      </c>
      <c r="I153" s="24">
        <v>29.294154021259146</v>
      </c>
      <c r="J153" s="24">
        <v>33.109489440917969</v>
      </c>
      <c r="K153" s="24">
        <v>0.58523350954055786</v>
      </c>
      <c r="L153" s="24">
        <f t="shared" si="49"/>
        <v>0.20641201413302307</v>
      </c>
      <c r="M153" s="24">
        <f t="shared" si="50"/>
        <v>0.1488837153047772</v>
      </c>
      <c r="N153" s="24">
        <f t="shared" si="51"/>
        <v>9.3025620520786126E-2</v>
      </c>
      <c r="O153" s="24">
        <f t="shared" si="52"/>
        <v>0.48596804945685379</v>
      </c>
      <c r="P153" s="24">
        <f t="shared" si="53"/>
        <v>4.9236884443450236E-2</v>
      </c>
      <c r="Q153" s="24">
        <f t="shared" si="54"/>
        <v>9.4250881986612089E-3</v>
      </c>
    </row>
    <row r="154" spans="2:53">
      <c r="C154" s="24">
        <f t="shared" si="55"/>
        <v>3.75</v>
      </c>
      <c r="D154" s="24">
        <v>0.93502624615893282</v>
      </c>
      <c r="E154" s="24">
        <v>5.7276308174486941</v>
      </c>
      <c r="F154" s="24">
        <v>140.52579037770502</v>
      </c>
      <c r="G154" s="24">
        <v>4.1288433074951172</v>
      </c>
      <c r="H154" s="24">
        <v>31.519451493328603</v>
      </c>
      <c r="I154" s="24">
        <v>28.802344673254858</v>
      </c>
      <c r="J154" s="24">
        <v>31.780519485473633</v>
      </c>
      <c r="K154" s="24">
        <v>0.55106168985366821</v>
      </c>
      <c r="L154" s="24">
        <f t="shared" si="49"/>
        <v>0.16080810498842041</v>
      </c>
      <c r="M154" s="24">
        <f t="shared" si="50"/>
        <v>0.14052579037770502</v>
      </c>
      <c r="N154" s="24">
        <f t="shared" si="51"/>
        <v>7.1256161017375974E-2</v>
      </c>
      <c r="O154" s="24">
        <f t="shared" si="52"/>
        <v>0.47780930114888615</v>
      </c>
      <c r="P154" s="24">
        <f t="shared" si="53"/>
        <v>4.8410263540920588E-2</v>
      </c>
      <c r="Q154" s="24">
        <f t="shared" si="54"/>
        <v>7.2194692013552164E-3</v>
      </c>
    </row>
    <row r="155" spans="2:53">
      <c r="C155" s="24">
        <f t="shared" si="55"/>
        <v>4</v>
      </c>
      <c r="D155" s="24">
        <v>0.96148953165401629</v>
      </c>
      <c r="E155" s="24">
        <v>5.8757592006585737</v>
      </c>
      <c r="F155" s="24">
        <v>136.19438747786981</v>
      </c>
      <c r="G155" s="24">
        <v>4.3703298568725586</v>
      </c>
      <c r="H155" s="24">
        <v>31.486569756081366</v>
      </c>
      <c r="I155" s="24">
        <v>28.539082170790472</v>
      </c>
      <c r="J155" s="24">
        <v>31.03752326965332</v>
      </c>
      <c r="K155" s="24">
        <v>0.54728871583938599</v>
      </c>
      <c r="L155" s="24">
        <f t="shared" si="49"/>
        <v>0.11403914720484744</v>
      </c>
      <c r="M155" s="24">
        <f t="shared" si="50"/>
        <v>0.1361943874778698</v>
      </c>
      <c r="N155" s="24">
        <f t="shared" si="51"/>
        <v>5.0070347581015563E-2</v>
      </c>
      <c r="O155" s="24">
        <f t="shared" si="52"/>
        <v>0.47344197363620555</v>
      </c>
      <c r="P155" s="24">
        <f t="shared" si="53"/>
        <v>4.7967778483911414E-2</v>
      </c>
      <c r="Q155" s="24">
        <f t="shared" si="54"/>
        <v>5.0729835441758421E-3</v>
      </c>
    </row>
    <row r="156" spans="2:53">
      <c r="C156" s="24">
        <f t="shared" si="55"/>
        <v>4.25</v>
      </c>
      <c r="D156" s="24">
        <v>0.97036328499137692</v>
      </c>
      <c r="E156" s="24">
        <v>5.9251353283952017</v>
      </c>
      <c r="F156" s="24">
        <v>129.98740204542619</v>
      </c>
      <c r="G156" s="24">
        <v>4.617495059967041</v>
      </c>
      <c r="H156" s="24">
        <v>31.475609176998951</v>
      </c>
      <c r="I156" s="24">
        <v>28.103420853971734</v>
      </c>
      <c r="J156" s="24">
        <v>29.958507537841797</v>
      </c>
      <c r="K156" s="24">
        <v>0.52933645248413086</v>
      </c>
      <c r="L156" s="24">
        <f t="shared" si="49"/>
        <v>6.8089163695673471E-2</v>
      </c>
      <c r="M156" s="24">
        <f t="shared" si="50"/>
        <v>0.12998740204542619</v>
      </c>
      <c r="N156" s="24">
        <f t="shared" si="51"/>
        <v>2.9439052660530537E-2</v>
      </c>
      <c r="O156" s="24">
        <f t="shared" si="52"/>
        <v>0.46621467906389735</v>
      </c>
      <c r="P156" s="24">
        <f t="shared" si="53"/>
        <v>4.7235529793707945E-2</v>
      </c>
      <c r="Q156" s="24">
        <f t="shared" si="54"/>
        <v>2.9826801074499028E-3</v>
      </c>
    </row>
    <row r="157" spans="2:53">
      <c r="B157">
        <v>35</v>
      </c>
      <c r="C157" s="26">
        <v>0.1</v>
      </c>
      <c r="D157" s="24">
        <v>0.70538212882241114</v>
      </c>
      <c r="E157" s="24">
        <v>4.3450992408231395</v>
      </c>
      <c r="F157" s="24">
        <v>787.40687971498232</v>
      </c>
      <c r="G157" s="24">
        <v>0.55899757146835327</v>
      </c>
      <c r="H157" s="24">
        <v>31.82634770763617</v>
      </c>
      <c r="I157" s="24">
        <v>27.505438511276356</v>
      </c>
      <c r="J157" s="24">
        <v>29.338506698608398</v>
      </c>
      <c r="K157" s="24">
        <v>1.0303663015365601</v>
      </c>
      <c r="L157" s="24">
        <f t="shared" si="49"/>
        <v>0.82616700246040053</v>
      </c>
      <c r="M157" s="24">
        <f t="shared" si="50"/>
        <v>0.78740687971498236</v>
      </c>
      <c r="N157" s="24">
        <f>(L157*I157)/35</f>
        <v>0.64925959103485853</v>
      </c>
      <c r="O157" s="24">
        <f>I157/30.28</f>
        <v>0.90836983194439747</v>
      </c>
      <c r="P157" s="24">
        <f>I157/((35-4.72)*9.87)</f>
        <v>9.203341762354586E-2</v>
      </c>
      <c r="Q157" s="24">
        <f>(L157*I157)/(35*9.87)</f>
        <v>6.5781113580026196E-2</v>
      </c>
      <c r="R157" s="24"/>
      <c r="S157" s="24"/>
      <c r="T157" s="24"/>
      <c r="U157" s="24"/>
      <c r="V157" s="24">
        <v>30</v>
      </c>
      <c r="W157" s="24"/>
      <c r="X157" s="24"/>
      <c r="Y157" s="24"/>
      <c r="Z157" s="24"/>
      <c r="AA157" s="24"/>
      <c r="AB157" s="24"/>
      <c r="AC157" s="24"/>
      <c r="AD157" s="24">
        <v>25</v>
      </c>
      <c r="AE157" s="24"/>
      <c r="AF157" s="24"/>
      <c r="AG157" s="24"/>
      <c r="AH157" s="24"/>
      <c r="AI157" s="24"/>
      <c r="AJ157" s="24"/>
      <c r="AK157" s="24"/>
      <c r="AL157" s="24">
        <v>20</v>
      </c>
      <c r="AM157" s="24"/>
      <c r="AN157" s="24"/>
      <c r="AO157" s="24"/>
      <c r="AP157" s="24"/>
      <c r="AQ157" s="24"/>
      <c r="AR157" s="24"/>
      <c r="AS157" s="24"/>
      <c r="AT157" s="24">
        <v>15</v>
      </c>
      <c r="AU157" s="24"/>
      <c r="AV157" s="24"/>
      <c r="AW157" s="24"/>
      <c r="AX157" s="24"/>
      <c r="AY157" s="24"/>
      <c r="AZ157" s="24"/>
      <c r="BA157" s="24"/>
    </row>
    <row r="158" spans="2:53">
      <c r="C158" s="26">
        <v>0.15</v>
      </c>
      <c r="D158" s="24">
        <v>0.73029471349135855</v>
      </c>
      <c r="E158" s="24">
        <v>4.5179156879013336</v>
      </c>
      <c r="F158" s="24">
        <v>764.16368108901611</v>
      </c>
      <c r="G158" s="24">
        <v>0.59890943765640259</v>
      </c>
      <c r="H158" s="24">
        <v>31.787985680847726</v>
      </c>
      <c r="I158" s="24">
        <v>27.470322344592212</v>
      </c>
      <c r="J158" s="24">
        <v>29.17449951171875</v>
      </c>
      <c r="K158" s="24">
        <v>1.0449540615081787</v>
      </c>
      <c r="L158" s="24">
        <f t="shared" ref="L158:L177" si="56">((101.3*(-0.0043+0.01*EXP(0.0511*H158)))-C158)/(101.3*(0.0043+0.01*EXP(0.0511*H158)))</f>
        <v>0.81688677995984127</v>
      </c>
      <c r="M158" s="24">
        <f t="shared" ref="M158:M177" si="57">F158/1000</f>
        <v>0.76416368108901611</v>
      </c>
      <c r="N158" s="24">
        <f t="shared" ref="N158:N176" si="58">(L158*I158)/35</f>
        <v>0.64114694755808033</v>
      </c>
      <c r="O158" s="24">
        <f>I158/30.28</f>
        <v>0.90721011706050891</v>
      </c>
      <c r="P158" s="24">
        <f t="shared" ref="P158:P176" si="59">I158/((35-4.72)*9.87)</f>
        <v>9.1915918648481171E-2</v>
      </c>
      <c r="Q158" s="24">
        <f t="shared" ref="Q158:Q176" si="60">(L158*I158)/(35*9.87)</f>
        <v>6.4959163886330329E-2</v>
      </c>
      <c r="R158" s="24" t="s">
        <v>238</v>
      </c>
      <c r="S158" s="24" t="s">
        <v>157</v>
      </c>
      <c r="T158" s="24" t="s">
        <v>160</v>
      </c>
      <c r="U158" s="24" t="s">
        <v>265</v>
      </c>
      <c r="V158" s="24" t="s">
        <v>154</v>
      </c>
      <c r="W158" s="24" t="s">
        <v>155</v>
      </c>
      <c r="X158" s="24" t="s">
        <v>156</v>
      </c>
      <c r="Y158" s="24" t="s">
        <v>159</v>
      </c>
      <c r="Z158" s="24" t="s">
        <v>238</v>
      </c>
      <c r="AA158" s="24" t="s">
        <v>157</v>
      </c>
      <c r="AB158" s="24" t="s">
        <v>160</v>
      </c>
      <c r="AC158" s="24" t="s">
        <v>265</v>
      </c>
      <c r="AD158" s="24" t="s">
        <v>154</v>
      </c>
      <c r="AE158" s="24" t="s">
        <v>155</v>
      </c>
      <c r="AF158" s="24" t="s">
        <v>156</v>
      </c>
      <c r="AG158" s="24" t="s">
        <v>159</v>
      </c>
      <c r="AH158" s="24" t="s">
        <v>238</v>
      </c>
      <c r="AI158" s="24" t="s">
        <v>157</v>
      </c>
      <c r="AJ158" s="24" t="s">
        <v>160</v>
      </c>
      <c r="AK158" s="24" t="s">
        <v>265</v>
      </c>
      <c r="AL158" s="24" t="s">
        <v>154</v>
      </c>
      <c r="AM158" s="24" t="s">
        <v>155</v>
      </c>
      <c r="AN158" s="24" t="s">
        <v>156</v>
      </c>
      <c r="AO158" s="24" t="s">
        <v>159</v>
      </c>
      <c r="AP158" s="24" t="s">
        <v>238</v>
      </c>
      <c r="AQ158" s="24" t="s">
        <v>157</v>
      </c>
      <c r="AR158" s="24" t="s">
        <v>160</v>
      </c>
      <c r="AS158" s="24" t="s">
        <v>265</v>
      </c>
      <c r="AT158" s="24" t="s">
        <v>154</v>
      </c>
      <c r="AU158" s="24" t="s">
        <v>155</v>
      </c>
      <c r="AV158" s="24" t="s">
        <v>156</v>
      </c>
      <c r="AW158" s="24" t="s">
        <v>159</v>
      </c>
      <c r="AX158" s="24" t="s">
        <v>238</v>
      </c>
      <c r="AY158" s="24" t="s">
        <v>157</v>
      </c>
      <c r="AZ158" s="24" t="s">
        <v>160</v>
      </c>
      <c r="BA158" s="24" t="s">
        <v>265</v>
      </c>
    </row>
    <row r="159" spans="2:53">
      <c r="C159" s="26">
        <v>0.2</v>
      </c>
      <c r="D159" s="24">
        <v>0.73029471349135855</v>
      </c>
      <c r="E159" s="24">
        <v>4.5179156879013336</v>
      </c>
      <c r="F159" s="24">
        <v>705.28307248793146</v>
      </c>
      <c r="G159" s="24">
        <v>0.64890944957733154</v>
      </c>
      <c r="H159" s="24">
        <v>31.787985680847726</v>
      </c>
      <c r="I159" s="24">
        <v>27.271603889435848</v>
      </c>
      <c r="J159" s="24">
        <v>28.73350715637207</v>
      </c>
      <c r="K159" s="24">
        <v>0.98743617534637451</v>
      </c>
      <c r="L159" s="24">
        <f t="shared" si="56"/>
        <v>0.80792101388333382</v>
      </c>
      <c r="M159" s="24">
        <f t="shared" si="57"/>
        <v>0.70528307248793143</v>
      </c>
      <c r="N159" s="24">
        <f t="shared" si="58"/>
        <v>0.6295229104165051</v>
      </c>
      <c r="O159" s="24">
        <f t="shared" ref="O159:O176" si="61">I159/30.28</f>
        <v>0.90064742039088008</v>
      </c>
      <c r="P159" s="24">
        <f t="shared" si="59"/>
        <v>9.1251005105458985E-2</v>
      </c>
      <c r="Q159" s="24">
        <f t="shared" si="60"/>
        <v>6.3781449890223427E-2</v>
      </c>
      <c r="AD159" s="24">
        <v>0.80159255667871032</v>
      </c>
      <c r="AE159" s="24">
        <v>4.9129247097943498</v>
      </c>
      <c r="AF159" s="24">
        <v>946.29325145658231</v>
      </c>
      <c r="AG159" s="24">
        <v>0.52592498064041138</v>
      </c>
      <c r="AH159" s="24">
        <v>31.700301048188418</v>
      </c>
      <c r="AI159" s="24">
        <v>22.929211758685764</v>
      </c>
      <c r="AJ159" s="24">
        <v>21.073513031005859</v>
      </c>
      <c r="AK159" s="24">
        <v>0.97706496715545654</v>
      </c>
      <c r="AL159" s="24">
        <v>0.8355594217123069</v>
      </c>
      <c r="AM159" s="24">
        <v>5.1104292207408575</v>
      </c>
      <c r="AN159" s="24">
        <v>1006.2494389481111</v>
      </c>
      <c r="AO159" s="24">
        <v>0.51447135210037231</v>
      </c>
      <c r="AP159" s="24">
        <v>31.656458731858766</v>
      </c>
      <c r="AQ159" s="24">
        <v>19.386175935800321</v>
      </c>
      <c r="AR159" s="24">
        <v>16.878503799438477</v>
      </c>
      <c r="AS159" s="24">
        <v>0.97442537546157837</v>
      </c>
      <c r="AT159" s="24">
        <v>0.89575488518364721</v>
      </c>
      <c r="AU159" s="24">
        <v>5.4560621148972457</v>
      </c>
      <c r="AV159" s="24">
        <v>1117.7175810491203</v>
      </c>
      <c r="AW159" s="24">
        <v>0.49448904395103455</v>
      </c>
      <c r="AX159" s="24">
        <v>31.579734678281874</v>
      </c>
      <c r="AY159" s="24">
        <v>14.787159025550134</v>
      </c>
      <c r="AZ159" s="24">
        <v>12.856508255004883</v>
      </c>
      <c r="BA159" s="24">
        <v>1.0919849872589111</v>
      </c>
    </row>
    <row r="160" spans="2:53">
      <c r="C160" s="24">
        <v>0.25</v>
      </c>
      <c r="D160" s="24">
        <v>0.75533213549741074</v>
      </c>
      <c r="E160" s="24">
        <v>4.666044071111215</v>
      </c>
      <c r="F160" s="24">
        <v>684.75326842756931</v>
      </c>
      <c r="G160" s="24">
        <v>0.69027823209762573</v>
      </c>
      <c r="H160" s="24">
        <v>31.755103943600485</v>
      </c>
      <c r="I160" s="24">
        <v>27.222552998414969</v>
      </c>
      <c r="J160" s="24">
        <v>28.556510925292969</v>
      </c>
      <c r="K160" s="24">
        <v>1.019029974937439</v>
      </c>
      <c r="L160" s="24">
        <f t="shared" si="56"/>
        <v>0.79864360555524883</v>
      </c>
      <c r="M160" s="24">
        <f t="shared" si="57"/>
        <v>0.68475326842756934</v>
      </c>
      <c r="N160" s="24">
        <f t="shared" si="58"/>
        <v>0.62117479654494234</v>
      </c>
      <c r="O160" s="24">
        <f t="shared" si="61"/>
        <v>0.89902750985518387</v>
      </c>
      <c r="P160" s="24">
        <f t="shared" si="59"/>
        <v>9.1086880431123007E-2</v>
      </c>
      <c r="Q160" s="24">
        <f t="shared" si="60"/>
        <v>6.2935643013671966E-2</v>
      </c>
      <c r="AD160" s="24">
        <v>0.81005678039066731</v>
      </c>
      <c r="AE160" s="24">
        <v>4.9869889013992905</v>
      </c>
      <c r="AF160" s="24">
        <v>883.76178718259075</v>
      </c>
      <c r="AG160" s="24">
        <v>0.57162684202194214</v>
      </c>
      <c r="AH160" s="24">
        <v>31.6838601795648</v>
      </c>
      <c r="AI160" s="24">
        <v>22.762333030660397</v>
      </c>
      <c r="AJ160" s="24">
        <v>20.825519561767578</v>
      </c>
      <c r="AK160" s="24">
        <v>0.9934309720993042</v>
      </c>
      <c r="AL160" s="24">
        <v>0.86123355585784656</v>
      </c>
      <c r="AM160" s="24">
        <v>5.2832456678190507</v>
      </c>
      <c r="AN160" s="24">
        <v>965.23240502302974</v>
      </c>
      <c r="AO160" s="24">
        <v>0.55447036027908325</v>
      </c>
      <c r="AP160" s="24">
        <v>31.618096705070322</v>
      </c>
      <c r="AQ160" s="24">
        <v>19.304148588064859</v>
      </c>
      <c r="AR160" s="24">
        <v>16.758510589599609</v>
      </c>
      <c r="AS160" s="24">
        <v>1.0086313486099243</v>
      </c>
      <c r="AT160" s="24">
        <v>0.90009441534285695</v>
      </c>
      <c r="AU160" s="24">
        <v>5.5054382426338719</v>
      </c>
      <c r="AV160" s="24">
        <v>1029.6507885543722</v>
      </c>
      <c r="AW160" s="24">
        <v>0.54164081811904907</v>
      </c>
      <c r="AX160" s="24">
        <v>31.568774099199462</v>
      </c>
      <c r="AY160" s="24">
        <v>14.590686688738547</v>
      </c>
      <c r="AZ160" s="24">
        <v>12.70350456237793</v>
      </c>
      <c r="BA160" s="24">
        <v>1.0837992429733276</v>
      </c>
    </row>
    <row r="161" spans="3:53">
      <c r="C161" s="24">
        <f t="shared" ref="C161:C176" si="62">C160+0.25</f>
        <v>0.5</v>
      </c>
      <c r="D161" s="24">
        <v>0.78050450098398538</v>
      </c>
      <c r="E161" s="24">
        <v>4.8141724543210955</v>
      </c>
      <c r="F161" s="24">
        <v>523.4472933775628</v>
      </c>
      <c r="G161" s="24">
        <v>0.93166148662567139</v>
      </c>
      <c r="H161" s="24">
        <v>31.722222206353244</v>
      </c>
      <c r="I161" s="24">
        <v>26.415458598290993</v>
      </c>
      <c r="J161" s="24">
        <v>26.821508407592773</v>
      </c>
      <c r="K161" s="24">
        <v>0.85891842842102051</v>
      </c>
      <c r="L161" s="24">
        <f t="shared" si="56"/>
        <v>0.75336361275391039</v>
      </c>
      <c r="M161" s="24">
        <f t="shared" si="57"/>
        <v>0.52344729337756279</v>
      </c>
      <c r="N161" s="24">
        <f t="shared" si="58"/>
        <v>0.56858415206170987</v>
      </c>
      <c r="O161" s="24">
        <f t="shared" si="61"/>
        <v>0.87237313732797195</v>
      </c>
      <c r="P161" s="24">
        <f t="shared" si="59"/>
        <v>8.8386336102124832E-2</v>
      </c>
      <c r="Q161" s="24">
        <f t="shared" si="60"/>
        <v>5.7607310239281652E-2</v>
      </c>
      <c r="AD161" s="24">
        <v>0.81005678039066731</v>
      </c>
      <c r="AE161" s="24">
        <v>4.9869889013992905</v>
      </c>
      <c r="AF161" s="24">
        <v>812.67719902038345</v>
      </c>
      <c r="AG161" s="24">
        <v>0.62162685394287109</v>
      </c>
      <c r="AH161" s="24">
        <v>31.6838601795648</v>
      </c>
      <c r="AI161" s="24">
        <v>22.523418288334987</v>
      </c>
      <c r="AJ161" s="24">
        <v>20.508512496948242</v>
      </c>
      <c r="AK161" s="24">
        <v>0.94752973318099976</v>
      </c>
      <c r="AL161" s="24">
        <v>0.8655297974962316</v>
      </c>
      <c r="AM161" s="24">
        <v>5.3079337316873643</v>
      </c>
      <c r="AN161" s="24">
        <v>891.63365613946678</v>
      </c>
      <c r="AO161" s="24">
        <v>0.60304325819015503</v>
      </c>
      <c r="AP161" s="24">
        <v>31.612616415529114</v>
      </c>
      <c r="AQ161" s="24">
        <v>19.080729336254901</v>
      </c>
      <c r="AR161" s="24">
        <v>16.532512664794922</v>
      </c>
      <c r="AS161" s="24">
        <v>0.95612955093383789</v>
      </c>
      <c r="AT161" s="24">
        <v>0.93063886370112159</v>
      </c>
      <c r="AU161" s="24">
        <v>5.678254689712066</v>
      </c>
      <c r="AV161" s="24">
        <v>988.86442489431386</v>
      </c>
      <c r="AW161" s="24">
        <v>0.58168458938598633</v>
      </c>
      <c r="AX161" s="24">
        <v>31.530412072411018</v>
      </c>
      <c r="AY161" s="24">
        <v>14.514585361572134</v>
      </c>
      <c r="AZ161" s="24">
        <v>12.621504783630371</v>
      </c>
      <c r="BA161" s="24">
        <v>1.1488633155822754</v>
      </c>
    </row>
    <row r="162" spans="3:53">
      <c r="C162" s="24">
        <f t="shared" si="62"/>
        <v>0.75</v>
      </c>
      <c r="D162" s="24">
        <v>0.8355594217123069</v>
      </c>
      <c r="E162" s="24">
        <v>5.1351172846091702</v>
      </c>
      <c r="F162" s="24">
        <v>447.26470885705396</v>
      </c>
      <c r="G162" s="24">
        <v>1.1630414724349976</v>
      </c>
      <c r="H162" s="24">
        <v>31.650978442317562</v>
      </c>
      <c r="I162" s="24">
        <v>25.8579066712228</v>
      </c>
      <c r="J162" s="24">
        <v>25.630510330200195</v>
      </c>
      <c r="K162" s="24">
        <v>0.81233787536621094</v>
      </c>
      <c r="L162" s="24">
        <f t="shared" si="56"/>
        <v>0.70741577602317052</v>
      </c>
      <c r="M162" s="24">
        <f t="shared" si="57"/>
        <v>0.44726470885705394</v>
      </c>
      <c r="N162" s="24">
        <f t="shared" si="58"/>
        <v>0.52263688897593696</v>
      </c>
      <c r="O162" s="24">
        <f t="shared" si="61"/>
        <v>0.85395992969692203</v>
      </c>
      <c r="P162" s="24">
        <f t="shared" si="59"/>
        <v>8.6520762887226155E-2</v>
      </c>
      <c r="Q162" s="24">
        <f t="shared" si="60"/>
        <v>5.2952065752374572E-2</v>
      </c>
      <c r="AD162" s="24">
        <v>0.8355594217123069</v>
      </c>
      <c r="AE162" s="24">
        <v>5.1351172846091702</v>
      </c>
      <c r="AF162" s="24">
        <v>784.54734093440732</v>
      </c>
      <c r="AG162" s="24">
        <v>0.66304141283035278</v>
      </c>
      <c r="AH162" s="24">
        <v>31.650978442317562</v>
      </c>
      <c r="AI162" s="24">
        <v>22.444998778263368</v>
      </c>
      <c r="AJ162" s="24">
        <v>20.363513946533203</v>
      </c>
      <c r="AK162" s="24">
        <v>0.94113820791244507</v>
      </c>
      <c r="AL162" s="24">
        <v>0.86983132689587239</v>
      </c>
      <c r="AM162" s="24">
        <v>5.3326217955556778</v>
      </c>
      <c r="AN162" s="24">
        <v>829.00682223365675</v>
      </c>
      <c r="AO162" s="24">
        <v>0.65161657333374023</v>
      </c>
      <c r="AP162" s="24">
        <v>31.607136125987907</v>
      </c>
      <c r="AQ162" s="24">
        <v>18.86059970770112</v>
      </c>
      <c r="AR162" s="24">
        <v>16.313503265380859</v>
      </c>
      <c r="AS162" s="24">
        <v>0.94399666786193848</v>
      </c>
      <c r="AT162" s="24">
        <v>0.93502624615893282</v>
      </c>
      <c r="AU162" s="24">
        <v>5.7029427535803805</v>
      </c>
      <c r="AV162" s="24">
        <v>916.61307405052878</v>
      </c>
      <c r="AW162" s="24">
        <v>0.63026386499404907</v>
      </c>
      <c r="AX162" s="24">
        <v>31.52493178286981</v>
      </c>
      <c r="AY162" s="24">
        <v>14.312096384129054</v>
      </c>
      <c r="AZ162" s="24">
        <v>12.470503807067871</v>
      </c>
      <c r="BA162" s="24">
        <v>1.0720659494400024</v>
      </c>
    </row>
    <row r="163" spans="3:53">
      <c r="C163" s="24">
        <f t="shared" si="62"/>
        <v>1</v>
      </c>
      <c r="D163" s="24">
        <v>0.8655297974962316</v>
      </c>
      <c r="E163" s="24">
        <v>5.3079337316873643</v>
      </c>
      <c r="F163" s="24">
        <v>383.23385573766654</v>
      </c>
      <c r="G163" s="24">
        <v>1.403043270111084</v>
      </c>
      <c r="H163" s="24">
        <v>31.612616415529114</v>
      </c>
      <c r="I163" s="24">
        <v>25.171808104323134</v>
      </c>
      <c r="J163" s="24">
        <v>24.354503631591797</v>
      </c>
      <c r="K163" s="24">
        <v>0.7611420750617981</v>
      </c>
      <c r="L163" s="24">
        <f t="shared" si="56"/>
        <v>0.66168629263227485</v>
      </c>
      <c r="M163" s="24">
        <f t="shared" si="57"/>
        <v>0.38323385573766655</v>
      </c>
      <c r="N163" s="24">
        <f t="shared" si="58"/>
        <v>0.47588115381144647</v>
      </c>
      <c r="O163" s="24">
        <f t="shared" si="61"/>
        <v>0.83130145654964116</v>
      </c>
      <c r="P163" s="24">
        <f t="shared" si="59"/>
        <v>8.4225071585576614E-2</v>
      </c>
      <c r="Q163" s="24">
        <f t="shared" si="60"/>
        <v>4.8214909200754455E-2</v>
      </c>
      <c r="AD163" s="24">
        <v>0.8655297974962316</v>
      </c>
      <c r="AE163" s="24">
        <v>5.3079337316873643</v>
      </c>
      <c r="AF163" s="24">
        <v>595.42404808663628</v>
      </c>
      <c r="AG163" s="24">
        <v>0.90304327011108398</v>
      </c>
      <c r="AH163" s="24">
        <v>31.612616415529114</v>
      </c>
      <c r="AI163" s="24">
        <v>21.504102882252528</v>
      </c>
      <c r="AJ163" s="24">
        <v>19.146518707275391</v>
      </c>
      <c r="AK163" s="24">
        <v>0.85289210081100464</v>
      </c>
      <c r="AL163" s="24">
        <v>0.93063886370112159</v>
      </c>
      <c r="AM163" s="24">
        <v>5.678254689712066</v>
      </c>
      <c r="AN163" s="24">
        <v>652.39565819502889</v>
      </c>
      <c r="AO163" s="24">
        <v>0.88168460130691528</v>
      </c>
      <c r="AP163" s="24">
        <v>31.530412072411018</v>
      </c>
      <c r="AQ163" s="24">
        <v>18.075310686710754</v>
      </c>
      <c r="AR163" s="24">
        <v>15.510505676269531</v>
      </c>
      <c r="AS163" s="24">
        <v>0.90175843238830566</v>
      </c>
      <c r="AT163" s="24">
        <v>0.97036328499137692</v>
      </c>
      <c r="AU163" s="24">
        <v>5.9004472645268882</v>
      </c>
      <c r="AV163" s="24">
        <v>687.88904744265494</v>
      </c>
      <c r="AW163" s="24">
        <v>0.86891239881515503</v>
      </c>
      <c r="AX163" s="24">
        <v>31.481089466540158</v>
      </c>
      <c r="AY163" s="24">
        <v>13.448895044425676</v>
      </c>
      <c r="AZ163" s="24">
        <v>11.831508636474609</v>
      </c>
      <c r="BA163" s="24">
        <v>1.0395891666412354</v>
      </c>
    </row>
    <row r="164" spans="3:53">
      <c r="C164" s="24">
        <f t="shared" si="62"/>
        <v>1.25</v>
      </c>
      <c r="D164" s="24">
        <v>0.90009441534285695</v>
      </c>
      <c r="E164" s="24">
        <v>5.5054382426338719</v>
      </c>
      <c r="F164" s="24">
        <v>339.72162992161111</v>
      </c>
      <c r="G164" s="24">
        <v>1.6416407823562622</v>
      </c>
      <c r="H164" s="24">
        <v>31.568774099199462</v>
      </c>
      <c r="I164" s="24">
        <v>24.560264599284604</v>
      </c>
      <c r="J164" s="24">
        <v>23.282510757446289</v>
      </c>
      <c r="K164" s="24">
        <v>0.71901684999465942</v>
      </c>
      <c r="L164" s="24">
        <f t="shared" si="56"/>
        <v>0.61569342612641142</v>
      </c>
      <c r="M164" s="24">
        <f t="shared" si="57"/>
        <v>0.33972162992161109</v>
      </c>
      <c r="N164" s="24">
        <f t="shared" si="58"/>
        <v>0.43204552736299295</v>
      </c>
      <c r="O164" s="24">
        <f t="shared" si="61"/>
        <v>0.81110517170688912</v>
      </c>
      <c r="P164" s="24">
        <f t="shared" si="59"/>
        <v>8.2178842118225862E-2</v>
      </c>
      <c r="Q164" s="24">
        <f t="shared" si="60"/>
        <v>4.377360966190405E-2</v>
      </c>
      <c r="AD164" s="24">
        <v>0.90009441534285695</v>
      </c>
      <c r="AE164" s="24">
        <v>5.5054382426338719</v>
      </c>
      <c r="AF164" s="24">
        <v>488.50819438499929</v>
      </c>
      <c r="AG164" s="24">
        <v>1.1416407823562622</v>
      </c>
      <c r="AH164" s="24">
        <v>31.568774099199462</v>
      </c>
      <c r="AI164" s="24">
        <v>20.671804027632376</v>
      </c>
      <c r="AJ164" s="24">
        <v>18.142520904541016</v>
      </c>
      <c r="AK164" s="24">
        <v>0.7807202935218811</v>
      </c>
      <c r="AL164" s="24">
        <v>0.95706273280331888</v>
      </c>
      <c r="AM164" s="24">
        <v>5.8263830729219475</v>
      </c>
      <c r="AN164" s="24">
        <v>525.48999594979148</v>
      </c>
      <c r="AO164" s="24">
        <v>1.1231662034988403</v>
      </c>
      <c r="AP164" s="24">
        <v>31.497530335163777</v>
      </c>
      <c r="AQ164" s="24">
        <v>17.184396033280212</v>
      </c>
      <c r="AR164" s="24">
        <v>14.700508117675781</v>
      </c>
      <c r="AS164" s="24">
        <v>0.85965901613235474</v>
      </c>
      <c r="AT164" s="24">
        <v>1.0061472849468667</v>
      </c>
      <c r="AU164" s="24">
        <v>6.0979517754733958</v>
      </c>
      <c r="AV164" s="24">
        <v>557.71953828944368</v>
      </c>
      <c r="AW164" s="24">
        <v>1.1075862646102905</v>
      </c>
      <c r="AX164" s="24">
        <v>31.437247150210506</v>
      </c>
      <c r="AY164" s="24">
        <v>12.713949591261086</v>
      </c>
      <c r="AZ164" s="24">
        <v>11.305507659912109</v>
      </c>
      <c r="BA164" s="24">
        <v>1.0809007883071899</v>
      </c>
    </row>
    <row r="165" spans="3:53">
      <c r="C165" s="24">
        <f t="shared" si="62"/>
        <v>1.5</v>
      </c>
      <c r="D165" s="24">
        <v>0.93063886370112159</v>
      </c>
      <c r="E165" s="24">
        <v>5.678254689712066</v>
      </c>
      <c r="F165" s="24">
        <v>305.6873624567757</v>
      </c>
      <c r="G165" s="24">
        <v>1.8816845417022705</v>
      </c>
      <c r="H165" s="24">
        <v>31.530412072411018</v>
      </c>
      <c r="I165" s="24">
        <v>23.955715673291209</v>
      </c>
      <c r="J165" s="24">
        <v>22.298511505126953</v>
      </c>
      <c r="K165" s="24">
        <v>0.6936604380607605</v>
      </c>
      <c r="L165" s="24">
        <f t="shared" si="56"/>
        <v>0.56962313994174874</v>
      </c>
      <c r="M165" s="24">
        <f t="shared" si="57"/>
        <v>0.30568736245677569</v>
      </c>
      <c r="N165" s="24">
        <f t="shared" si="58"/>
        <v>0.38987799946776863</v>
      </c>
      <c r="O165" s="24">
        <f t="shared" si="61"/>
        <v>0.79113988353009279</v>
      </c>
      <c r="P165" s="24">
        <f t="shared" si="59"/>
        <v>8.0156016568398464E-2</v>
      </c>
      <c r="Q165" s="24">
        <f t="shared" si="60"/>
        <v>3.9501317068669571E-2</v>
      </c>
      <c r="AD165" s="24">
        <v>0.93502624615893282</v>
      </c>
      <c r="AE165" s="24">
        <v>5.7029427535803805</v>
      </c>
      <c r="AF165" s="24">
        <v>418.54902862619264</v>
      </c>
      <c r="AG165" s="24">
        <v>1.3802639245986938</v>
      </c>
      <c r="AH165" s="24">
        <v>31.52493178286981</v>
      </c>
      <c r="AI165" s="24">
        <v>19.916671787082343</v>
      </c>
      <c r="AJ165" s="24">
        <v>17.288507461547852</v>
      </c>
      <c r="AK165" s="24">
        <v>0.74101525545120239</v>
      </c>
      <c r="AL165" s="24">
        <v>0.99267361510418117</v>
      </c>
      <c r="AM165" s="24">
        <v>6.0238875838684551</v>
      </c>
      <c r="AN165" s="24">
        <v>448.08789882211448</v>
      </c>
      <c r="AO165" s="24">
        <v>1.3618305921554565</v>
      </c>
      <c r="AP165" s="24">
        <v>31.453688018834125</v>
      </c>
      <c r="AQ165" s="24">
        <v>16.446009323325001</v>
      </c>
      <c r="AR165" s="24">
        <v>14.052508354187012</v>
      </c>
      <c r="AS165" s="24">
        <v>0.82770335674285889</v>
      </c>
      <c r="AT165" s="24">
        <v>1.0151675825917046</v>
      </c>
      <c r="AU165" s="24">
        <v>6.1473279032100221</v>
      </c>
      <c r="AV165" s="24">
        <v>459.65698684951496</v>
      </c>
      <c r="AW165" s="24">
        <v>1.3547587394714355</v>
      </c>
      <c r="AX165" s="24">
        <v>31.426286571128092</v>
      </c>
      <c r="AY165" s="24">
        <v>11.938678260671431</v>
      </c>
      <c r="AZ165" s="24">
        <v>10.79050350189209</v>
      </c>
      <c r="BA165" s="24">
        <v>1.0563127994537354</v>
      </c>
    </row>
    <row r="166" spans="3:53">
      <c r="C166" s="24">
        <f t="shared" si="62"/>
        <v>1.75</v>
      </c>
      <c r="D166" s="24">
        <v>0.95264254047866925</v>
      </c>
      <c r="E166" s="24">
        <v>5.8016950090536339</v>
      </c>
      <c r="F166" s="24">
        <v>276.62424425997403</v>
      </c>
      <c r="G166" s="24">
        <v>2.1245849132537842</v>
      </c>
      <c r="H166" s="24">
        <v>31.503010624704984</v>
      </c>
      <c r="I166" s="24">
        <v>23.314956902135815</v>
      </c>
      <c r="J166" s="24">
        <v>21.339509963989258</v>
      </c>
      <c r="K166" s="24">
        <v>0.65610116720199585</v>
      </c>
      <c r="L166" s="24">
        <f t="shared" si="56"/>
        <v>0.52363347883379008</v>
      </c>
      <c r="M166" s="24">
        <f t="shared" si="57"/>
        <v>0.27662424425997406</v>
      </c>
      <c r="N166" s="24">
        <f t="shared" si="58"/>
        <v>0.34881405690072176</v>
      </c>
      <c r="O166" s="24">
        <f t="shared" si="61"/>
        <v>0.76997876162932011</v>
      </c>
      <c r="P166" s="24">
        <f t="shared" si="59"/>
        <v>7.801203258655727E-2</v>
      </c>
      <c r="Q166" s="24">
        <f t="shared" si="60"/>
        <v>3.5340836565422674E-2</v>
      </c>
      <c r="AD166" s="24">
        <v>0.97036328499137692</v>
      </c>
      <c r="AE166" s="24">
        <v>5.9004472645268882</v>
      </c>
      <c r="AF166" s="24">
        <v>369.20794237040485</v>
      </c>
      <c r="AG166" s="24">
        <v>1.6189123392105103</v>
      </c>
      <c r="AH166" s="24">
        <v>31.481089466540158</v>
      </c>
      <c r="AI166" s="24">
        <v>19.233958098011925</v>
      </c>
      <c r="AJ166" s="24">
        <v>16.557502746582031</v>
      </c>
      <c r="AK166" s="24">
        <v>0.72942745685577393</v>
      </c>
      <c r="AL166" s="24">
        <v>1.0106535840118041</v>
      </c>
      <c r="AM166" s="24">
        <v>6.1226398393417085</v>
      </c>
      <c r="AN166" s="24">
        <v>386.14998559959048</v>
      </c>
      <c r="AO166" s="24">
        <v>1.6061723232269287</v>
      </c>
      <c r="AP166" s="24">
        <v>31.431766860669299</v>
      </c>
      <c r="AQ166" s="24">
        <v>15.671092778750957</v>
      </c>
      <c r="AR166" s="24">
        <v>13.422511100769043</v>
      </c>
      <c r="AS166" s="24">
        <v>0.83254003524780273</v>
      </c>
      <c r="AT166" s="24">
        <v>1.0424241979049065</v>
      </c>
      <c r="AU166" s="24">
        <v>6.3201443502882162</v>
      </c>
      <c r="AV166" s="24">
        <v>401.4300357808815</v>
      </c>
      <c r="AW166" s="24">
        <v>1.5948747396469116</v>
      </c>
      <c r="AX166" s="24">
        <v>31.387924544339647</v>
      </c>
      <c r="AY166" s="24">
        <v>11.372295808451081</v>
      </c>
      <c r="AZ166" s="24">
        <v>10.408506393432617</v>
      </c>
      <c r="BA166" s="24">
        <v>1.0391081571578979</v>
      </c>
    </row>
    <row r="167" spans="3:53">
      <c r="C167" s="24">
        <f t="shared" si="62"/>
        <v>2</v>
      </c>
      <c r="D167" s="24">
        <v>0.97036328499137692</v>
      </c>
      <c r="E167" s="24">
        <v>5.9251353283952017</v>
      </c>
      <c r="F167" s="24">
        <v>253.52372474954981</v>
      </c>
      <c r="G167" s="24">
        <v>2.3674952983856201</v>
      </c>
      <c r="H167" s="24">
        <v>31.475609176998951</v>
      </c>
      <c r="I167" s="24">
        <v>22.707447874798639</v>
      </c>
      <c r="J167" s="24">
        <v>20.483505249023438</v>
      </c>
      <c r="K167" s="24">
        <v>0.63551157712936401</v>
      </c>
      <c r="L167" s="24">
        <f t="shared" si="56"/>
        <v>0.47752593055111209</v>
      </c>
      <c r="M167" s="24">
        <f t="shared" si="57"/>
        <v>0.25352372474954982</v>
      </c>
      <c r="N167" s="24">
        <f t="shared" si="58"/>
        <v>0.30981129076725983</v>
      </c>
      <c r="O167" s="24">
        <f t="shared" si="61"/>
        <v>0.74991571581237249</v>
      </c>
      <c r="P167" s="24">
        <f t="shared" si="59"/>
        <v>7.5979302513918198E-2</v>
      </c>
      <c r="Q167" s="24">
        <f t="shared" si="60"/>
        <v>3.1389188527584579E-2</v>
      </c>
      <c r="AD167" s="24">
        <v>1.001648587718128</v>
      </c>
      <c r="AE167" s="24">
        <v>6.0979517754733958</v>
      </c>
      <c r="AF167" s="24">
        <v>332.54041431855694</v>
      </c>
      <c r="AG167" s="24">
        <v>1.8575862646102905</v>
      </c>
      <c r="AH167" s="24">
        <v>31.437247150210506</v>
      </c>
      <c r="AI167" s="24">
        <v>18.616685984090683</v>
      </c>
      <c r="AJ167" s="24">
        <v>15.926506996154785</v>
      </c>
      <c r="AK167" s="24">
        <v>0.72322678565979004</v>
      </c>
      <c r="AL167" s="24">
        <v>1.0333059824769641</v>
      </c>
      <c r="AM167" s="24">
        <v>6.2707682225515891</v>
      </c>
      <c r="AN167" s="24">
        <v>343.79495335746481</v>
      </c>
      <c r="AO167" s="24">
        <v>1.8476967811584473</v>
      </c>
      <c r="AP167" s="24">
        <v>31.398885123422058</v>
      </c>
      <c r="AQ167" s="24">
        <v>15.032553360113679</v>
      </c>
      <c r="AR167" s="24">
        <v>12.914518356323242</v>
      </c>
      <c r="AS167" s="24">
        <v>0.80891859531402588</v>
      </c>
      <c r="AT167" s="24">
        <v>1.0607626140251496</v>
      </c>
      <c r="AU167" s="24">
        <v>6.4188966057614696</v>
      </c>
      <c r="AV167" s="24">
        <v>353.5350692689733</v>
      </c>
      <c r="AW167" s="24">
        <v>1.8392354249954224</v>
      </c>
      <c r="AX167" s="24">
        <v>31.366003386174821</v>
      </c>
      <c r="AY167" s="24">
        <v>10.807431744905665</v>
      </c>
      <c r="AZ167" s="24">
        <v>10.045496940612793</v>
      </c>
      <c r="BA167" s="24">
        <v>1.0233700275421143</v>
      </c>
    </row>
    <row r="168" spans="3:53">
      <c r="C168" s="24">
        <f t="shared" si="62"/>
        <v>2.25</v>
      </c>
      <c r="D168" s="24">
        <v>0.99715739606163001</v>
      </c>
      <c r="E168" s="24">
        <v>6.0732637116050823</v>
      </c>
      <c r="F168" s="24">
        <v>235.8073810896984</v>
      </c>
      <c r="G168" s="24">
        <v>2.6090006828308105</v>
      </c>
      <c r="H168" s="24">
        <v>31.442727439751714</v>
      </c>
      <c r="I168" s="24">
        <v>22.172939390923833</v>
      </c>
      <c r="J168" s="24">
        <v>19.76051139831543</v>
      </c>
      <c r="K168" s="24">
        <v>0.62030571699142456</v>
      </c>
      <c r="L168" s="24">
        <f t="shared" si="56"/>
        <v>0.43115364970847991</v>
      </c>
      <c r="M168" s="24">
        <f t="shared" si="57"/>
        <v>0.2358073810896984</v>
      </c>
      <c r="N168" s="24">
        <f t="shared" si="58"/>
        <v>0.27314124980462084</v>
      </c>
      <c r="O168" s="24">
        <f t="shared" si="61"/>
        <v>0.73226352017582008</v>
      </c>
      <c r="P168" s="24">
        <f t="shared" si="59"/>
        <v>7.4190832844561322E-2</v>
      </c>
      <c r="Q168" s="24">
        <f t="shared" si="60"/>
        <v>2.7673885491856218E-2</v>
      </c>
      <c r="AD168" s="24">
        <v>1.0151675825917046</v>
      </c>
      <c r="AE168" s="24">
        <v>6.1720159670783366</v>
      </c>
      <c r="AF168" s="24">
        <v>297.25273559680556</v>
      </c>
      <c r="AG168" s="24">
        <v>2.1033456325531006</v>
      </c>
      <c r="AH168" s="24">
        <v>31.420806281586884</v>
      </c>
      <c r="AI168" s="24">
        <v>17.886495747907773</v>
      </c>
      <c r="AJ168" s="24">
        <v>15.247506141662598</v>
      </c>
      <c r="AK168" s="24">
        <v>0.71534377336502075</v>
      </c>
      <c r="AL168" s="24">
        <v>1.0469958891891562</v>
      </c>
      <c r="AM168" s="24">
        <v>6.3448324141565289</v>
      </c>
      <c r="AN168" s="24">
        <v>307.01814110035212</v>
      </c>
      <c r="AO168" s="24">
        <v>2.0934643745422363</v>
      </c>
      <c r="AP168" s="24">
        <v>31.38244425479844</v>
      </c>
      <c r="AQ168" s="24">
        <v>14.367460126896633</v>
      </c>
      <c r="AR168" s="24">
        <v>12.41651439666748</v>
      </c>
      <c r="AS168" s="24">
        <v>0.78661030530929565</v>
      </c>
      <c r="AT168" s="24">
        <v>1.0699846364725729</v>
      </c>
      <c r="AU168" s="24">
        <v>6.4682727334980967</v>
      </c>
      <c r="AV168" s="24">
        <v>314.04827850965029</v>
      </c>
      <c r="AW168" s="24">
        <v>2.0864181518554687</v>
      </c>
      <c r="AX168" s="24">
        <v>31.355042807092406</v>
      </c>
      <c r="AY168" s="24">
        <v>10.259723359654361</v>
      </c>
      <c r="AZ168" s="24">
        <v>9.7065010070800781</v>
      </c>
      <c r="BA168" s="24">
        <v>1.0092099905014038</v>
      </c>
    </row>
    <row r="169" spans="3:53">
      <c r="C169" s="24">
        <f t="shared" si="62"/>
        <v>2.5</v>
      </c>
      <c r="D169" s="24">
        <v>1.0151675825917046</v>
      </c>
      <c r="E169" s="24">
        <v>6.1720159670783366</v>
      </c>
      <c r="F169" s="24">
        <v>219.12004956191694</v>
      </c>
      <c r="G169" s="24">
        <v>2.8533456325531006</v>
      </c>
      <c r="H169" s="24">
        <v>31.420806281586884</v>
      </c>
      <c r="I169" s="24">
        <v>21.591733778126713</v>
      </c>
      <c r="J169" s="24">
        <v>19.030500411987305</v>
      </c>
      <c r="K169" s="24">
        <v>0.60468780994415283</v>
      </c>
      <c r="L169" s="24">
        <f t="shared" si="56"/>
        <v>0.38495634049709787</v>
      </c>
      <c r="M169" s="24">
        <f t="shared" si="57"/>
        <v>0.21912004956191694</v>
      </c>
      <c r="N169" s="24">
        <f t="shared" si="58"/>
        <v>0.2374821377204353</v>
      </c>
      <c r="O169" s="24">
        <f t="shared" si="61"/>
        <v>0.71306914723007631</v>
      </c>
      <c r="P169" s="24">
        <f t="shared" si="59"/>
        <v>7.2246114207707851E-2</v>
      </c>
      <c r="Q169" s="24">
        <f t="shared" si="60"/>
        <v>2.4061006861239648E-2</v>
      </c>
      <c r="AD169" s="24">
        <v>1.0333059824769641</v>
      </c>
      <c r="AE169" s="24">
        <v>6.2707682225515891</v>
      </c>
      <c r="AF169" s="24">
        <v>270.57532818720529</v>
      </c>
      <c r="AG169" s="24">
        <v>2.3476967811584473</v>
      </c>
      <c r="AH169" s="24">
        <v>31.398885123422058</v>
      </c>
      <c r="AI169" s="24">
        <v>17.243465225311436</v>
      </c>
      <c r="AJ169" s="24">
        <v>14.671504020690918</v>
      </c>
      <c r="AK169" s="24">
        <v>0.68990010023117065</v>
      </c>
      <c r="AL169" s="24">
        <v>1.0653691146800695</v>
      </c>
      <c r="AM169" s="24">
        <v>6.443584669629784</v>
      </c>
      <c r="AN169" s="24">
        <v>279.20596369786642</v>
      </c>
      <c r="AO169" s="24">
        <v>2.3378264904022217</v>
      </c>
      <c r="AP169" s="24">
        <v>31.360523096633614</v>
      </c>
      <c r="AQ169" s="24">
        <v>13.791756512876406</v>
      </c>
      <c r="AR169" s="24">
        <v>11.994511604309082</v>
      </c>
      <c r="AS169" s="24">
        <v>0.80447208881378174</v>
      </c>
      <c r="AT169" s="24">
        <v>1.0838886409310622</v>
      </c>
      <c r="AU169" s="24">
        <v>6.5423369251030374</v>
      </c>
      <c r="AV169" s="24">
        <v>284.16949665963159</v>
      </c>
      <c r="AW169" s="24">
        <v>2.3321952819824219</v>
      </c>
      <c r="AX169" s="24">
        <v>31.338601938468788</v>
      </c>
      <c r="AY169" s="24">
        <v>9.7893824746070717</v>
      </c>
      <c r="AZ169" s="24">
        <v>9.4174985885620117</v>
      </c>
      <c r="BA169" s="24">
        <v>1.0706847906112671</v>
      </c>
    </row>
    <row r="170" spans="3:53">
      <c r="C170" s="24">
        <f t="shared" si="62"/>
        <v>2.75</v>
      </c>
      <c r="D170" s="24">
        <v>1.0333059824769641</v>
      </c>
      <c r="E170" s="24">
        <v>6.2707682225515891</v>
      </c>
      <c r="F170" s="24">
        <v>205.06488221586508</v>
      </c>
      <c r="G170" s="24">
        <v>3.0976967811584473</v>
      </c>
      <c r="H170" s="24">
        <v>31.398885123422058</v>
      </c>
      <c r="I170" s="24">
        <v>21.039767803735693</v>
      </c>
      <c r="J170" s="24">
        <v>18.370513916015625</v>
      </c>
      <c r="K170" s="24">
        <v>0.60490483045578003</v>
      </c>
      <c r="L170" s="24">
        <f t="shared" si="56"/>
        <v>0.33866437128338295</v>
      </c>
      <c r="M170" s="24">
        <f t="shared" si="57"/>
        <v>0.20506488221586508</v>
      </c>
      <c r="N170" s="24">
        <f t="shared" si="58"/>
        <v>0.20358342100572888</v>
      </c>
      <c r="O170" s="24">
        <f t="shared" si="61"/>
        <v>0.6948404162396199</v>
      </c>
      <c r="P170" s="24">
        <f t="shared" si="59"/>
        <v>7.0399231635219869E-2</v>
      </c>
      <c r="Q170" s="24">
        <f t="shared" si="60"/>
        <v>2.0626486424086009E-2</v>
      </c>
      <c r="AD170" s="24">
        <v>1.0561649854744704</v>
      </c>
      <c r="AE170" s="24">
        <v>6.394208541893156</v>
      </c>
      <c r="AF170" s="24">
        <v>250.02785353670166</v>
      </c>
      <c r="AG170" s="24">
        <v>2.5906445980072021</v>
      </c>
      <c r="AH170" s="24">
        <v>31.371483675716028</v>
      </c>
      <c r="AI170" s="24">
        <v>16.684808505251269</v>
      </c>
      <c r="AJ170" s="24">
        <v>14.184508323669434</v>
      </c>
      <c r="AK170" s="24">
        <v>0.69218266010284424</v>
      </c>
      <c r="AL170" s="24">
        <v>1.0699846364725729</v>
      </c>
      <c r="AM170" s="24">
        <v>6.4682727334980967</v>
      </c>
      <c r="AN170" s="24">
        <v>253.33723713239408</v>
      </c>
      <c r="AO170" s="24">
        <v>2.5864181518554687</v>
      </c>
      <c r="AP170" s="24">
        <v>31.355042807092406</v>
      </c>
      <c r="AQ170" s="24">
        <v>13.179073181214012</v>
      </c>
      <c r="AR170" s="24">
        <v>11.569510459899902</v>
      </c>
      <c r="AS170" s="24">
        <v>0.82519799470901489</v>
      </c>
      <c r="AT170" s="24">
        <v>1.0932050937754676</v>
      </c>
      <c r="AU170" s="24">
        <v>6.5917130528396637</v>
      </c>
      <c r="AV170" s="24">
        <v>258.87618588126338</v>
      </c>
      <c r="AW170" s="24">
        <v>2.5793819427490234</v>
      </c>
      <c r="AX170" s="24">
        <v>31.327641359386377</v>
      </c>
      <c r="AY170" s="24">
        <v>9.343750170031063</v>
      </c>
      <c r="AZ170" s="24">
        <v>9.1504850387573242</v>
      </c>
      <c r="BA170" s="24">
        <v>1.0598927736282349</v>
      </c>
    </row>
    <row r="171" spans="3:53">
      <c r="C171" s="24">
        <f t="shared" si="62"/>
        <v>3</v>
      </c>
      <c r="D171" s="24">
        <v>1.0469958891891562</v>
      </c>
      <c r="E171" s="24">
        <v>6.3448324141565289</v>
      </c>
      <c r="F171" s="24">
        <v>192.23519748065013</v>
      </c>
      <c r="G171" s="24">
        <v>3.3434643745422363</v>
      </c>
      <c r="H171" s="24">
        <v>31.38244425479844</v>
      </c>
      <c r="I171" s="24">
        <v>20.47702658796873</v>
      </c>
      <c r="J171" s="24">
        <v>17.735509872436523</v>
      </c>
      <c r="K171" s="24">
        <v>0.59342259168624878</v>
      </c>
      <c r="L171" s="24">
        <f t="shared" si="56"/>
        <v>0.29245999688300933</v>
      </c>
      <c r="M171" s="24">
        <f t="shared" si="57"/>
        <v>0.19223519748065013</v>
      </c>
      <c r="N171" s="24">
        <f t="shared" si="58"/>
        <v>0.17110603234544669</v>
      </c>
      <c r="O171" s="24">
        <f t="shared" si="61"/>
        <v>0.6762558318351628</v>
      </c>
      <c r="P171" s="24">
        <f t="shared" si="59"/>
        <v>6.8516295018760179E-2</v>
      </c>
      <c r="Q171" s="24">
        <f t="shared" si="60"/>
        <v>1.7335970855668358E-2</v>
      </c>
      <c r="AD171" s="24">
        <v>1.0653691146800695</v>
      </c>
      <c r="AE171" s="24">
        <v>6.443584669629784</v>
      </c>
      <c r="AF171" s="24">
        <v>230.0123370815669</v>
      </c>
      <c r="AG171" s="24">
        <v>2.8378264904022217</v>
      </c>
      <c r="AH171" s="24">
        <v>31.360523096633614</v>
      </c>
      <c r="AI171" s="24">
        <v>16.066074389452751</v>
      </c>
      <c r="AJ171" s="24">
        <v>13.679510116577148</v>
      </c>
      <c r="AK171" s="24">
        <v>0.69480746984481812</v>
      </c>
      <c r="AL171" s="24">
        <v>1.0885420734398328</v>
      </c>
      <c r="AM171" s="24">
        <v>6.5670249889713519</v>
      </c>
      <c r="AN171" s="24">
        <v>235.00154655420263</v>
      </c>
      <c r="AO171" s="24">
        <v>2.8307883739471436</v>
      </c>
      <c r="AP171" s="24">
        <v>31.33312164892758</v>
      </c>
      <c r="AQ171" s="24">
        <v>12.704828006713406</v>
      </c>
      <c r="AR171" s="24">
        <v>11.23851203918457</v>
      </c>
      <c r="AS171" s="24">
        <v>0.81129509210586548</v>
      </c>
      <c r="AT171" s="24">
        <v>1.0978778281385975</v>
      </c>
      <c r="AU171" s="24">
        <v>6.6164011167079773</v>
      </c>
      <c r="AV171" s="24">
        <v>237.00395280368323</v>
      </c>
      <c r="AW171" s="24">
        <v>2.8279757499694824</v>
      </c>
      <c r="AX171" s="24">
        <v>31.322161069845169</v>
      </c>
      <c r="AY171" s="24">
        <v>8.917876108160943</v>
      </c>
      <c r="AZ171" s="24">
        <v>8.9014911651611328</v>
      </c>
      <c r="BA171" s="24">
        <v>1.1342025995254517</v>
      </c>
    </row>
    <row r="172" spans="3:53">
      <c r="C172" s="24">
        <f t="shared" si="62"/>
        <v>3.25</v>
      </c>
      <c r="D172" s="24">
        <v>1.0607626140251496</v>
      </c>
      <c r="E172" s="24">
        <v>6.4188966057614696</v>
      </c>
      <c r="F172" s="24">
        <v>181.16232226167475</v>
      </c>
      <c r="G172" s="24">
        <v>3.5892355442047119</v>
      </c>
      <c r="H172" s="24">
        <v>31.366003386174821</v>
      </c>
      <c r="I172" s="24">
        <v>19.942518351210737</v>
      </c>
      <c r="J172" s="24">
        <v>17.15850830078125</v>
      </c>
      <c r="K172" s="24">
        <v>0.58449023962020874</v>
      </c>
      <c r="L172" s="24">
        <f t="shared" si="56"/>
        <v>0.24618457277434547</v>
      </c>
      <c r="M172" s="24">
        <f t="shared" si="57"/>
        <v>0.18116232226167475</v>
      </c>
      <c r="N172" s="24">
        <f t="shared" si="58"/>
        <v>0.14027258172392457</v>
      </c>
      <c r="O172" s="24">
        <f t="shared" si="61"/>
        <v>0.65860364435966767</v>
      </c>
      <c r="P172" s="24">
        <f t="shared" si="59"/>
        <v>6.6727826176258123E-2</v>
      </c>
      <c r="Q172" s="24">
        <f t="shared" si="60"/>
        <v>1.421201435906024E-2</v>
      </c>
      <c r="AD172" s="24">
        <v>1.0699846364725729</v>
      </c>
      <c r="AE172" s="24">
        <v>6.4682727334980967</v>
      </c>
      <c r="AF172" s="24">
        <v>212.29658338538127</v>
      </c>
      <c r="AG172" s="24">
        <v>3.0864181518554687</v>
      </c>
      <c r="AH172" s="24">
        <v>31.355042807092406</v>
      </c>
      <c r="AI172" s="24">
        <v>15.455057922271502</v>
      </c>
      <c r="AJ172" s="24">
        <v>13.202509880065918</v>
      </c>
      <c r="AK172" s="24">
        <v>0.67488068342208862</v>
      </c>
      <c r="AL172" s="24">
        <v>1.1072529533814897</v>
      </c>
      <c r="AM172" s="24">
        <v>6.6657772444446044</v>
      </c>
      <c r="AN172" s="24">
        <v>219.57952936995952</v>
      </c>
      <c r="AO172" s="24">
        <v>3.075164794921875</v>
      </c>
      <c r="AP172" s="24">
        <v>31.311200490762754</v>
      </c>
      <c r="AQ172" s="24">
        <v>12.273127795866746</v>
      </c>
      <c r="AR172" s="24">
        <v>10.942517280578613</v>
      </c>
      <c r="AS172" s="24">
        <v>0.84119135141372681</v>
      </c>
      <c r="AT172" s="24">
        <v>1.1166684977696801</v>
      </c>
      <c r="AU172" s="24">
        <v>6.7151533721812315</v>
      </c>
      <c r="AV172" s="24">
        <v>221.40831835495698</v>
      </c>
      <c r="AW172" s="24">
        <v>3.0723552703857422</v>
      </c>
      <c r="AX172" s="24">
        <v>31.300239911680343</v>
      </c>
      <c r="AY172" s="24">
        <v>8.5974242626244148</v>
      </c>
      <c r="AZ172" s="24">
        <v>8.708500862121582</v>
      </c>
      <c r="BA172" s="24">
        <v>1.1266021728515625</v>
      </c>
    </row>
    <row r="173" spans="3:53">
      <c r="C173" s="24">
        <f t="shared" si="62"/>
        <v>3.5</v>
      </c>
      <c r="D173" s="24">
        <v>1.0699846364725729</v>
      </c>
      <c r="E173" s="24">
        <v>6.4682727334980967</v>
      </c>
      <c r="F173" s="24">
        <v>170.79369413802229</v>
      </c>
      <c r="G173" s="24">
        <v>3.8364181518554687</v>
      </c>
      <c r="H173" s="24">
        <v>31.355042807092406</v>
      </c>
      <c r="I173" s="24">
        <v>19.393412973473552</v>
      </c>
      <c r="J173" s="24">
        <v>16.596508026123047</v>
      </c>
      <c r="K173" s="24">
        <v>0.59047824144363403</v>
      </c>
      <c r="L173" s="24">
        <f t="shared" si="56"/>
        <v>0.20004421185070298</v>
      </c>
      <c r="M173" s="24">
        <f t="shared" si="57"/>
        <v>0.17079369413802228</v>
      </c>
      <c r="N173" s="24">
        <f t="shared" si="58"/>
        <v>0.11084400038210614</v>
      </c>
      <c r="O173" s="24">
        <f t="shared" si="61"/>
        <v>0.64046938485711857</v>
      </c>
      <c r="P173" s="24">
        <f t="shared" si="59"/>
        <v>6.4890515183092065E-2</v>
      </c>
      <c r="Q173" s="24">
        <f t="shared" si="60"/>
        <v>1.123039517549201E-2</v>
      </c>
      <c r="AD173" s="24">
        <v>1.0932050937754676</v>
      </c>
      <c r="AE173" s="24">
        <v>6.5917130528396637</v>
      </c>
      <c r="AF173" s="24">
        <v>200.55991312082352</v>
      </c>
      <c r="AG173" s="24">
        <v>3.3293819427490234</v>
      </c>
      <c r="AH173" s="24">
        <v>31.327641359386377</v>
      </c>
      <c r="AI173" s="24">
        <v>15.023467653310998</v>
      </c>
      <c r="AJ173" s="24">
        <v>12.859501838684082</v>
      </c>
      <c r="AK173" s="24">
        <v>0.71273070573806763</v>
      </c>
      <c r="AL173" s="24">
        <v>1.1072529533814897</v>
      </c>
      <c r="AM173" s="24">
        <v>6.6657772444446044</v>
      </c>
      <c r="AN173" s="24">
        <v>203.07060846095374</v>
      </c>
      <c r="AO173" s="24">
        <v>3.325164794921875</v>
      </c>
      <c r="AP173" s="24">
        <v>31.311200490762754</v>
      </c>
      <c r="AQ173" s="24">
        <v>11.761740069141078</v>
      </c>
      <c r="AR173" s="24">
        <v>10.613506317138672</v>
      </c>
      <c r="AS173" s="24">
        <v>0.82774519920349121</v>
      </c>
      <c r="AT173" s="24">
        <v>1.1213917636445527</v>
      </c>
      <c r="AU173" s="24">
        <v>6.7398414360495451</v>
      </c>
      <c r="AV173" s="24">
        <v>205.58746091085979</v>
      </c>
      <c r="AW173" s="24">
        <v>3.3209512233734131</v>
      </c>
      <c r="AX173" s="24">
        <v>31.294759622139136</v>
      </c>
      <c r="AY173" s="24">
        <v>8.2405897701599642</v>
      </c>
      <c r="AZ173" s="24">
        <v>8.5045156478881836</v>
      </c>
      <c r="BA173" s="24">
        <v>1.1188468933105469</v>
      </c>
    </row>
    <row r="174" spans="3:53">
      <c r="C174" s="24">
        <f t="shared" si="62"/>
        <v>3.75</v>
      </c>
      <c r="D174" s="24">
        <v>1.0699846364725729</v>
      </c>
      <c r="E174" s="24">
        <v>6.4682727334980967</v>
      </c>
      <c r="F174" s="24">
        <v>160.34483110467576</v>
      </c>
      <c r="G174" s="24">
        <v>4.0864181518554687</v>
      </c>
      <c r="H174" s="24">
        <v>31.355042807092406</v>
      </c>
      <c r="I174" s="24">
        <v>18.786052819668313</v>
      </c>
      <c r="J174" s="24">
        <v>16.012489318847656</v>
      </c>
      <c r="K174" s="24">
        <v>0.56783491373062134</v>
      </c>
      <c r="L174" s="24">
        <f t="shared" si="56"/>
        <v>0.15429250475163034</v>
      </c>
      <c r="M174" s="24">
        <f t="shared" si="57"/>
        <v>0.16034483110467576</v>
      </c>
      <c r="N174" s="24">
        <f t="shared" si="58"/>
        <v>8.2815632684087204E-2</v>
      </c>
      <c r="O174" s="24">
        <f t="shared" si="61"/>
        <v>0.62041125560331278</v>
      </c>
      <c r="P174" s="24">
        <f t="shared" si="59"/>
        <v>6.2858283242483576E-2</v>
      </c>
      <c r="Q174" s="24">
        <f t="shared" si="60"/>
        <v>8.3906416093300108E-3</v>
      </c>
      <c r="AD174" s="24">
        <v>1.1025604046495283</v>
      </c>
      <c r="AE174" s="24">
        <v>6.6410891805762917</v>
      </c>
      <c r="AF174" s="24">
        <v>188.09706520712439</v>
      </c>
      <c r="AG174" s="24">
        <v>3.5765700340270996</v>
      </c>
      <c r="AH174" s="24">
        <v>31.316680780303962</v>
      </c>
      <c r="AI174" s="24">
        <v>14.523844107471124</v>
      </c>
      <c r="AJ174" s="24">
        <v>12.486510276794434</v>
      </c>
      <c r="AK174" s="24">
        <v>0.69737744331359863</v>
      </c>
      <c r="AL174" s="24">
        <v>1.1119556063944751</v>
      </c>
      <c r="AM174" s="24">
        <v>6.690465308312918</v>
      </c>
      <c r="AN174" s="24">
        <v>189.64456443819779</v>
      </c>
      <c r="AO174" s="24">
        <v>3.5737597942352295</v>
      </c>
      <c r="AP174" s="24">
        <v>31.305720201221547</v>
      </c>
      <c r="AQ174" s="24">
        <v>11.316242174881893</v>
      </c>
      <c r="AR174" s="24">
        <v>10.329505920410156</v>
      </c>
      <c r="AS174" s="24">
        <v>0.86224400997161865</v>
      </c>
      <c r="AT174" s="24">
        <v>1.1308699739390309</v>
      </c>
      <c r="AU174" s="24">
        <v>6.7892175637861731</v>
      </c>
      <c r="AV174" s="24">
        <v>192.74662061983366</v>
      </c>
      <c r="AW174" s="24">
        <v>3.5681443214416504</v>
      </c>
      <c r="AX174" s="24">
        <v>31.283799043056721</v>
      </c>
      <c r="AY174" s="24">
        <v>7.9341610664801792</v>
      </c>
      <c r="AZ174" s="24">
        <v>8.3285207748413086</v>
      </c>
      <c r="BA174" s="24">
        <v>1.2103308439254761</v>
      </c>
    </row>
    <row r="175" spans="3:53">
      <c r="C175" s="24">
        <f t="shared" si="62"/>
        <v>4</v>
      </c>
      <c r="D175" s="24">
        <v>1.0885420734398328</v>
      </c>
      <c r="E175" s="24">
        <v>6.5670249889713519</v>
      </c>
      <c r="F175" s="24">
        <v>153.60705335729807</v>
      </c>
      <c r="G175" s="24">
        <v>4.3307881355285645</v>
      </c>
      <c r="H175" s="24">
        <v>31.33312164892758</v>
      </c>
      <c r="I175" s="24">
        <v>18.374627650599159</v>
      </c>
      <c r="J175" s="24">
        <v>15.612506866455078</v>
      </c>
      <c r="K175" s="24">
        <v>0.58162790536880493</v>
      </c>
      <c r="L175" s="24">
        <f t="shared" si="56"/>
        <v>0.10762138128645411</v>
      </c>
      <c r="M175" s="24">
        <f t="shared" si="57"/>
        <v>0.15360705335729807</v>
      </c>
      <c r="N175" s="24">
        <f t="shared" si="58"/>
        <v>5.6500080239478702E-2</v>
      </c>
      <c r="O175" s="24">
        <f t="shared" si="61"/>
        <v>0.60682389863273312</v>
      </c>
      <c r="P175" s="24">
        <f t="shared" si="59"/>
        <v>6.1481651330570736E-2</v>
      </c>
      <c r="Q175" s="24">
        <f t="shared" si="60"/>
        <v>5.7244255561781868E-3</v>
      </c>
      <c r="AD175" s="24">
        <v>1.1072529533814897</v>
      </c>
      <c r="AE175" s="24">
        <v>6.6657772444446044</v>
      </c>
      <c r="AF175" s="24">
        <v>176.52657438602427</v>
      </c>
      <c r="AG175" s="24">
        <v>3.825164794921875</v>
      </c>
      <c r="AH175" s="24">
        <v>31.311200490762754</v>
      </c>
      <c r="AI175" s="24">
        <v>14.022578971696019</v>
      </c>
      <c r="AJ175" s="24">
        <v>12.125515937805176</v>
      </c>
      <c r="AK175" s="24">
        <v>0.71097862720489502</v>
      </c>
      <c r="AL175" s="24">
        <v>1.1213917636445527</v>
      </c>
      <c r="AM175" s="24">
        <v>6.7645294999178587</v>
      </c>
      <c r="AN175" s="24">
        <v>179.40523870721015</v>
      </c>
      <c r="AO175" s="24">
        <v>3.8195476531982422</v>
      </c>
      <c r="AP175" s="24">
        <v>31.289279332597928</v>
      </c>
      <c r="AQ175" s="24">
        <v>10.959520544364988</v>
      </c>
      <c r="AR175" s="24">
        <v>10.099504470825195</v>
      </c>
      <c r="AS175" s="24">
        <v>0.90389549732208252</v>
      </c>
      <c r="AT175" s="24">
        <v>1.1308699739390309</v>
      </c>
      <c r="AU175" s="24">
        <v>6.7892175637861731</v>
      </c>
      <c r="AV175" s="24">
        <v>180.1261818807439</v>
      </c>
      <c r="AW175" s="24">
        <v>3.8181443214416504</v>
      </c>
      <c r="AX175" s="24">
        <v>31.283799043056721</v>
      </c>
      <c r="AY175" s="24">
        <v>7.6125463541808394</v>
      </c>
      <c r="AZ175" s="24">
        <v>8.1505165100097656</v>
      </c>
      <c r="BA175" s="24">
        <v>1.203707218170166</v>
      </c>
    </row>
    <row r="176" spans="3:53">
      <c r="C176" s="24">
        <f t="shared" si="62"/>
        <v>4.25</v>
      </c>
      <c r="D176" s="24">
        <v>1.0978778281385975</v>
      </c>
      <c r="E176" s="24">
        <v>6.6410891805762917</v>
      </c>
      <c r="F176" s="24">
        <v>146.99705750251229</v>
      </c>
      <c r="G176" s="24">
        <v>4.5765700340270996</v>
      </c>
      <c r="H176" s="24">
        <v>31.316680780303962</v>
      </c>
      <c r="I176" s="24">
        <v>17.945655207256127</v>
      </c>
      <c r="J176" s="24">
        <v>15.21351432800293</v>
      </c>
      <c r="K176" s="24">
        <v>0.58161646127700806</v>
      </c>
      <c r="L176" s="24">
        <f t="shared" si="56"/>
        <v>6.1096938078888018E-2</v>
      </c>
      <c r="M176" s="24">
        <f t="shared" si="57"/>
        <v>0.1469970575025123</v>
      </c>
      <c r="N176" s="24">
        <f t="shared" si="58"/>
        <v>3.1326416713794339E-2</v>
      </c>
      <c r="O176" s="24">
        <f t="shared" si="61"/>
        <v>0.59265704119075713</v>
      </c>
      <c r="P176" s="24">
        <f t="shared" si="59"/>
        <v>6.0046306098354332E-2</v>
      </c>
      <c r="Q176" s="24">
        <f t="shared" si="60"/>
        <v>3.173902402613408E-3</v>
      </c>
      <c r="AD176" s="24">
        <v>1.1166684977696801</v>
      </c>
      <c r="AE176" s="24">
        <v>6.7398414360495451</v>
      </c>
      <c r="AF176" s="24">
        <v>167.71164619007814</v>
      </c>
      <c r="AG176" s="24">
        <v>4.0709514617919922</v>
      </c>
      <c r="AH176" s="24">
        <v>31.294759622139136</v>
      </c>
      <c r="AI176" s="24">
        <v>13.622591073851844</v>
      </c>
      <c r="AJ176" s="24">
        <v>11.836515426635742</v>
      </c>
      <c r="AK176" s="24">
        <v>0.72956424951553345</v>
      </c>
      <c r="AL176" s="24">
        <v>1.1261255422484671</v>
      </c>
      <c r="AM176" s="24">
        <v>6.7892175637861731</v>
      </c>
      <c r="AN176" s="24">
        <v>169.05687285509808</v>
      </c>
      <c r="AO176" s="24">
        <v>4.0681443214416504</v>
      </c>
      <c r="AP176" s="24">
        <v>31.283799043056721</v>
      </c>
      <c r="AQ176" s="24">
        <v>10.575019938854192</v>
      </c>
      <c r="AR176" s="24">
        <v>9.8615131378173828</v>
      </c>
      <c r="AS176" s="24">
        <v>0.89443743228912354</v>
      </c>
      <c r="AT176" s="24">
        <v>1.1308699739390309</v>
      </c>
      <c r="AU176" s="24">
        <v>6.7892175637861731</v>
      </c>
      <c r="AV176" s="24">
        <v>169.05687285509808</v>
      </c>
      <c r="AW176" s="24">
        <v>4.0681443214416504</v>
      </c>
      <c r="AX176" s="24">
        <v>31.283799043056721</v>
      </c>
      <c r="AY176" s="24">
        <v>7.3153291128460474</v>
      </c>
      <c r="AZ176" s="24">
        <v>7.987513542175293</v>
      </c>
      <c r="BA176" s="24">
        <v>1.1977834701538086</v>
      </c>
    </row>
    <row r="177" spans="2:53">
      <c r="B177">
        <v>30</v>
      </c>
      <c r="C177" s="26">
        <v>0.1</v>
      </c>
      <c r="D177" s="24">
        <v>0.75533213549741074</v>
      </c>
      <c r="E177" s="24">
        <v>4.6413560072429005</v>
      </c>
      <c r="F177" s="24">
        <v>867.92633148936852</v>
      </c>
      <c r="G177" s="24">
        <v>0.54171574115753174</v>
      </c>
      <c r="H177" s="24">
        <v>31.760584233141692</v>
      </c>
      <c r="I177" s="24">
        <v>25.531051780138764</v>
      </c>
      <c r="J177" s="24">
        <v>25.232515335083008</v>
      </c>
      <c r="K177" s="24">
        <v>1.0329512357711792</v>
      </c>
      <c r="L177" s="24">
        <f t="shared" si="56"/>
        <v>0.8256276156328004</v>
      </c>
      <c r="M177" s="24">
        <f t="shared" si="57"/>
        <v>0.86792633148936849</v>
      </c>
      <c r="N177" s="24">
        <f>(L177*I177)/30</f>
        <v>0.70263804686111775</v>
      </c>
      <c r="O177" s="24">
        <f>I177/25.28</f>
        <v>1.0099308457333371</v>
      </c>
      <c r="P177" s="24">
        <f>I177/((30-4.72)*9.87)</f>
        <v>0.10232328730834217</v>
      </c>
      <c r="Q177" s="24">
        <f>(L177*I177)/(30*9.87)</f>
        <v>7.1189265132838686E-2</v>
      </c>
      <c r="AD177" s="24">
        <v>1.1213917636445527</v>
      </c>
      <c r="AE177" s="24">
        <v>6.7645294999178587</v>
      </c>
      <c r="AF177" s="24">
        <v>158.63856847086106</v>
      </c>
      <c r="AG177" s="24">
        <v>4.3195476531982422</v>
      </c>
      <c r="AH177" s="24">
        <v>31.289279332597928</v>
      </c>
      <c r="AI177" s="24">
        <v>13.182292000429943</v>
      </c>
      <c r="AJ177" s="24">
        <v>11.532515525817871</v>
      </c>
      <c r="AK177" s="24">
        <v>0.74979418516159058</v>
      </c>
      <c r="AL177" s="24">
        <v>1.1308699739390309</v>
      </c>
      <c r="AM177" s="24">
        <v>6.8139056276544858</v>
      </c>
      <c r="AN177" s="24">
        <v>159.90039596636325</v>
      </c>
      <c r="AO177" s="24">
        <v>4.3167414665222168</v>
      </c>
      <c r="AP177" s="24">
        <v>31.278318753515517</v>
      </c>
      <c r="AQ177" s="24">
        <v>10.218158077255756</v>
      </c>
      <c r="AR177" s="24">
        <v>9.6435108184814453</v>
      </c>
      <c r="AS177" s="24">
        <v>0.9424700140953064</v>
      </c>
      <c r="AT177" s="24">
        <v>1.1356252012390415</v>
      </c>
      <c r="AU177" s="24">
        <v>6.8385936915227994</v>
      </c>
      <c r="AV177" s="24">
        <v>160.53190321606351</v>
      </c>
      <c r="AW177" s="24">
        <v>4.3153386116027832</v>
      </c>
      <c r="AX177" s="24">
        <v>31.27283846397431</v>
      </c>
      <c r="AY177" s="24">
        <v>7.079091492025877</v>
      </c>
      <c r="AZ177" s="24">
        <v>7.8545145988464355</v>
      </c>
      <c r="BA177" s="24">
        <v>1.1929608583450317</v>
      </c>
    </row>
    <row r="178" spans="2:53">
      <c r="C178" s="26">
        <v>0.15</v>
      </c>
      <c r="D178" s="24">
        <v>0.75533213549741074</v>
      </c>
      <c r="E178" s="24">
        <v>4.666044071111215</v>
      </c>
      <c r="F178" s="24">
        <v>800.75844193415162</v>
      </c>
      <c r="G178" s="24">
        <v>0.59027820825576782</v>
      </c>
      <c r="H178" s="24">
        <v>31.755103943600485</v>
      </c>
      <c r="I178" s="24">
        <v>25.333054575551223</v>
      </c>
      <c r="J178" s="24">
        <v>24.872509002685547</v>
      </c>
      <c r="K178" s="24">
        <v>0.99192386865615845</v>
      </c>
      <c r="L178" s="24">
        <f t="shared" ref="L178:L197" si="63">((101.3*(-0.0043+0.01*EXP(0.0511*H178)))-C178)/(101.3*(0.0043+0.01*EXP(0.0511*H178)))</f>
        <v>0.81660293362431446</v>
      </c>
      <c r="M178" s="24">
        <f t="shared" ref="M178:M197" si="64">F178/1000</f>
        <v>0.80075844193415158</v>
      </c>
      <c r="N178" s="24">
        <f t="shared" ref="N178:N196" si="65">(L178*I178)/30</f>
        <v>0.68956822280199981</v>
      </c>
      <c r="O178" s="24">
        <f t="shared" ref="O178:O196" si="66">I178/25.28</f>
        <v>1.0020986778303489</v>
      </c>
      <c r="P178" s="24">
        <f t="shared" ref="P178:P196" si="67">I178/((30-4.72)*9.87)</f>
        <v>0.10152975459274054</v>
      </c>
      <c r="Q178" s="24">
        <f t="shared" ref="Q178:Q196" si="68">(L178*I178)/(30*9.87)</f>
        <v>6.9865068166362704E-2</v>
      </c>
      <c r="AD178" s="24">
        <v>1.1261255422484671</v>
      </c>
      <c r="AE178" s="24">
        <v>6.7892175637861731</v>
      </c>
      <c r="AF178" s="24">
        <v>150.55298320973023</v>
      </c>
      <c r="AG178" s="24">
        <v>4.5681443214416504</v>
      </c>
      <c r="AH178" s="24">
        <v>31.283799043056721</v>
      </c>
      <c r="AI178" s="24">
        <v>12.770415241971371</v>
      </c>
      <c r="AJ178" s="24">
        <v>11.253522872924805</v>
      </c>
      <c r="AK178" s="24">
        <v>0.73875027894973755</v>
      </c>
      <c r="AL178" s="24">
        <v>1.1308699739390309</v>
      </c>
      <c r="AM178" s="24">
        <v>6.8139056276544858</v>
      </c>
      <c r="AN178" s="24">
        <v>151.14686767698643</v>
      </c>
      <c r="AO178" s="24">
        <v>4.5667414665222168</v>
      </c>
      <c r="AP178" s="24">
        <v>31.278318753515517</v>
      </c>
      <c r="AQ178" s="24">
        <v>9.8587889440006897</v>
      </c>
      <c r="AR178" s="24">
        <v>9.4295082092285156</v>
      </c>
      <c r="AS178" s="24">
        <v>0.93413406610488892</v>
      </c>
      <c r="AT178" s="24">
        <v>1.1403913688740999</v>
      </c>
      <c r="AU178" s="24">
        <v>6.8632817553911121</v>
      </c>
      <c r="AV178" s="24">
        <v>152.33569262452053</v>
      </c>
      <c r="AW178" s="24">
        <v>4.563936710357666</v>
      </c>
      <c r="AX178" s="24">
        <v>31.267358174433102</v>
      </c>
      <c r="AY178" s="24">
        <v>6.8406544549620945</v>
      </c>
      <c r="AZ178" s="24">
        <v>7.7235150337219238</v>
      </c>
      <c r="BA178" s="24">
        <v>1.3050611019134521</v>
      </c>
    </row>
    <row r="179" spans="2:53">
      <c r="C179" s="26">
        <v>0.2</v>
      </c>
      <c r="D179" s="24">
        <v>0.78050450098398538</v>
      </c>
      <c r="E179" s="24">
        <v>4.8141724543210955</v>
      </c>
      <c r="F179" s="24">
        <v>772.05227870236115</v>
      </c>
      <c r="G179" s="24">
        <v>0.63166147470474243</v>
      </c>
      <c r="H179" s="24">
        <v>31.722222206353244</v>
      </c>
      <c r="I179" s="24">
        <v>25.264485681084999</v>
      </c>
      <c r="J179" s="24">
        <v>24.696512222290039</v>
      </c>
      <c r="K179" s="24">
        <v>0.98506546020507813</v>
      </c>
      <c r="L179" s="24">
        <f t="shared" si="63"/>
        <v>0.80732510298409677</v>
      </c>
      <c r="M179" s="24">
        <f t="shared" si="64"/>
        <v>0.77205227870236115</v>
      </c>
      <c r="N179" s="24">
        <f t="shared" si="65"/>
        <v>0.67988845014407284</v>
      </c>
      <c r="O179" s="24">
        <f t="shared" si="66"/>
        <v>0.99938630067583056</v>
      </c>
      <c r="P179" s="24">
        <f t="shared" si="67"/>
        <v>0.1012549443440558</v>
      </c>
      <c r="Q179" s="24">
        <f t="shared" si="68"/>
        <v>6.8884341453300191E-2</v>
      </c>
    </row>
    <row r="180" spans="2:53">
      <c r="C180" s="24">
        <v>0.25</v>
      </c>
      <c r="D180" s="24">
        <v>0.78050450098398538</v>
      </c>
      <c r="E180" s="24">
        <v>4.8141724543210955</v>
      </c>
      <c r="F180" s="24">
        <v>715.42209466551662</v>
      </c>
      <c r="G180" s="24">
        <v>0.68166148662567139</v>
      </c>
      <c r="H180" s="24">
        <v>31.722222206353244</v>
      </c>
      <c r="I180" s="24">
        <v>25.047747230627351</v>
      </c>
      <c r="J180" s="24">
        <v>24.32551383972168</v>
      </c>
      <c r="K180" s="24">
        <v>0.94493347406387329</v>
      </c>
      <c r="L180" s="24">
        <f t="shared" si="63"/>
        <v>0.7983315212790657</v>
      </c>
      <c r="M180" s="24">
        <f t="shared" si="64"/>
        <v>0.71542209466551665</v>
      </c>
      <c r="N180" s="24">
        <f t="shared" si="65"/>
        <v>0.66654687170800786</v>
      </c>
      <c r="O180" s="24">
        <f t="shared" si="66"/>
        <v>0.99081278602165146</v>
      </c>
      <c r="P180" s="24">
        <f t="shared" si="67"/>
        <v>0.10038630050877928</v>
      </c>
      <c r="Q180" s="24">
        <f t="shared" si="68"/>
        <v>6.7532611115299693E-2</v>
      </c>
    </row>
    <row r="181" spans="2:53">
      <c r="C181" s="24">
        <f t="shared" ref="C181:C196" si="69">C180+0.25</f>
        <v>0.5</v>
      </c>
      <c r="D181" s="24">
        <v>0.8355594217123069</v>
      </c>
      <c r="E181" s="24">
        <v>5.1351172846091702</v>
      </c>
      <c r="F181" s="24">
        <v>569.73032223058533</v>
      </c>
      <c r="G181" s="24">
        <v>0.91304141283035278</v>
      </c>
      <c r="H181" s="24">
        <v>31.650978442317562</v>
      </c>
      <c r="I181" s="24">
        <v>24.347741813811457</v>
      </c>
      <c r="J181" s="24">
        <v>23.073513031005859</v>
      </c>
      <c r="K181" s="24">
        <v>0.86811882257461548</v>
      </c>
      <c r="L181" s="24">
        <f t="shared" si="63"/>
        <v>0.7525347979665743</v>
      </c>
      <c r="M181" s="24">
        <f t="shared" si="64"/>
        <v>0.56973032223058528</v>
      </c>
      <c r="N181" s="24">
        <f t="shared" si="65"/>
        <v>0.61075076555996388</v>
      </c>
      <c r="O181" s="24">
        <f t="shared" si="66"/>
        <v>0.96312269833114938</v>
      </c>
      <c r="P181" s="24">
        <f t="shared" si="67"/>
        <v>9.7580820499609866E-2</v>
      </c>
      <c r="Q181" s="24">
        <f t="shared" si="68"/>
        <v>6.1879510188446202E-2</v>
      </c>
    </row>
    <row r="182" spans="2:53">
      <c r="C182" s="24">
        <f t="shared" si="69"/>
        <v>0.75</v>
      </c>
      <c r="D182" s="24">
        <v>0.8655297974962316</v>
      </c>
      <c r="E182" s="24">
        <v>5.3079337316873643</v>
      </c>
      <c r="F182" s="24">
        <v>466.3256748971956</v>
      </c>
      <c r="G182" s="24">
        <v>1.153043270111084</v>
      </c>
      <c r="H182" s="24">
        <v>31.612616415529114</v>
      </c>
      <c r="I182" s="24">
        <v>23.546307774970209</v>
      </c>
      <c r="J182" s="24">
        <v>21.816513061523438</v>
      </c>
      <c r="K182" s="24">
        <v>0.79288762807846069</v>
      </c>
      <c r="L182" s="24">
        <f t="shared" si="63"/>
        <v>0.70688687560234265</v>
      </c>
      <c r="M182" s="24">
        <f t="shared" si="64"/>
        <v>0.46632567489719562</v>
      </c>
      <c r="N182" s="24">
        <f t="shared" si="65"/>
        <v>0.55481919783399469</v>
      </c>
      <c r="O182" s="24">
        <f t="shared" si="66"/>
        <v>0.93142040249091018</v>
      </c>
      <c r="P182" s="24">
        <f t="shared" si="67"/>
        <v>9.4368835105462026E-2</v>
      </c>
      <c r="Q182" s="24">
        <f t="shared" si="68"/>
        <v>5.6212684684295314E-2</v>
      </c>
    </row>
    <row r="183" spans="2:53">
      <c r="C183" s="24">
        <f t="shared" si="69"/>
        <v>1</v>
      </c>
      <c r="D183" s="24">
        <v>0.90009441534285695</v>
      </c>
      <c r="E183" s="24">
        <v>5.5054382426338719</v>
      </c>
      <c r="F183" s="24">
        <v>400.75060123673609</v>
      </c>
      <c r="G183" s="24">
        <v>1.3916407823562622</v>
      </c>
      <c r="H183" s="24">
        <v>31.568774099199462</v>
      </c>
      <c r="I183" s="24">
        <v>22.8314613180601</v>
      </c>
      <c r="J183" s="24">
        <v>20.766519546508789</v>
      </c>
      <c r="K183" s="24">
        <v>0.74712735414505005</v>
      </c>
      <c r="L183" s="24">
        <f t="shared" si="63"/>
        <v>0.66098738678434577</v>
      </c>
      <c r="M183" s="24">
        <f t="shared" si="64"/>
        <v>0.40075060123673611</v>
      </c>
      <c r="N183" s="24">
        <f t="shared" si="65"/>
        <v>0.503043598436414</v>
      </c>
      <c r="O183" s="24">
        <f t="shared" si="66"/>
        <v>0.90314324834098492</v>
      </c>
      <c r="P183" s="24">
        <f t="shared" si="67"/>
        <v>9.1503875211852576E-2</v>
      </c>
      <c r="Q183" s="24">
        <f t="shared" si="68"/>
        <v>5.0966929932767378E-2</v>
      </c>
    </row>
    <row r="184" spans="2:53">
      <c r="C184" s="24">
        <f t="shared" si="69"/>
        <v>1.25</v>
      </c>
      <c r="D184" s="24">
        <v>0.93502624615893282</v>
      </c>
      <c r="E184" s="24">
        <v>5.7029427535803805</v>
      </c>
      <c r="F184" s="24">
        <v>354.36478259673021</v>
      </c>
      <c r="G184" s="24">
        <v>1.6302639245986938</v>
      </c>
      <c r="H184" s="24">
        <v>31.52493178286981</v>
      </c>
      <c r="I184" s="24">
        <v>22.173360577537107</v>
      </c>
      <c r="J184" s="24">
        <v>19.859523773193359</v>
      </c>
      <c r="K184" s="24">
        <v>0.70835834741592407</v>
      </c>
      <c r="L184" s="24">
        <f t="shared" si="63"/>
        <v>0.61489964635148553</v>
      </c>
      <c r="M184" s="24">
        <f t="shared" si="64"/>
        <v>0.35436478259673021</v>
      </c>
      <c r="N184" s="24">
        <f t="shared" si="65"/>
        <v>0.45447971925171793</v>
      </c>
      <c r="O184" s="24">
        <f t="shared" si="66"/>
        <v>0.8771107823392843</v>
      </c>
      <c r="P184" s="24">
        <f t="shared" si="67"/>
        <v>8.8866340662541468E-2</v>
      </c>
      <c r="Q184" s="24">
        <f t="shared" si="68"/>
        <v>4.6046577431785002E-2</v>
      </c>
    </row>
    <row r="185" spans="2:53">
      <c r="C185" s="24">
        <f t="shared" si="69"/>
        <v>1.5</v>
      </c>
      <c r="D185" s="24">
        <v>0.96592302074423375</v>
      </c>
      <c r="E185" s="24">
        <v>5.8757592006585737</v>
      </c>
      <c r="F185" s="24">
        <v>318.24032728272977</v>
      </c>
      <c r="G185" s="24">
        <v>1.8703299760818481</v>
      </c>
      <c r="H185" s="24">
        <v>31.486569756081366</v>
      </c>
      <c r="I185" s="24">
        <v>21.532310379909848</v>
      </c>
      <c r="J185" s="24">
        <v>19.034519195556641</v>
      </c>
      <c r="K185" s="24">
        <v>0.6896633505821228</v>
      </c>
      <c r="L185" s="24">
        <f t="shared" si="63"/>
        <v>0.5687343405641323</v>
      </c>
      <c r="M185" s="24">
        <f t="shared" si="64"/>
        <v>0.31824032728272977</v>
      </c>
      <c r="N185" s="24">
        <f t="shared" si="65"/>
        <v>0.40820547815800828</v>
      </c>
      <c r="O185" s="24">
        <f t="shared" si="66"/>
        <v>0.8517527840154212</v>
      </c>
      <c r="P185" s="24">
        <f t="shared" si="67"/>
        <v>8.6297141237631325E-2</v>
      </c>
      <c r="Q185" s="24">
        <f t="shared" si="68"/>
        <v>4.1358204473962344E-2</v>
      </c>
    </row>
    <row r="186" spans="2:53">
      <c r="C186" s="24">
        <f t="shared" si="69"/>
        <v>1.75</v>
      </c>
      <c r="D186" s="24">
        <v>0.99267361510418117</v>
      </c>
      <c r="E186" s="24">
        <v>6.0485756477367687</v>
      </c>
      <c r="F186" s="24">
        <v>290.33180062341063</v>
      </c>
      <c r="G186" s="24">
        <v>2.1104154586791992</v>
      </c>
      <c r="H186" s="24">
        <v>31.448207729292918</v>
      </c>
      <c r="I186" s="24">
        <v>20.939375452767219</v>
      </c>
      <c r="J186" s="24">
        <v>18.310510635375977</v>
      </c>
      <c r="K186" s="24">
        <v>0.67552393674850464</v>
      </c>
      <c r="L186" s="24">
        <f t="shared" si="63"/>
        <v>0.52240360591735124</v>
      </c>
      <c r="M186" s="24">
        <f t="shared" si="64"/>
        <v>0.29033180062341063</v>
      </c>
      <c r="N186" s="24">
        <f t="shared" si="65"/>
        <v>0.36462684140609547</v>
      </c>
      <c r="O186" s="24">
        <f t="shared" si="66"/>
        <v>0.82829807961895641</v>
      </c>
      <c r="P186" s="24">
        <f t="shared" si="67"/>
        <v>8.3920778076895283E-2</v>
      </c>
      <c r="Q186" s="24">
        <f t="shared" si="68"/>
        <v>3.6942942391701671E-2</v>
      </c>
    </row>
    <row r="187" spans="2:53">
      <c r="C187" s="24">
        <f t="shared" si="69"/>
        <v>2</v>
      </c>
      <c r="D187" s="24">
        <v>1.0061472849468667</v>
      </c>
      <c r="E187" s="24">
        <v>6.1226398393417085</v>
      </c>
      <c r="F187" s="24">
        <v>263.23347073294462</v>
      </c>
      <c r="G187" s="24">
        <v>2.3561723232269287</v>
      </c>
      <c r="H187" s="24">
        <v>31.431766860669299</v>
      </c>
      <c r="I187" s="24">
        <v>20.243229936995434</v>
      </c>
      <c r="J187" s="24">
        <v>17.536504745483398</v>
      </c>
      <c r="K187" s="24">
        <v>0.64281022548675537</v>
      </c>
      <c r="L187" s="24">
        <f t="shared" si="63"/>
        <v>0.4764471748782696</v>
      </c>
      <c r="M187" s="24">
        <f t="shared" si="64"/>
        <v>0.26323347073294462</v>
      </c>
      <c r="N187" s="24">
        <f t="shared" si="65"/>
        <v>0.32149432379642284</v>
      </c>
      <c r="O187" s="24">
        <f t="shared" si="66"/>
        <v>0.80076067788747751</v>
      </c>
      <c r="P187" s="24">
        <f t="shared" si="67"/>
        <v>8.1130767769754572E-2</v>
      </c>
      <c r="Q187" s="24">
        <f t="shared" si="68"/>
        <v>3.2572879817266753E-2</v>
      </c>
    </row>
    <row r="188" spans="2:53">
      <c r="C188" s="24">
        <f t="shared" si="69"/>
        <v>2.25</v>
      </c>
      <c r="D188" s="24">
        <v>1.0151675825917046</v>
      </c>
      <c r="E188" s="24">
        <v>6.1720159670783366</v>
      </c>
      <c r="F188" s="24">
        <v>240.16220912996067</v>
      </c>
      <c r="G188" s="24">
        <v>2.6033456325531006</v>
      </c>
      <c r="H188" s="24">
        <v>31.420806281586884</v>
      </c>
      <c r="I188" s="24">
        <v>19.546089104181021</v>
      </c>
      <c r="J188" s="24">
        <v>16.809501647949219</v>
      </c>
      <c r="K188" s="24">
        <v>0.62863916158676147</v>
      </c>
      <c r="L188" s="24">
        <f t="shared" si="63"/>
        <v>0.43056675432125602</v>
      </c>
      <c r="M188" s="24">
        <f t="shared" si="64"/>
        <v>0.24016220912996067</v>
      </c>
      <c r="N188" s="24">
        <f t="shared" si="65"/>
        <v>0.28052987150870962</v>
      </c>
      <c r="O188" s="24">
        <f t="shared" si="66"/>
        <v>0.77318390443754037</v>
      </c>
      <c r="P188" s="24">
        <f t="shared" si="67"/>
        <v>7.833676843338809E-2</v>
      </c>
      <c r="Q188" s="24">
        <f t="shared" si="68"/>
        <v>2.842247938284799E-2</v>
      </c>
    </row>
    <row r="189" spans="2:53">
      <c r="C189" s="24">
        <f t="shared" si="69"/>
        <v>2.5</v>
      </c>
      <c r="D189" s="24">
        <v>1.0424241979049065</v>
      </c>
      <c r="E189" s="24">
        <v>6.3201443502882162</v>
      </c>
      <c r="F189" s="24">
        <v>225.04703436981015</v>
      </c>
      <c r="G189" s="24">
        <v>2.8448746204376221</v>
      </c>
      <c r="H189" s="24">
        <v>31.387924544339647</v>
      </c>
      <c r="I189" s="24">
        <v>19.043444931262059</v>
      </c>
      <c r="J189" s="24">
        <v>16.286508560180664</v>
      </c>
      <c r="K189" s="24">
        <v>0.62375056743621826</v>
      </c>
      <c r="L189" s="24">
        <f t="shared" si="63"/>
        <v>0.38400436331641297</v>
      </c>
      <c r="M189" s="24">
        <f t="shared" si="64"/>
        <v>0.22504703436981016</v>
      </c>
      <c r="N189" s="24">
        <f t="shared" si="65"/>
        <v>0.24375886487268195</v>
      </c>
      <c r="O189" s="24">
        <f t="shared" si="66"/>
        <v>0.75330082797713838</v>
      </c>
      <c r="P189" s="24">
        <f t="shared" si="67"/>
        <v>7.6322272338109259E-2</v>
      </c>
      <c r="Q189" s="24">
        <f t="shared" si="68"/>
        <v>2.469694679561114E-2</v>
      </c>
    </row>
    <row r="190" spans="2:53">
      <c r="C190" s="24">
        <f t="shared" si="69"/>
        <v>2.75</v>
      </c>
      <c r="D190" s="24">
        <v>1.0561649854744704</v>
      </c>
      <c r="E190" s="24">
        <v>6.394208541893156</v>
      </c>
      <c r="F190" s="24">
        <v>209.57871096301551</v>
      </c>
      <c r="G190" s="24">
        <v>3.0906445980072021</v>
      </c>
      <c r="H190" s="24">
        <v>31.371483675716028</v>
      </c>
      <c r="I190" s="24">
        <v>18.460982431703695</v>
      </c>
      <c r="J190" s="24">
        <v>15.724501609802246</v>
      </c>
      <c r="K190" s="24">
        <v>0.61753326654434204</v>
      </c>
      <c r="L190" s="24">
        <f t="shared" si="63"/>
        <v>0.33781152376681417</v>
      </c>
      <c r="M190" s="24">
        <f t="shared" si="64"/>
        <v>0.2095787109630155</v>
      </c>
      <c r="N190" s="24">
        <f t="shared" si="65"/>
        <v>0.20787775351620705</v>
      </c>
      <c r="O190" s="24">
        <f t="shared" si="66"/>
        <v>0.73026038100093726</v>
      </c>
      <c r="P190" s="24">
        <f t="shared" si="67"/>
        <v>7.3987880547207424E-2</v>
      </c>
      <c r="Q190" s="24">
        <f t="shared" si="68"/>
        <v>2.1061575837508315E-2</v>
      </c>
    </row>
    <row r="191" spans="2:53">
      <c r="C191" s="24">
        <f t="shared" si="69"/>
        <v>3</v>
      </c>
      <c r="D191" s="24">
        <v>1.0699846364725729</v>
      </c>
      <c r="E191" s="24">
        <v>6.4682727334980967</v>
      </c>
      <c r="F191" s="24">
        <v>196.38906116297966</v>
      </c>
      <c r="G191" s="24">
        <v>3.3364181518554687</v>
      </c>
      <c r="H191" s="24">
        <v>31.355042807092406</v>
      </c>
      <c r="I191" s="24">
        <v>17.913295638649839</v>
      </c>
      <c r="J191" s="24">
        <v>15.216500282287598</v>
      </c>
      <c r="K191" s="24">
        <v>0.63196945190429688</v>
      </c>
      <c r="L191" s="24">
        <f t="shared" si="63"/>
        <v>0.29154762604884821</v>
      </c>
      <c r="M191" s="24">
        <f t="shared" si="64"/>
        <v>0.19638906116297966</v>
      </c>
      <c r="N191" s="24">
        <f t="shared" si="65"/>
        <v>0.17408596060531822</v>
      </c>
      <c r="O191" s="24">
        <f t="shared" si="66"/>
        <v>0.70859555532633856</v>
      </c>
      <c r="P191" s="24">
        <f t="shared" si="67"/>
        <v>7.1792862748362565E-2</v>
      </c>
      <c r="Q191" s="24">
        <f t="shared" si="68"/>
        <v>1.7637888612494251E-2</v>
      </c>
    </row>
    <row r="192" spans="2:53">
      <c r="C192" s="24">
        <f t="shared" si="69"/>
        <v>3.25</v>
      </c>
      <c r="D192" s="24">
        <v>1.0699846364725729</v>
      </c>
      <c r="E192" s="24">
        <v>6.4682727334980967</v>
      </c>
      <c r="F192" s="24">
        <v>182.69928399457041</v>
      </c>
      <c r="G192" s="24">
        <v>3.5864181518554687</v>
      </c>
      <c r="H192" s="24">
        <v>31.355042807092406</v>
      </c>
      <c r="I192" s="24">
        <v>17.282058543978657</v>
      </c>
      <c r="J192" s="24">
        <v>14.66950511932373</v>
      </c>
      <c r="K192" s="24">
        <v>0.62810802459716797</v>
      </c>
      <c r="L192" s="24">
        <f t="shared" si="63"/>
        <v>0.24579591894977559</v>
      </c>
      <c r="M192" s="24">
        <f t="shared" si="64"/>
        <v>0.18269928399457042</v>
      </c>
      <c r="N192" s="24">
        <f t="shared" si="65"/>
        <v>0.14159531537203518</v>
      </c>
      <c r="O192" s="24">
        <f t="shared" si="66"/>
        <v>0.68362573354345946</v>
      </c>
      <c r="P192" s="24">
        <f t="shared" si="67"/>
        <v>6.926299225364331E-2</v>
      </c>
      <c r="Q192" s="24">
        <f t="shared" si="68"/>
        <v>1.43460299262447E-2</v>
      </c>
    </row>
    <row r="193" spans="2:17">
      <c r="C193" s="24">
        <f t="shared" si="69"/>
        <v>3.5</v>
      </c>
      <c r="D193" s="24">
        <v>1.0978778281385975</v>
      </c>
      <c r="E193" s="24">
        <v>6.6164011167079773</v>
      </c>
      <c r="F193" s="24">
        <v>175.09030241104333</v>
      </c>
      <c r="G193" s="24">
        <v>3.8279757499694824</v>
      </c>
      <c r="H193" s="24">
        <v>31.322161069845169</v>
      </c>
      <c r="I193" s="24">
        <v>16.918809827684974</v>
      </c>
      <c r="J193" s="24">
        <v>14.339505195617676</v>
      </c>
      <c r="K193" s="24">
        <v>0.63424235582351685</v>
      </c>
      <c r="L193" s="24">
        <f t="shared" si="63"/>
        <v>0.19880635553731929</v>
      </c>
      <c r="M193" s="24">
        <f t="shared" si="64"/>
        <v>0.17509030241104331</v>
      </c>
      <c r="N193" s="24">
        <f t="shared" si="65"/>
        <v>0.11211889739570102</v>
      </c>
      <c r="O193" s="24">
        <f t="shared" si="66"/>
        <v>0.66925671786728536</v>
      </c>
      <c r="P193" s="24">
        <f t="shared" si="67"/>
        <v>6.780716493082932E-2</v>
      </c>
      <c r="Q193" s="24">
        <f t="shared" si="68"/>
        <v>1.1359564072512769E-2</v>
      </c>
    </row>
    <row r="194" spans="2:17">
      <c r="C194" s="24">
        <f t="shared" si="69"/>
        <v>3.75</v>
      </c>
      <c r="D194" s="24">
        <v>1.1072529533814897</v>
      </c>
      <c r="E194" s="24">
        <v>6.6657772444446044</v>
      </c>
      <c r="F194" s="24">
        <v>165.69716110041298</v>
      </c>
      <c r="G194" s="24">
        <v>4.075164794921875</v>
      </c>
      <c r="H194" s="24">
        <v>31.311200490762754</v>
      </c>
      <c r="I194" s="24">
        <v>16.428303361492418</v>
      </c>
      <c r="J194" s="24">
        <v>13.931513786315918</v>
      </c>
      <c r="K194" s="24">
        <v>0.6378791332244873</v>
      </c>
      <c r="L194" s="24">
        <f t="shared" si="63"/>
        <v>0.1525472235834055</v>
      </c>
      <c r="M194" s="24">
        <f t="shared" si="64"/>
        <v>0.16569716110041299</v>
      </c>
      <c r="N194" s="24">
        <f t="shared" si="65"/>
        <v>8.3536402199386531E-2</v>
      </c>
      <c r="O194" s="24">
        <f t="shared" si="66"/>
        <v>0.64985377221093421</v>
      </c>
      <c r="P194" s="24">
        <f t="shared" si="67"/>
        <v>6.5841314307085536E-2</v>
      </c>
      <c r="Q194" s="24">
        <f t="shared" si="68"/>
        <v>8.4636679026734076E-3</v>
      </c>
    </row>
    <row r="195" spans="2:17">
      <c r="C195" s="24">
        <f t="shared" si="69"/>
        <v>4</v>
      </c>
      <c r="D195" s="24">
        <v>1.1119556063944751</v>
      </c>
      <c r="E195" s="24">
        <v>6.7151533721812315</v>
      </c>
      <c r="F195" s="24">
        <v>157.37832219819097</v>
      </c>
      <c r="G195" s="24">
        <v>4.3223552703857422</v>
      </c>
      <c r="H195" s="24">
        <v>31.300239911680343</v>
      </c>
      <c r="I195" s="24">
        <v>15.965796894537275</v>
      </c>
      <c r="J195" s="24">
        <v>13.557515144348145</v>
      </c>
      <c r="K195" s="24">
        <v>0.6439206600189209</v>
      </c>
      <c r="L195" s="24">
        <f t="shared" si="63"/>
        <v>0.10624063289354284</v>
      </c>
      <c r="M195" s="24">
        <f t="shared" si="64"/>
        <v>0.15737832219819098</v>
      </c>
      <c r="N195" s="24">
        <f t="shared" si="65"/>
        <v>5.6540545557513359E-2</v>
      </c>
      <c r="O195" s="24">
        <f t="shared" si="66"/>
        <v>0.6315584214611264</v>
      </c>
      <c r="P195" s="24">
        <f t="shared" si="67"/>
        <v>6.3987682012272173E-2</v>
      </c>
      <c r="Q195" s="24">
        <f t="shared" si="68"/>
        <v>5.728525385766299E-3</v>
      </c>
    </row>
    <row r="196" spans="2:17">
      <c r="C196" s="24">
        <f t="shared" si="69"/>
        <v>4.25</v>
      </c>
      <c r="D196" s="24">
        <v>1.1119556063944751</v>
      </c>
      <c r="E196" s="24">
        <v>6.690465308312918</v>
      </c>
      <c r="F196" s="24">
        <v>148.18096131091167</v>
      </c>
      <c r="G196" s="24">
        <v>4.5737600326538086</v>
      </c>
      <c r="H196" s="24">
        <v>31.305720201221547</v>
      </c>
      <c r="I196" s="24">
        <v>15.415644276207138</v>
      </c>
      <c r="J196" s="24">
        <v>13.13850212097168</v>
      </c>
      <c r="K196" s="24">
        <v>0.64918702840805054</v>
      </c>
      <c r="L196" s="24">
        <f t="shared" si="63"/>
        <v>6.0612953724717547E-2</v>
      </c>
      <c r="M196" s="24">
        <f t="shared" si="64"/>
        <v>0.14818096131091166</v>
      </c>
      <c r="N196" s="24">
        <f t="shared" si="65"/>
        <v>3.114625777168167E-2</v>
      </c>
      <c r="O196" s="24">
        <f t="shared" si="66"/>
        <v>0.6097960552297127</v>
      </c>
      <c r="P196" s="24">
        <f t="shared" si="67"/>
        <v>6.1782781684874645E-2</v>
      </c>
      <c r="Q196" s="24">
        <f t="shared" si="68"/>
        <v>3.1556492169890248E-3</v>
      </c>
    </row>
    <row r="197" spans="2:17">
      <c r="B197">
        <v>25</v>
      </c>
      <c r="C197" s="26">
        <v>0.1</v>
      </c>
      <c r="D197" s="24">
        <v>0.80159255667871032</v>
      </c>
      <c r="E197" s="24">
        <v>4.9129247097943498</v>
      </c>
      <c r="F197" s="24">
        <v>946.29325145658231</v>
      </c>
      <c r="G197" s="24">
        <v>0.52592498064041138</v>
      </c>
      <c r="H197" s="24">
        <v>31.700301048188418</v>
      </c>
      <c r="I197" s="24">
        <v>22.929211758685764</v>
      </c>
      <c r="J197" s="24">
        <v>21.073513031005859</v>
      </c>
      <c r="K197" s="24">
        <v>0.97706496715545654</v>
      </c>
      <c r="L197" s="24">
        <f t="shared" si="63"/>
        <v>0.82513183262222067</v>
      </c>
      <c r="M197" s="24">
        <f t="shared" si="64"/>
        <v>0.94629325145658227</v>
      </c>
      <c r="N197" s="24">
        <f>(L197*I197)/25</f>
        <v>0.75678490076109428</v>
      </c>
      <c r="O197" s="24">
        <f>I197/20.28</f>
        <v>1.1306317435249389</v>
      </c>
      <c r="P197" s="24">
        <f>I197/((25-4.72)*9.87)</f>
        <v>0.11455235496706576</v>
      </c>
      <c r="Q197" s="24">
        <f>(L197*I197)/(25*9.87)</f>
        <v>7.6675268567486757E-2</v>
      </c>
    </row>
    <row r="198" spans="2:17">
      <c r="C198" s="26">
        <v>0.15</v>
      </c>
      <c r="D198" s="24">
        <v>0.81005678039066731</v>
      </c>
      <c r="E198" s="24">
        <v>4.9869889013992905</v>
      </c>
      <c r="F198" s="24">
        <v>883.76178718259075</v>
      </c>
      <c r="G198" s="24">
        <v>0.57162684202194214</v>
      </c>
      <c r="H198" s="24">
        <v>31.6838601795648</v>
      </c>
      <c r="I198" s="24">
        <v>22.762333030660397</v>
      </c>
      <c r="J198" s="24">
        <v>20.825519561767578</v>
      </c>
      <c r="K198" s="24">
        <v>0.9934309720993042</v>
      </c>
      <c r="L198" s="24">
        <f t="shared" ref="L198:L217" si="70">((101.3*(-0.0043+0.01*EXP(0.0511*H198)))-C198)/(101.3*(0.0043+0.01*EXP(0.0511*H198)))</f>
        <v>0.81598655148307619</v>
      </c>
      <c r="M198" s="24">
        <f t="shared" ref="M198:M217" si="71">F198/1000</f>
        <v>0.8837617871825908</v>
      </c>
      <c r="N198" s="24">
        <f t="shared" ref="N198:N216" si="72">(L198*I198)/25</f>
        <v>0.74295030533591588</v>
      </c>
      <c r="O198" s="24">
        <f t="shared" ref="O198:O216" si="73">I198/20.28</f>
        <v>1.1224030094014001</v>
      </c>
      <c r="P198" s="24">
        <f t="shared" ref="P198:P216" si="74">I198/((25-4.72)*9.87)</f>
        <v>0.11371864330308007</v>
      </c>
      <c r="Q198" s="24">
        <f t="shared" ref="Q198:Q216" si="75">(L198*I198)/(25*9.87)</f>
        <v>7.527358716675947E-2</v>
      </c>
    </row>
    <row r="199" spans="2:17">
      <c r="C199" s="26">
        <v>0.2</v>
      </c>
      <c r="D199" s="24">
        <v>0.81005678039066731</v>
      </c>
      <c r="E199" s="24">
        <v>4.9869889013992905</v>
      </c>
      <c r="F199" s="24">
        <v>812.67719902038345</v>
      </c>
      <c r="G199" s="24">
        <v>0.62162685394287109</v>
      </c>
      <c r="H199" s="24">
        <v>31.6838601795648</v>
      </c>
      <c r="I199" s="24">
        <v>22.523418288334987</v>
      </c>
      <c r="J199" s="24">
        <v>20.508512496948242</v>
      </c>
      <c r="K199" s="24">
        <v>0.94752973318099976</v>
      </c>
      <c r="L199" s="24">
        <f t="shared" si="70"/>
        <v>0.8069767075516967</v>
      </c>
      <c r="M199" s="24">
        <f t="shared" si="71"/>
        <v>0.81267719902038349</v>
      </c>
      <c r="N199" s="24">
        <f t="shared" si="72"/>
        <v>0.72703495732520962</v>
      </c>
      <c r="O199" s="24">
        <f t="shared" si="73"/>
        <v>1.1106222035668138</v>
      </c>
      <c r="P199" s="24">
        <f t="shared" si="74"/>
        <v>0.1125250459540845</v>
      </c>
      <c r="Q199" s="24">
        <f t="shared" si="75"/>
        <v>7.3661089901237056E-2</v>
      </c>
    </row>
    <row r="200" spans="2:17">
      <c r="C200" s="24">
        <v>0.25</v>
      </c>
      <c r="D200" s="24">
        <v>0.8355594217123069</v>
      </c>
      <c r="E200" s="24">
        <v>5.1351172846091702</v>
      </c>
      <c r="F200" s="24">
        <v>784.54734093440732</v>
      </c>
      <c r="G200" s="24">
        <v>0.66304141283035278</v>
      </c>
      <c r="H200" s="24">
        <v>31.650978442317562</v>
      </c>
      <c r="I200" s="24">
        <v>22.444998778263368</v>
      </c>
      <c r="J200" s="24">
        <v>20.363513946533203</v>
      </c>
      <c r="K200" s="24">
        <v>0.94113820791244507</v>
      </c>
      <c r="L200" s="24">
        <f t="shared" si="70"/>
        <v>0.79765381990997808</v>
      </c>
      <c r="M200" s="24">
        <f t="shared" si="71"/>
        <v>0.78454734093440737</v>
      </c>
      <c r="N200" s="24">
        <f t="shared" si="72"/>
        <v>0.71613356053426269</v>
      </c>
      <c r="O200" s="24">
        <f t="shared" si="73"/>
        <v>1.1067553638196928</v>
      </c>
      <c r="P200" s="24">
        <f t="shared" si="74"/>
        <v>0.11213326887737515</v>
      </c>
      <c r="Q200" s="24">
        <f t="shared" si="75"/>
        <v>7.2556591746125915E-2</v>
      </c>
    </row>
    <row r="201" spans="2:17">
      <c r="C201" s="24">
        <f t="shared" ref="C201:C216" si="76">C200+0.25</f>
        <v>0.5</v>
      </c>
      <c r="D201" s="24">
        <v>0.8655297974962316</v>
      </c>
      <c r="E201" s="24">
        <v>5.3079337316873643</v>
      </c>
      <c r="F201" s="24">
        <v>595.42404808663628</v>
      </c>
      <c r="G201" s="24">
        <v>0.90304327011108398</v>
      </c>
      <c r="H201" s="24">
        <v>31.612616415529114</v>
      </c>
      <c r="I201" s="24">
        <v>21.504102882252528</v>
      </c>
      <c r="J201" s="24">
        <v>19.146518707275391</v>
      </c>
      <c r="K201" s="24">
        <v>0.85289210081100464</v>
      </c>
      <c r="L201" s="24">
        <f t="shared" si="70"/>
        <v>0.75208745857241033</v>
      </c>
      <c r="M201" s="24">
        <f t="shared" si="71"/>
        <v>0.59542404808663629</v>
      </c>
      <c r="N201" s="24">
        <f t="shared" si="72"/>
        <v>0.64691864342371785</v>
      </c>
      <c r="O201" s="24">
        <f t="shared" si="73"/>
        <v>1.0603601026751739</v>
      </c>
      <c r="P201" s="24">
        <f t="shared" si="74"/>
        <v>0.10743263451622836</v>
      </c>
      <c r="Q201" s="24">
        <f t="shared" si="75"/>
        <v>6.554393550392279E-2</v>
      </c>
    </row>
    <row r="202" spans="2:17">
      <c r="C202" s="24">
        <f t="shared" si="76"/>
        <v>0.75</v>
      </c>
      <c r="D202" s="24">
        <v>0.90009441534285695</v>
      </c>
      <c r="E202" s="24">
        <v>5.5054382426338719</v>
      </c>
      <c r="F202" s="24">
        <v>488.50819438499929</v>
      </c>
      <c r="G202" s="24">
        <v>1.1416407823562622</v>
      </c>
      <c r="H202" s="24">
        <v>31.568774099199462</v>
      </c>
      <c r="I202" s="24">
        <v>20.671804027632376</v>
      </c>
      <c r="J202" s="24">
        <v>18.142520904541016</v>
      </c>
      <c r="K202" s="24">
        <v>0.7807202935218811</v>
      </c>
      <c r="L202" s="24">
        <f t="shared" si="70"/>
        <v>0.70628134744228011</v>
      </c>
      <c r="M202" s="24">
        <f t="shared" si="71"/>
        <v>0.48850819438499926</v>
      </c>
      <c r="N202" s="24">
        <f t="shared" si="72"/>
        <v>0.58400438410795796</v>
      </c>
      <c r="O202" s="24">
        <f t="shared" si="73"/>
        <v>1.019319725228421</v>
      </c>
      <c r="P202" s="24">
        <f t="shared" si="74"/>
        <v>0.10327454156316321</v>
      </c>
      <c r="Q202" s="24">
        <f t="shared" si="75"/>
        <v>5.9169643779934958E-2</v>
      </c>
    </row>
    <row r="203" spans="2:17">
      <c r="C203" s="24">
        <f t="shared" si="76"/>
        <v>1</v>
      </c>
      <c r="D203" s="24">
        <v>0.93502624615893282</v>
      </c>
      <c r="E203" s="24">
        <v>5.7029427535803805</v>
      </c>
      <c r="F203" s="24">
        <v>418.54902862619264</v>
      </c>
      <c r="G203" s="24">
        <v>1.3802639245986938</v>
      </c>
      <c r="H203" s="24">
        <v>31.52493178286981</v>
      </c>
      <c r="I203" s="24">
        <v>19.916671787082343</v>
      </c>
      <c r="J203" s="24">
        <v>17.288507461547852</v>
      </c>
      <c r="K203" s="24">
        <v>0.74101525545120239</v>
      </c>
      <c r="L203" s="24">
        <f t="shared" si="70"/>
        <v>0.6602871610424258</v>
      </c>
      <c r="M203" s="24">
        <f t="shared" si="71"/>
        <v>0.41854902862619264</v>
      </c>
      <c r="N203" s="24">
        <f t="shared" si="72"/>
        <v>0.5260289068682551</v>
      </c>
      <c r="O203" s="24">
        <f t="shared" si="73"/>
        <v>0.98208440764705829</v>
      </c>
      <c r="P203" s="24">
        <f t="shared" si="74"/>
        <v>9.9501966326956265E-2</v>
      </c>
      <c r="Q203" s="24">
        <f t="shared" si="75"/>
        <v>5.3295735245010654E-2</v>
      </c>
    </row>
    <row r="204" spans="2:17">
      <c r="C204" s="24">
        <f t="shared" si="76"/>
        <v>1.25</v>
      </c>
      <c r="D204" s="24">
        <v>0.97036328499137692</v>
      </c>
      <c r="E204" s="24">
        <v>5.9004472645268882</v>
      </c>
      <c r="F204" s="24">
        <v>369.20794237040485</v>
      </c>
      <c r="G204" s="24">
        <v>1.6189123392105103</v>
      </c>
      <c r="H204" s="24">
        <v>31.481089466540158</v>
      </c>
      <c r="I204" s="24">
        <v>19.233958098011925</v>
      </c>
      <c r="J204" s="24">
        <v>16.557502746582031</v>
      </c>
      <c r="K204" s="24">
        <v>0.72942745685577393</v>
      </c>
      <c r="L204" s="24">
        <f t="shared" si="70"/>
        <v>0.61410436809260971</v>
      </c>
      <c r="M204" s="24">
        <f t="shared" si="71"/>
        <v>0.36920794237040483</v>
      </c>
      <c r="N204" s="24">
        <f t="shared" si="72"/>
        <v>0.47246630734797385</v>
      </c>
      <c r="O204" s="24">
        <f t="shared" si="73"/>
        <v>0.94842002455680097</v>
      </c>
      <c r="P204" s="24">
        <f t="shared" si="74"/>
        <v>9.6091187898358771E-2</v>
      </c>
      <c r="Q204" s="24">
        <f t="shared" si="75"/>
        <v>4.7868926782976079E-2</v>
      </c>
    </row>
    <row r="205" spans="2:17">
      <c r="C205" s="24">
        <f t="shared" si="76"/>
        <v>1.5</v>
      </c>
      <c r="D205" s="24">
        <v>1.001648587718128</v>
      </c>
      <c r="E205" s="24">
        <v>6.0979517754733958</v>
      </c>
      <c r="F205" s="24">
        <v>332.54041431855694</v>
      </c>
      <c r="G205" s="24">
        <v>1.8575862646102905</v>
      </c>
      <c r="H205" s="24">
        <v>31.437247150210506</v>
      </c>
      <c r="I205" s="24">
        <v>18.616685984090683</v>
      </c>
      <c r="J205" s="24">
        <v>15.926506996154785</v>
      </c>
      <c r="K205" s="24">
        <v>0.72322678565979004</v>
      </c>
      <c r="L205" s="24">
        <f t="shared" si="70"/>
        <v>0.56773243625324765</v>
      </c>
      <c r="M205" s="24">
        <f t="shared" si="71"/>
        <v>0.33254041431855696</v>
      </c>
      <c r="N205" s="24">
        <f t="shared" si="72"/>
        <v>0.4227718595483797</v>
      </c>
      <c r="O205" s="24">
        <f t="shared" si="73"/>
        <v>0.91798254359421505</v>
      </c>
      <c r="P205" s="24">
        <f t="shared" si="74"/>
        <v>9.3007349908228482E-2</v>
      </c>
      <c r="Q205" s="24">
        <f t="shared" si="75"/>
        <v>4.2834028323037461E-2</v>
      </c>
    </row>
    <row r="206" spans="2:17">
      <c r="C206" s="24">
        <f t="shared" si="76"/>
        <v>1.75</v>
      </c>
      <c r="D206" s="24">
        <v>1.0151675825917046</v>
      </c>
      <c r="E206" s="24">
        <v>6.1720159670783366</v>
      </c>
      <c r="F206" s="24">
        <v>297.25273559680556</v>
      </c>
      <c r="G206" s="24">
        <v>2.1033456325531006</v>
      </c>
      <c r="H206" s="24">
        <v>31.420806281586884</v>
      </c>
      <c r="I206" s="24">
        <v>17.886495747907773</v>
      </c>
      <c r="J206" s="24">
        <v>15.247506141662598</v>
      </c>
      <c r="K206" s="24">
        <v>0.71534377336502075</v>
      </c>
      <c r="L206" s="24">
        <f t="shared" si="70"/>
        <v>0.52178758196957231</v>
      </c>
      <c r="M206" s="24">
        <f t="shared" si="71"/>
        <v>0.29725273559680554</v>
      </c>
      <c r="N206" s="24">
        <f t="shared" si="72"/>
        <v>0.37331805464839335</v>
      </c>
      <c r="O206" s="24">
        <f t="shared" si="73"/>
        <v>0.88197710788499861</v>
      </c>
      <c r="P206" s="24">
        <f t="shared" si="74"/>
        <v>8.9359382764437556E-2</v>
      </c>
      <c r="Q206" s="24">
        <f t="shared" si="75"/>
        <v>3.7823511109259716E-2</v>
      </c>
    </row>
    <row r="207" spans="2:17">
      <c r="C207" s="24">
        <f t="shared" si="76"/>
        <v>2</v>
      </c>
      <c r="D207" s="24">
        <v>1.0333059824769641</v>
      </c>
      <c r="E207" s="24">
        <v>6.2707682225515891</v>
      </c>
      <c r="F207" s="24">
        <v>270.57532818720529</v>
      </c>
      <c r="G207" s="24">
        <v>2.3476967811584473</v>
      </c>
      <c r="H207" s="24">
        <v>31.398885123422058</v>
      </c>
      <c r="I207" s="24">
        <v>17.243465225311436</v>
      </c>
      <c r="J207" s="24">
        <v>14.671504020690918</v>
      </c>
      <c r="K207" s="24">
        <v>0.68990010023117065</v>
      </c>
      <c r="L207" s="24">
        <f t="shared" si="70"/>
        <v>0.4756367729694253</v>
      </c>
      <c r="M207" s="24">
        <f t="shared" si="71"/>
        <v>0.27057532818720531</v>
      </c>
      <c r="N207" s="24">
        <f t="shared" si="72"/>
        <v>0.32806504618310539</v>
      </c>
      <c r="O207" s="24">
        <f t="shared" si="73"/>
        <v>0.85026948842758554</v>
      </c>
      <c r="P207" s="24">
        <f t="shared" si="74"/>
        <v>8.614685799671587E-2</v>
      </c>
      <c r="Q207" s="24">
        <f t="shared" si="75"/>
        <v>3.3238606502847566E-2</v>
      </c>
    </row>
    <row r="208" spans="2:17">
      <c r="C208" s="24">
        <f t="shared" si="76"/>
        <v>2.25</v>
      </c>
      <c r="D208" s="24">
        <v>1.0561649854744704</v>
      </c>
      <c r="E208" s="24">
        <v>6.394208541893156</v>
      </c>
      <c r="F208" s="24">
        <v>250.02785353670166</v>
      </c>
      <c r="G208" s="24">
        <v>2.5906445980072021</v>
      </c>
      <c r="H208" s="24">
        <v>31.371483675716028</v>
      </c>
      <c r="I208" s="24">
        <v>16.684808505251269</v>
      </c>
      <c r="J208" s="24">
        <v>14.184508323669434</v>
      </c>
      <c r="K208" s="24">
        <v>0.69218266010284424</v>
      </c>
      <c r="L208" s="24">
        <f t="shared" si="70"/>
        <v>0.42924421645720595</v>
      </c>
      <c r="M208" s="24">
        <f t="shared" si="71"/>
        <v>0.25002785353670165</v>
      </c>
      <c r="N208" s="24">
        <f t="shared" si="72"/>
        <v>0.28647430214300423</v>
      </c>
      <c r="O208" s="24">
        <f t="shared" si="73"/>
        <v>0.82272231288221243</v>
      </c>
      <c r="P208" s="24">
        <f t="shared" si="74"/>
        <v>8.3355857434874614E-2</v>
      </c>
      <c r="Q208" s="24">
        <f t="shared" si="75"/>
        <v>2.9024751990172671E-2</v>
      </c>
    </row>
    <row r="209" spans="2:17">
      <c r="C209" s="24">
        <f t="shared" si="76"/>
        <v>2.5</v>
      </c>
      <c r="D209" s="24">
        <v>1.0653691146800695</v>
      </c>
      <c r="E209" s="24">
        <v>6.443584669629784</v>
      </c>
      <c r="F209" s="24">
        <v>230.0123370815669</v>
      </c>
      <c r="G209" s="24">
        <v>2.8378264904022217</v>
      </c>
      <c r="H209" s="24">
        <v>31.360523096633614</v>
      </c>
      <c r="I209" s="24">
        <v>16.066074389452751</v>
      </c>
      <c r="J209" s="24">
        <v>13.679510116577148</v>
      </c>
      <c r="K209" s="24">
        <v>0.69480746984481812</v>
      </c>
      <c r="L209" s="24">
        <f t="shared" si="70"/>
        <v>0.38321002095370027</v>
      </c>
      <c r="M209" s="24">
        <f t="shared" si="71"/>
        <v>0.2300123370815669</v>
      </c>
      <c r="N209" s="24">
        <f t="shared" si="72"/>
        <v>0.24626722813703583</v>
      </c>
      <c r="O209" s="24">
        <f t="shared" si="73"/>
        <v>0.79221274109727569</v>
      </c>
      <c r="P209" s="24">
        <f t="shared" si="74"/>
        <v>8.0264715410058335E-2</v>
      </c>
      <c r="Q209" s="24">
        <f t="shared" si="75"/>
        <v>2.4951086943975263E-2</v>
      </c>
    </row>
    <row r="210" spans="2:17">
      <c r="C210" s="24">
        <f t="shared" si="76"/>
        <v>2.75</v>
      </c>
      <c r="D210" s="24">
        <v>1.0699846364725729</v>
      </c>
      <c r="E210" s="24">
        <v>6.4682727334980967</v>
      </c>
      <c r="F210" s="24">
        <v>212.29658338538127</v>
      </c>
      <c r="G210" s="24">
        <v>3.0864181518554687</v>
      </c>
      <c r="H210" s="24">
        <v>31.355042807092406</v>
      </c>
      <c r="I210" s="24">
        <v>15.455057922271502</v>
      </c>
      <c r="J210" s="24">
        <v>13.202509880065918</v>
      </c>
      <c r="K210" s="24">
        <v>0.67488068342208862</v>
      </c>
      <c r="L210" s="24">
        <f t="shared" si="70"/>
        <v>0.33729933314792082</v>
      </c>
      <c r="M210" s="24">
        <f t="shared" si="71"/>
        <v>0.21229658338538127</v>
      </c>
      <c r="N210" s="24">
        <f t="shared" si="72"/>
        <v>0.20851922923778674</v>
      </c>
      <c r="O210" s="24">
        <f t="shared" si="73"/>
        <v>0.76208372397788471</v>
      </c>
      <c r="P210" s="24">
        <f t="shared" si="74"/>
        <v>7.7212130088944758E-2</v>
      </c>
      <c r="Q210" s="24">
        <f t="shared" si="75"/>
        <v>2.1126568311832499E-2</v>
      </c>
    </row>
    <row r="211" spans="2:17">
      <c r="C211" s="24">
        <f t="shared" si="76"/>
        <v>3</v>
      </c>
      <c r="D211" s="24">
        <v>1.0932050937754676</v>
      </c>
      <c r="E211" s="24">
        <v>6.5917130528396637</v>
      </c>
      <c r="F211" s="24">
        <v>200.55991312082352</v>
      </c>
      <c r="G211" s="24">
        <v>3.3293819427490234</v>
      </c>
      <c r="H211" s="24">
        <v>31.327641359386377</v>
      </c>
      <c r="I211" s="24">
        <v>15.023467653310998</v>
      </c>
      <c r="J211" s="24">
        <v>12.859501838684082</v>
      </c>
      <c r="K211" s="24">
        <v>0.71273070573806763</v>
      </c>
      <c r="L211" s="24">
        <f t="shared" si="70"/>
        <v>0.29063418074468839</v>
      </c>
      <c r="M211" s="24">
        <f t="shared" si="71"/>
        <v>0.20055991312082352</v>
      </c>
      <c r="N211" s="24">
        <f t="shared" si="72"/>
        <v>0.17465332853457471</v>
      </c>
      <c r="O211" s="24">
        <f t="shared" si="73"/>
        <v>0.74080215253012804</v>
      </c>
      <c r="P211" s="24">
        <f t="shared" si="74"/>
        <v>7.5055942505585421E-2</v>
      </c>
      <c r="Q211" s="24">
        <f t="shared" si="75"/>
        <v>1.7695372698538474E-2</v>
      </c>
    </row>
    <row r="212" spans="2:17">
      <c r="C212" s="24">
        <f t="shared" si="76"/>
        <v>3.25</v>
      </c>
      <c r="D212" s="24">
        <v>1.1025604046495283</v>
      </c>
      <c r="E212" s="24">
        <v>6.6410891805762917</v>
      </c>
      <c r="F212" s="24">
        <v>188.09706520712439</v>
      </c>
      <c r="G212" s="24">
        <v>3.5765700340270996</v>
      </c>
      <c r="H212" s="24">
        <v>31.316680780303962</v>
      </c>
      <c r="I212" s="24">
        <v>14.523844107471124</v>
      </c>
      <c r="J212" s="24">
        <v>12.486510276794434</v>
      </c>
      <c r="K212" s="24">
        <v>0.69737744331359863</v>
      </c>
      <c r="L212" s="24">
        <f t="shared" si="70"/>
        <v>0.24443418885334078</v>
      </c>
      <c r="M212" s="24">
        <f t="shared" si="71"/>
        <v>0.18809706520712438</v>
      </c>
      <c r="N212" s="24">
        <f t="shared" si="72"/>
        <v>0.1420049621376831</v>
      </c>
      <c r="O212" s="24">
        <f t="shared" si="73"/>
        <v>0.71616588301139661</v>
      </c>
      <c r="P212" s="24">
        <f t="shared" si="74"/>
        <v>7.2559866566504219E-2</v>
      </c>
      <c r="Q212" s="24">
        <f t="shared" si="75"/>
        <v>1.4387534157819971E-2</v>
      </c>
    </row>
    <row r="213" spans="2:17">
      <c r="C213" s="24">
        <f t="shared" si="76"/>
        <v>3.5</v>
      </c>
      <c r="D213" s="24">
        <v>1.1072529533814897</v>
      </c>
      <c r="E213" s="24">
        <v>6.6657772444446044</v>
      </c>
      <c r="F213" s="24">
        <v>176.52657438602427</v>
      </c>
      <c r="G213" s="24">
        <v>3.825164794921875</v>
      </c>
      <c r="H213" s="24">
        <v>31.311200490762754</v>
      </c>
      <c r="I213" s="24">
        <v>14.022578971696019</v>
      </c>
      <c r="J213" s="24">
        <v>12.125515937805176</v>
      </c>
      <c r="K213" s="24">
        <v>0.71097862720489502</v>
      </c>
      <c r="L213" s="24">
        <f t="shared" si="70"/>
        <v>0.19839334818884147</v>
      </c>
      <c r="M213" s="24">
        <f t="shared" si="71"/>
        <v>0.17652657438602426</v>
      </c>
      <c r="N213" s="24">
        <f t="shared" si="72"/>
        <v>0.11127945569748859</v>
      </c>
      <c r="O213" s="24">
        <f t="shared" si="73"/>
        <v>0.69144866724339338</v>
      </c>
      <c r="P213" s="24">
        <f t="shared" si="74"/>
        <v>7.0055589386362055E-2</v>
      </c>
      <c r="Q213" s="24">
        <f t="shared" si="75"/>
        <v>1.1274514255064703E-2</v>
      </c>
    </row>
    <row r="214" spans="2:17">
      <c r="C214" s="24">
        <f t="shared" si="76"/>
        <v>3.75</v>
      </c>
      <c r="D214" s="24">
        <v>1.1166684977696801</v>
      </c>
      <c r="E214" s="24">
        <v>6.7398414360495451</v>
      </c>
      <c r="F214" s="24">
        <v>167.71164619007814</v>
      </c>
      <c r="G214" s="24">
        <v>4.0709514617919922</v>
      </c>
      <c r="H214" s="24">
        <v>31.294759622139136</v>
      </c>
      <c r="I214" s="24">
        <v>13.622591073851844</v>
      </c>
      <c r="J214" s="24">
        <v>11.836515426635742</v>
      </c>
      <c r="K214" s="24">
        <v>0.72956424951553345</v>
      </c>
      <c r="L214" s="24">
        <f t="shared" si="70"/>
        <v>0.15189189560466562</v>
      </c>
      <c r="M214" s="24">
        <f t="shared" si="71"/>
        <v>0.16771164619007814</v>
      </c>
      <c r="N214" s="24">
        <f t="shared" si="72"/>
        <v>8.276644725018216E-2</v>
      </c>
      <c r="O214" s="24">
        <f t="shared" si="73"/>
        <v>0.67172539811892717</v>
      </c>
      <c r="P214" s="24">
        <f t="shared" si="74"/>
        <v>6.80572845105296E-2</v>
      </c>
      <c r="Q214" s="24">
        <f t="shared" si="75"/>
        <v>8.3856582826932289E-3</v>
      </c>
    </row>
    <row r="215" spans="2:17">
      <c r="C215" s="24">
        <f t="shared" si="76"/>
        <v>4</v>
      </c>
      <c r="D215" s="24">
        <v>1.1213917636445527</v>
      </c>
      <c r="E215" s="24">
        <v>6.7645294999178587</v>
      </c>
      <c r="F215" s="24">
        <v>158.63856847086106</v>
      </c>
      <c r="G215" s="24">
        <v>4.3195476531982422</v>
      </c>
      <c r="H215" s="24">
        <v>31.289279332597928</v>
      </c>
      <c r="I215" s="24">
        <v>13.182292000429943</v>
      </c>
      <c r="J215" s="24">
        <v>11.532515525817871</v>
      </c>
      <c r="K215" s="24">
        <v>0.74979418516159058</v>
      </c>
      <c r="L215" s="24">
        <f t="shared" si="70"/>
        <v>0.10577995008135428</v>
      </c>
      <c r="M215" s="24">
        <f t="shared" si="71"/>
        <v>0.15863856847086105</v>
      </c>
      <c r="N215" s="24">
        <f t="shared" si="72"/>
        <v>5.5776887590532606E-2</v>
      </c>
      <c r="O215" s="24">
        <f t="shared" si="73"/>
        <v>0.65001439844329101</v>
      </c>
      <c r="P215" s="24">
        <f t="shared" si="74"/>
        <v>6.5857588494761005E-2</v>
      </c>
      <c r="Q215" s="24">
        <f t="shared" si="75"/>
        <v>5.6511537579060399E-3</v>
      </c>
    </row>
    <row r="216" spans="2:17">
      <c r="C216" s="24">
        <f t="shared" si="76"/>
        <v>4.25</v>
      </c>
      <c r="D216" s="24">
        <v>1.1261255422484671</v>
      </c>
      <c r="E216" s="24">
        <v>6.7892175637861731</v>
      </c>
      <c r="F216" s="24">
        <v>150.55298320973023</v>
      </c>
      <c r="G216" s="24">
        <v>4.5681443214416504</v>
      </c>
      <c r="H216" s="24">
        <v>31.283799043056721</v>
      </c>
      <c r="I216" s="24">
        <v>12.770415241971371</v>
      </c>
      <c r="J216" s="24">
        <v>11.253522872924805</v>
      </c>
      <c r="K216" s="24">
        <v>0.73875027894973755</v>
      </c>
      <c r="L216" s="24">
        <f t="shared" si="70"/>
        <v>5.96443015066477E-2</v>
      </c>
      <c r="M216" s="24">
        <f t="shared" si="71"/>
        <v>0.15055298320973023</v>
      </c>
      <c r="N216" s="24">
        <f t="shared" si="72"/>
        <v>3.0467299882289193E-2</v>
      </c>
      <c r="O216" s="24">
        <f t="shared" si="73"/>
        <v>0.62970489358833182</v>
      </c>
      <c r="P216" s="24">
        <f t="shared" si="74"/>
        <v>6.3799887901553387E-2</v>
      </c>
      <c r="Q216" s="24">
        <f t="shared" si="75"/>
        <v>3.0868591572734746E-3</v>
      </c>
    </row>
    <row r="217" spans="2:17">
      <c r="B217">
        <v>20</v>
      </c>
      <c r="C217" s="26">
        <v>0.1</v>
      </c>
      <c r="D217" s="24">
        <v>0.8355594217123069</v>
      </c>
      <c r="E217" s="24">
        <v>5.1104292207408575</v>
      </c>
      <c r="F217" s="24">
        <v>1006.2494389481111</v>
      </c>
      <c r="G217" s="24">
        <v>0.51447135210037231</v>
      </c>
      <c r="H217" s="24">
        <v>31.656458731858766</v>
      </c>
      <c r="I217" s="24">
        <v>19.386175935800321</v>
      </c>
      <c r="J217" s="24">
        <v>16.878503799438477</v>
      </c>
      <c r="K217" s="24">
        <v>0.97442537546157837</v>
      </c>
      <c r="L217" s="24">
        <f t="shared" si="70"/>
        <v>0.82477045347198741</v>
      </c>
      <c r="M217" s="24">
        <f t="shared" si="71"/>
        <v>1.0062494389481111</v>
      </c>
      <c r="N217" s="24">
        <f>(L217*I217)/20</f>
        <v>0.79945725588288796</v>
      </c>
      <c r="O217" s="24">
        <f>I217/15.28</f>
        <v>1.2687287916099688</v>
      </c>
      <c r="P217" s="24">
        <f>I217/((20-4.72)*9.87)</f>
        <v>0.12854395051772732</v>
      </c>
      <c r="Q217" s="24">
        <f>(L217*I217)/(20*9.87)</f>
        <v>8.0998708802724223E-2</v>
      </c>
    </row>
    <row r="218" spans="2:17">
      <c r="C218" s="26">
        <v>0.15</v>
      </c>
      <c r="D218" s="24">
        <v>0.86123355585784656</v>
      </c>
      <c r="E218" s="24">
        <v>5.2832456678190507</v>
      </c>
      <c r="F218" s="24">
        <v>965.23240502302974</v>
      </c>
      <c r="G218" s="24">
        <v>0.55447036027908325</v>
      </c>
      <c r="H218" s="24">
        <v>31.618096705070322</v>
      </c>
      <c r="I218" s="24">
        <v>19.304148588064859</v>
      </c>
      <c r="J218" s="24">
        <v>16.758510589599609</v>
      </c>
      <c r="K218" s="24">
        <v>1.0086313486099243</v>
      </c>
      <c r="L218" s="24">
        <f t="shared" ref="L218:L237" si="77">((101.3*(-0.0043+0.01*EXP(0.0511*H218)))-C218)/(101.3*(0.0043+0.01*EXP(0.0511*H218)))</f>
        <v>0.81541590185042256</v>
      </c>
      <c r="M218" s="24">
        <f t="shared" ref="M218:M237" si="78">F218/1000</f>
        <v>0.96523240502302976</v>
      </c>
      <c r="N218" s="24">
        <f t="shared" ref="N218:N236" si="79">(L218*I218)/20</f>
        <v>0.7870454865195734</v>
      </c>
      <c r="O218" s="24">
        <f t="shared" ref="O218:O236" si="80">I218/15.28</f>
        <v>1.2633605096901086</v>
      </c>
      <c r="P218" s="24">
        <f t="shared" ref="P218:P236" si="81">I218/((20-4.72)*9.87)</f>
        <v>0.12800005164033521</v>
      </c>
      <c r="Q218" s="24">
        <f t="shared" ref="Q218:Q236" si="82">(L218*I218)/(20*9.87)</f>
        <v>7.9741184044536326E-2</v>
      </c>
    </row>
    <row r="219" spans="2:17">
      <c r="C219" s="26">
        <v>0.2</v>
      </c>
      <c r="D219" s="24">
        <v>0.8655297974962316</v>
      </c>
      <c r="E219" s="24">
        <v>5.3079337316873643</v>
      </c>
      <c r="F219" s="24">
        <v>891.63365613946678</v>
      </c>
      <c r="G219" s="24">
        <v>0.60304325819015503</v>
      </c>
      <c r="H219" s="24">
        <v>31.612616415529114</v>
      </c>
      <c r="I219" s="24">
        <v>19.080729336254901</v>
      </c>
      <c r="J219" s="24">
        <v>16.532512664794922</v>
      </c>
      <c r="K219" s="24">
        <v>0.95612955093383789</v>
      </c>
      <c r="L219" s="24">
        <f t="shared" si="77"/>
        <v>0.8063281581364915</v>
      </c>
      <c r="M219" s="24">
        <f t="shared" si="78"/>
        <v>0.89163365613946677</v>
      </c>
      <c r="N219" s="24">
        <f t="shared" si="79"/>
        <v>0.76926646708016677</v>
      </c>
      <c r="O219" s="24">
        <f t="shared" si="80"/>
        <v>1.2487388309067344</v>
      </c>
      <c r="P219" s="24">
        <f t="shared" si="81"/>
        <v>0.12651862521851412</v>
      </c>
      <c r="Q219" s="24">
        <f t="shared" si="82"/>
        <v>7.7939864952397853E-2</v>
      </c>
    </row>
    <row r="220" spans="2:17">
      <c r="C220" s="24">
        <v>0.25</v>
      </c>
      <c r="D220" s="24">
        <v>0.86983132689587239</v>
      </c>
      <c r="E220" s="24">
        <v>5.3326217955556778</v>
      </c>
      <c r="F220" s="24">
        <v>829.00682223365675</v>
      </c>
      <c r="G220" s="24">
        <v>0.65161657333374023</v>
      </c>
      <c r="H220" s="24">
        <v>31.607136125987907</v>
      </c>
      <c r="I220" s="24">
        <v>18.86059970770112</v>
      </c>
      <c r="J220" s="24">
        <v>16.313503265380859</v>
      </c>
      <c r="K220" s="24">
        <v>0.94399666786193848</v>
      </c>
      <c r="L220" s="24">
        <f t="shared" si="77"/>
        <v>0.79723573815397231</v>
      </c>
      <c r="M220" s="24">
        <f t="shared" si="78"/>
        <v>0.82900682223365674</v>
      </c>
      <c r="N220" s="24">
        <f t="shared" si="79"/>
        <v>0.75181720649978478</v>
      </c>
      <c r="O220" s="24">
        <f t="shared" si="80"/>
        <v>1.2343324416034764</v>
      </c>
      <c r="P220" s="24">
        <f t="shared" si="81"/>
        <v>0.12505901130734309</v>
      </c>
      <c r="Q220" s="24">
        <f t="shared" si="82"/>
        <v>7.6171956079005565E-2</v>
      </c>
    </row>
    <row r="221" spans="2:17">
      <c r="C221" s="24">
        <f t="shared" ref="C221:C236" si="83">C220+0.25</f>
        <v>0.5</v>
      </c>
      <c r="D221" s="24">
        <v>0.93063886370112159</v>
      </c>
      <c r="E221" s="24">
        <v>5.678254689712066</v>
      </c>
      <c r="F221" s="24">
        <v>652.39565819502889</v>
      </c>
      <c r="G221" s="24">
        <v>0.88168460130691528</v>
      </c>
      <c r="H221" s="24">
        <v>31.530412072411018</v>
      </c>
      <c r="I221" s="24">
        <v>18.075310686710754</v>
      </c>
      <c r="J221" s="24">
        <v>15.510505676269531</v>
      </c>
      <c r="K221" s="24">
        <v>0.90175843238830566</v>
      </c>
      <c r="L221" s="24">
        <f t="shared" si="77"/>
        <v>0.75112638307734003</v>
      </c>
      <c r="M221" s="24">
        <f t="shared" si="78"/>
        <v>0.65239565819502887</v>
      </c>
      <c r="N221" s="24">
        <f t="shared" si="79"/>
        <v>0.67884213695541207</v>
      </c>
      <c r="O221" s="24">
        <f t="shared" si="80"/>
        <v>1.1829391810674579</v>
      </c>
      <c r="P221" s="24">
        <f t="shared" si="81"/>
        <v>0.11985199402912439</v>
      </c>
      <c r="Q221" s="24">
        <f t="shared" si="82"/>
        <v>6.8778332011693227E-2</v>
      </c>
    </row>
    <row r="222" spans="2:17">
      <c r="C222" s="24">
        <f t="shared" si="83"/>
        <v>0.75</v>
      </c>
      <c r="D222" s="24">
        <v>0.95706273280331888</v>
      </c>
      <c r="E222" s="24">
        <v>5.8263830729219475</v>
      </c>
      <c r="F222" s="24">
        <v>525.48999594979148</v>
      </c>
      <c r="G222" s="24">
        <v>1.1231662034988403</v>
      </c>
      <c r="H222" s="24">
        <v>31.497530335163777</v>
      </c>
      <c r="I222" s="24">
        <v>17.184396033280212</v>
      </c>
      <c r="J222" s="24">
        <v>14.700508117675781</v>
      </c>
      <c r="K222" s="24">
        <v>0.85965901613235474</v>
      </c>
      <c r="L222" s="24">
        <f t="shared" si="77"/>
        <v>0.70529492444458752</v>
      </c>
      <c r="M222" s="24">
        <f t="shared" si="78"/>
        <v>0.52548999594979151</v>
      </c>
      <c r="N222" s="24">
        <f t="shared" si="79"/>
        <v>0.60600336509591179</v>
      </c>
      <c r="O222" s="24">
        <f t="shared" si="80"/>
        <v>1.1246332482513228</v>
      </c>
      <c r="P222" s="24">
        <f t="shared" si="81"/>
        <v>0.11394460468605093</v>
      </c>
      <c r="Q222" s="24">
        <f t="shared" si="82"/>
        <v>6.1398517233628359E-2</v>
      </c>
    </row>
    <row r="223" spans="2:17">
      <c r="C223" s="24">
        <f t="shared" si="83"/>
        <v>1</v>
      </c>
      <c r="D223" s="24">
        <v>0.99267361510418117</v>
      </c>
      <c r="E223" s="24">
        <v>6.0238875838684551</v>
      </c>
      <c r="F223" s="24">
        <v>448.08789882211448</v>
      </c>
      <c r="G223" s="24">
        <v>1.3618305921554565</v>
      </c>
      <c r="H223" s="24">
        <v>31.453688018834125</v>
      </c>
      <c r="I223" s="24">
        <v>16.446009323325001</v>
      </c>
      <c r="J223" s="24">
        <v>14.052508354187012</v>
      </c>
      <c r="K223" s="24">
        <v>0.82770335674285889</v>
      </c>
      <c r="L223" s="24">
        <f t="shared" si="77"/>
        <v>0.65914647402167459</v>
      </c>
      <c r="M223" s="24">
        <f t="shared" si="78"/>
        <v>0.44808789882211447</v>
      </c>
      <c r="N223" s="24">
        <f t="shared" si="79"/>
        <v>0.542016452859863</v>
      </c>
      <c r="O223" s="24">
        <f t="shared" si="80"/>
        <v>1.076309510688809</v>
      </c>
      <c r="P223" s="24">
        <f t="shared" si="81"/>
        <v>0.10904858264324305</v>
      </c>
      <c r="Q223" s="24">
        <f t="shared" si="82"/>
        <v>5.4915547402215104E-2</v>
      </c>
    </row>
    <row r="224" spans="2:17">
      <c r="C224" s="24">
        <f t="shared" si="83"/>
        <v>1.25</v>
      </c>
      <c r="D224" s="24">
        <v>1.0106535840118041</v>
      </c>
      <c r="E224" s="24">
        <v>6.1226398393417085</v>
      </c>
      <c r="F224" s="24">
        <v>386.14998559959048</v>
      </c>
      <c r="G224" s="24">
        <v>1.6061723232269287</v>
      </c>
      <c r="H224" s="24">
        <v>31.431766860669299</v>
      </c>
      <c r="I224" s="24">
        <v>15.671092778750957</v>
      </c>
      <c r="J224" s="24">
        <v>13.422511100769043</v>
      </c>
      <c r="K224" s="24">
        <v>0.83254003524780273</v>
      </c>
      <c r="L224" s="24">
        <f t="shared" si="77"/>
        <v>0.61320788609849886</v>
      </c>
      <c r="M224" s="24">
        <f t="shared" si="78"/>
        <v>0.38614998559959046</v>
      </c>
      <c r="N224" s="24">
        <f t="shared" si="79"/>
        <v>0.48048188378556622</v>
      </c>
      <c r="O224" s="24">
        <f t="shared" si="80"/>
        <v>1.0255950771433873</v>
      </c>
      <c r="P224" s="24">
        <f t="shared" si="81"/>
        <v>0.10391034216245057</v>
      </c>
      <c r="Q224" s="24">
        <f t="shared" si="82"/>
        <v>4.8681041923562943E-2</v>
      </c>
    </row>
    <row r="225" spans="2:17">
      <c r="C225" s="24">
        <f t="shared" si="83"/>
        <v>1.5</v>
      </c>
      <c r="D225" s="24">
        <v>1.0333059824769641</v>
      </c>
      <c r="E225" s="24">
        <v>6.2707682225515891</v>
      </c>
      <c r="F225" s="24">
        <v>343.79495335746481</v>
      </c>
      <c r="G225" s="24">
        <v>1.8476967811584473</v>
      </c>
      <c r="H225" s="24">
        <v>31.398885123422058</v>
      </c>
      <c r="I225" s="24">
        <v>15.032553360113679</v>
      </c>
      <c r="J225" s="24">
        <v>12.914518356323242</v>
      </c>
      <c r="K225" s="24">
        <v>0.80891859531402588</v>
      </c>
      <c r="L225" s="24">
        <f t="shared" si="77"/>
        <v>0.56695170742678691</v>
      </c>
      <c r="M225" s="24">
        <f t="shared" si="78"/>
        <v>0.34379495335746479</v>
      </c>
      <c r="N225" s="24">
        <f t="shared" si="79"/>
        <v>0.42613658972503671</v>
      </c>
      <c r="O225" s="24">
        <f t="shared" si="80"/>
        <v>0.98380584817497907</v>
      </c>
      <c r="P225" s="24">
        <f t="shared" si="81"/>
        <v>9.9676377727961396E-2</v>
      </c>
      <c r="Q225" s="24">
        <f t="shared" si="82"/>
        <v>4.3174933102840603E-2</v>
      </c>
    </row>
    <row r="226" spans="2:17">
      <c r="C226" s="24">
        <f t="shared" si="83"/>
        <v>1.75</v>
      </c>
      <c r="D226" s="24">
        <v>1.0469958891891562</v>
      </c>
      <c r="E226" s="24">
        <v>6.3448324141565289</v>
      </c>
      <c r="F226" s="24">
        <v>307.01814110035212</v>
      </c>
      <c r="G226" s="24">
        <v>2.0934643745422363</v>
      </c>
      <c r="H226" s="24">
        <v>31.38244425479844</v>
      </c>
      <c r="I226" s="24">
        <v>14.367460126896633</v>
      </c>
      <c r="J226" s="24">
        <v>12.41651439666748</v>
      </c>
      <c r="K226" s="24">
        <v>0.78661030530929565</v>
      </c>
      <c r="L226" s="24">
        <f t="shared" si="77"/>
        <v>0.52092392878393834</v>
      </c>
      <c r="M226" s="24">
        <f t="shared" si="78"/>
        <v>0.30701814110035214</v>
      </c>
      <c r="N226" s="24">
        <f t="shared" si="79"/>
        <v>0.37421768879747874</v>
      </c>
      <c r="O226" s="24">
        <f t="shared" si="80"/>
        <v>0.94027880411627185</v>
      </c>
      <c r="P226" s="24">
        <f t="shared" si="81"/>
        <v>9.5266342868923173E-2</v>
      </c>
      <c r="Q226" s="24">
        <f t="shared" si="82"/>
        <v>3.7914659452632095E-2</v>
      </c>
    </row>
    <row r="227" spans="2:17">
      <c r="C227" s="24">
        <f t="shared" si="83"/>
        <v>2</v>
      </c>
      <c r="D227" s="24">
        <v>1.0653691146800695</v>
      </c>
      <c r="E227" s="24">
        <v>6.443584669629784</v>
      </c>
      <c r="F227" s="24">
        <v>279.20596369786642</v>
      </c>
      <c r="G227" s="24">
        <v>2.3378264904022217</v>
      </c>
      <c r="H227" s="24">
        <v>31.360523096633614</v>
      </c>
      <c r="I227" s="24">
        <v>13.791756512876406</v>
      </c>
      <c r="J227" s="24">
        <v>11.994511604309082</v>
      </c>
      <c r="K227" s="24">
        <v>0.80447208881378174</v>
      </c>
      <c r="L227" s="24">
        <f t="shared" si="77"/>
        <v>0.47468985576618428</v>
      </c>
      <c r="M227" s="24">
        <f t="shared" si="78"/>
        <v>0.27920596369786643</v>
      </c>
      <c r="N227" s="24">
        <f t="shared" si="79"/>
        <v>0.32734034549298169</v>
      </c>
      <c r="O227" s="24">
        <f t="shared" si="80"/>
        <v>0.90260186602594283</v>
      </c>
      <c r="P227" s="24">
        <f t="shared" si="81"/>
        <v>9.1449023913469374E-2</v>
      </c>
      <c r="Q227" s="24">
        <f t="shared" si="82"/>
        <v>3.3165181914182544E-2</v>
      </c>
    </row>
    <row r="228" spans="2:17">
      <c r="C228" s="24">
        <f t="shared" si="83"/>
        <v>2.25</v>
      </c>
      <c r="D228" s="24">
        <v>1.0699846364725729</v>
      </c>
      <c r="E228" s="24">
        <v>6.4682727334980967</v>
      </c>
      <c r="F228" s="24">
        <v>253.33723713239408</v>
      </c>
      <c r="G228" s="24">
        <v>2.5864181518554687</v>
      </c>
      <c r="H228" s="24">
        <v>31.355042807092406</v>
      </c>
      <c r="I228" s="24">
        <v>13.179073181214012</v>
      </c>
      <c r="J228" s="24">
        <v>11.569510459899902</v>
      </c>
      <c r="K228" s="24">
        <v>0.82519799470901489</v>
      </c>
      <c r="L228" s="24">
        <f t="shared" si="77"/>
        <v>0.4288027473460661</v>
      </c>
      <c r="M228" s="24">
        <f t="shared" si="78"/>
        <v>0.25333723713239409</v>
      </c>
      <c r="N228" s="24">
        <f t="shared" si="79"/>
        <v>0.28256113937897137</v>
      </c>
      <c r="O228" s="24">
        <f t="shared" si="80"/>
        <v>0.86250478934646679</v>
      </c>
      <c r="P228" s="24">
        <f t="shared" si="81"/>
        <v>8.7386503479885178E-2</v>
      </c>
      <c r="Q228" s="24">
        <f t="shared" si="82"/>
        <v>2.8628281598679979E-2</v>
      </c>
    </row>
    <row r="229" spans="2:17">
      <c r="C229" s="24">
        <f t="shared" si="83"/>
        <v>2.5</v>
      </c>
      <c r="D229" s="24">
        <v>1.0885420734398328</v>
      </c>
      <c r="E229" s="24">
        <v>6.5670249889713519</v>
      </c>
      <c r="F229" s="24">
        <v>235.00154655420263</v>
      </c>
      <c r="G229" s="24">
        <v>2.8307883739471436</v>
      </c>
      <c r="H229" s="24">
        <v>31.33312164892758</v>
      </c>
      <c r="I229" s="24">
        <v>12.704828006713406</v>
      </c>
      <c r="J229" s="24">
        <v>11.23851203918457</v>
      </c>
      <c r="K229" s="24">
        <v>0.81129509210586548</v>
      </c>
      <c r="L229" s="24">
        <f t="shared" si="77"/>
        <v>0.38241474307360201</v>
      </c>
      <c r="M229" s="24">
        <f t="shared" si="78"/>
        <v>0.23500154655420263</v>
      </c>
      <c r="N229" s="24">
        <f t="shared" si="79"/>
        <v>0.24292567689908054</v>
      </c>
      <c r="O229" s="24">
        <f t="shared" si="80"/>
        <v>0.83146780148647947</v>
      </c>
      <c r="P229" s="24">
        <f t="shared" si="81"/>
        <v>8.4241925175935095E-2</v>
      </c>
      <c r="Q229" s="24">
        <f t="shared" si="82"/>
        <v>2.4612530587546155E-2</v>
      </c>
    </row>
    <row r="230" spans="2:17">
      <c r="C230" s="24">
        <f t="shared" si="83"/>
        <v>2.75</v>
      </c>
      <c r="D230" s="24">
        <v>1.1072529533814897</v>
      </c>
      <c r="E230" s="24">
        <v>6.6657772444446044</v>
      </c>
      <c r="F230" s="24">
        <v>219.57952936995952</v>
      </c>
      <c r="G230" s="24">
        <v>3.075164794921875</v>
      </c>
      <c r="H230" s="24">
        <v>31.311200490762754</v>
      </c>
      <c r="I230" s="24">
        <v>12.273127795866746</v>
      </c>
      <c r="J230" s="24">
        <v>10.942517280578613</v>
      </c>
      <c r="K230" s="24">
        <v>0.84119135141372681</v>
      </c>
      <c r="L230" s="24">
        <f t="shared" si="77"/>
        <v>0.33593172200514942</v>
      </c>
      <c r="M230" s="24">
        <f t="shared" si="78"/>
        <v>0.2195795293699595</v>
      </c>
      <c r="N230" s="24">
        <f t="shared" si="79"/>
        <v>0.206146647742739</v>
      </c>
      <c r="O230" s="24">
        <f t="shared" si="80"/>
        <v>0.80321516988656716</v>
      </c>
      <c r="P230" s="24">
        <f t="shared" si="81"/>
        <v>8.1379449836531614E-2</v>
      </c>
      <c r="Q230" s="24">
        <f t="shared" si="82"/>
        <v>2.0886185181635156E-2</v>
      </c>
    </row>
    <row r="231" spans="2:17">
      <c r="C231" s="24">
        <f t="shared" si="83"/>
        <v>3</v>
      </c>
      <c r="D231" s="24">
        <v>1.1072529533814897</v>
      </c>
      <c r="E231" s="24">
        <v>6.6657772444446044</v>
      </c>
      <c r="F231" s="24">
        <v>203.07060846095374</v>
      </c>
      <c r="G231" s="24">
        <v>3.325164794921875</v>
      </c>
      <c r="H231" s="24">
        <v>31.311200490762754</v>
      </c>
      <c r="I231" s="24">
        <v>11.761740069141078</v>
      </c>
      <c r="J231" s="24">
        <v>10.613506317138672</v>
      </c>
      <c r="K231" s="24">
        <v>0.82774519920349121</v>
      </c>
      <c r="L231" s="24">
        <f t="shared" si="77"/>
        <v>0.29008559739971346</v>
      </c>
      <c r="M231" s="24">
        <f t="shared" si="78"/>
        <v>0.20307060846095373</v>
      </c>
      <c r="N231" s="24">
        <f t="shared" si="79"/>
        <v>0.17059556972084683</v>
      </c>
      <c r="O231" s="24">
        <f t="shared" si="80"/>
        <v>0.76974738672389253</v>
      </c>
      <c r="P231" s="24">
        <f t="shared" si="81"/>
        <v>7.7988590346898937E-2</v>
      </c>
      <c r="Q231" s="24">
        <f t="shared" si="82"/>
        <v>1.7284252251352265E-2</v>
      </c>
    </row>
    <row r="232" spans="2:17">
      <c r="C232" s="24">
        <f t="shared" si="83"/>
        <v>3.25</v>
      </c>
      <c r="D232" s="24">
        <v>1.1119556063944751</v>
      </c>
      <c r="E232" s="24">
        <v>6.690465308312918</v>
      </c>
      <c r="F232" s="24">
        <v>189.64456443819779</v>
      </c>
      <c r="G232" s="24">
        <v>3.5737597942352295</v>
      </c>
      <c r="H232" s="24">
        <v>31.305720201221547</v>
      </c>
      <c r="I232" s="24">
        <v>11.316242174881893</v>
      </c>
      <c r="J232" s="24">
        <v>10.329505920410156</v>
      </c>
      <c r="K232" s="24">
        <v>0.86224400997161865</v>
      </c>
      <c r="L232" s="24">
        <f t="shared" si="77"/>
        <v>0.24404471091256927</v>
      </c>
      <c r="M232" s="24">
        <f t="shared" si="78"/>
        <v>0.1896445644381978</v>
      </c>
      <c r="N232" s="24">
        <f t="shared" si="79"/>
        <v>0.13808345250928378</v>
      </c>
      <c r="O232" s="24">
        <f t="shared" si="80"/>
        <v>0.74059176537185167</v>
      </c>
      <c r="P232" s="24">
        <f t="shared" si="81"/>
        <v>7.5034626684078176E-2</v>
      </c>
      <c r="Q232" s="24">
        <f t="shared" si="82"/>
        <v>1.3990218086046989E-2</v>
      </c>
    </row>
    <row r="233" spans="2:17">
      <c r="C233" s="24">
        <f t="shared" si="83"/>
        <v>3.5</v>
      </c>
      <c r="D233" s="24">
        <v>1.1213917636445527</v>
      </c>
      <c r="E233" s="24">
        <v>6.7645294999178587</v>
      </c>
      <c r="F233" s="24">
        <v>179.40523870721015</v>
      </c>
      <c r="G233" s="24">
        <v>3.8195476531982422</v>
      </c>
      <c r="H233" s="24">
        <v>31.289279332597928</v>
      </c>
      <c r="I233" s="24">
        <v>10.959520544364988</v>
      </c>
      <c r="J233" s="24">
        <v>10.099504470825195</v>
      </c>
      <c r="K233" s="24">
        <v>0.90389549732208252</v>
      </c>
      <c r="L233" s="24">
        <f t="shared" si="77"/>
        <v>0.19756675019125022</v>
      </c>
      <c r="M233" s="24">
        <f t="shared" si="78"/>
        <v>0.17940523870721015</v>
      </c>
      <c r="N233" s="24">
        <f t="shared" si="79"/>
        <v>0.1082618428802216</v>
      </c>
      <c r="O233" s="24">
        <f t="shared" si="80"/>
        <v>0.71724610892441021</v>
      </c>
      <c r="P233" s="24">
        <f t="shared" si="81"/>
        <v>7.2669311947761925E-2</v>
      </c>
      <c r="Q233" s="24">
        <f t="shared" si="82"/>
        <v>1.0968778407317286E-2</v>
      </c>
    </row>
    <row r="234" spans="2:17">
      <c r="C234" s="24">
        <f t="shared" si="83"/>
        <v>3.75</v>
      </c>
      <c r="D234" s="24">
        <v>1.1261255422484671</v>
      </c>
      <c r="E234" s="24">
        <v>6.7892175637861731</v>
      </c>
      <c r="F234" s="24">
        <v>169.05687285509808</v>
      </c>
      <c r="G234" s="24">
        <v>4.0681443214416504</v>
      </c>
      <c r="H234" s="24">
        <v>31.283799043056721</v>
      </c>
      <c r="I234" s="24">
        <v>10.575019938854192</v>
      </c>
      <c r="J234" s="24">
        <v>9.8615131378173828</v>
      </c>
      <c r="K234" s="24">
        <v>0.89443743228912354</v>
      </c>
      <c r="L234" s="24">
        <f t="shared" si="77"/>
        <v>0.15145475324758947</v>
      </c>
      <c r="M234" s="24">
        <f t="shared" si="78"/>
        <v>0.16905687285509807</v>
      </c>
      <c r="N234" s="24">
        <f t="shared" si="79"/>
        <v>8.0081851771375029E-2</v>
      </c>
      <c r="O234" s="24">
        <f t="shared" si="80"/>
        <v>0.69208245673129531</v>
      </c>
      <c r="P234" s="24">
        <f t="shared" si="81"/>
        <v>7.011980311360641E-2</v>
      </c>
      <c r="Q234" s="24">
        <f t="shared" si="82"/>
        <v>8.1136627934523843E-3</v>
      </c>
    </row>
    <row r="235" spans="2:17">
      <c r="C235" s="24">
        <f t="shared" si="83"/>
        <v>4</v>
      </c>
      <c r="D235" s="24">
        <v>1.1308699739390309</v>
      </c>
      <c r="E235" s="24">
        <v>6.8139056276544858</v>
      </c>
      <c r="F235" s="24">
        <v>159.90039596636325</v>
      </c>
      <c r="G235" s="24">
        <v>4.3167414665222168</v>
      </c>
      <c r="H235" s="24">
        <v>31.278318753515517</v>
      </c>
      <c r="I235" s="24">
        <v>10.218158077255756</v>
      </c>
      <c r="J235" s="24">
        <v>9.6435108184814453</v>
      </c>
      <c r="K235" s="24">
        <v>0.9424700140953064</v>
      </c>
      <c r="L235" s="24">
        <f t="shared" si="77"/>
        <v>0.10531905046066521</v>
      </c>
      <c r="M235" s="24">
        <f t="shared" si="78"/>
        <v>0.15990039596636324</v>
      </c>
      <c r="N235" s="24">
        <f t="shared" si="79"/>
        <v>5.3808335307677646E-2</v>
      </c>
      <c r="O235" s="24">
        <f t="shared" si="80"/>
        <v>0.66872762285705212</v>
      </c>
      <c r="P235" s="24">
        <f t="shared" si="81"/>
        <v>6.775355854681378E-2</v>
      </c>
      <c r="Q235" s="24">
        <f t="shared" si="82"/>
        <v>5.4517057049318796E-3</v>
      </c>
    </row>
    <row r="236" spans="2:17">
      <c r="C236" s="24">
        <f t="shared" si="83"/>
        <v>4.25</v>
      </c>
      <c r="D236" s="24">
        <v>1.1308699739390309</v>
      </c>
      <c r="E236" s="24">
        <v>6.8139056276544858</v>
      </c>
      <c r="F236" s="24">
        <v>151.14686767698643</v>
      </c>
      <c r="G236" s="24">
        <v>4.5667414665222168</v>
      </c>
      <c r="H236" s="24">
        <v>31.278318753515517</v>
      </c>
      <c r="I236" s="24">
        <v>9.8587889440006897</v>
      </c>
      <c r="J236" s="24">
        <v>9.4295082092285156</v>
      </c>
      <c r="K236" s="24">
        <v>0.93413406610488892</v>
      </c>
      <c r="L236" s="24">
        <f t="shared" si="77"/>
        <v>5.9401995992377499E-2</v>
      </c>
      <c r="M236" s="24">
        <f t="shared" si="78"/>
        <v>0.15114686767698643</v>
      </c>
      <c r="N236" s="24">
        <f t="shared" si="79"/>
        <v>2.9281587067061226E-2</v>
      </c>
      <c r="O236" s="24">
        <f t="shared" si="80"/>
        <v>0.64520870052360535</v>
      </c>
      <c r="P236" s="24">
        <f t="shared" si="81"/>
        <v>6.5370689009483826E-2</v>
      </c>
      <c r="Q236" s="24">
        <f t="shared" si="82"/>
        <v>2.9667261466120799E-3</v>
      </c>
    </row>
    <row r="237" spans="2:17">
      <c r="B237">
        <v>15</v>
      </c>
      <c r="C237" s="26">
        <v>0.1</v>
      </c>
      <c r="D237" s="24">
        <v>0.89575488518364721</v>
      </c>
      <c r="E237" s="24">
        <v>5.4560621148972457</v>
      </c>
      <c r="F237" s="24">
        <v>1117.7175810491203</v>
      </c>
      <c r="G237" s="24">
        <v>0.49448904395103455</v>
      </c>
      <c r="H237" s="24">
        <v>31.579734678281874</v>
      </c>
      <c r="I237" s="24">
        <v>14.787159025550134</v>
      </c>
      <c r="J237" s="24">
        <v>12.856508255004883</v>
      </c>
      <c r="K237" s="24">
        <v>1.0919849872589111</v>
      </c>
      <c r="L237" s="24">
        <f t="shared" si="77"/>
        <v>0.82413639587925047</v>
      </c>
      <c r="M237" s="24">
        <f t="shared" si="78"/>
        <v>1.1177175810491202</v>
      </c>
      <c r="N237" s="24">
        <f>(L237*I237)/15</f>
        <v>0.81244239630734782</v>
      </c>
      <c r="O237" s="24">
        <f>I237/10.28</f>
        <v>1.4384395939251104</v>
      </c>
      <c r="P237" s="24">
        <f>I237/((15-4.72)*9.87)</f>
        <v>0.14573856068136881</v>
      </c>
      <c r="Q237" s="24">
        <f>(L237*I237)/(15*9.87)</f>
        <v>8.2314325867005864E-2</v>
      </c>
    </row>
    <row r="238" spans="2:17">
      <c r="C238" s="26">
        <v>0.15</v>
      </c>
      <c r="D238" s="24">
        <v>0.90009441534285695</v>
      </c>
      <c r="E238" s="24">
        <v>5.5054382426338719</v>
      </c>
      <c r="F238" s="24">
        <v>1029.6507885543722</v>
      </c>
      <c r="G238" s="24">
        <v>0.54164081811904907</v>
      </c>
      <c r="H238" s="24">
        <v>31.568774099199462</v>
      </c>
      <c r="I238" s="24">
        <v>14.590686688738547</v>
      </c>
      <c r="J238" s="24">
        <v>12.70350456237793</v>
      </c>
      <c r="K238" s="24">
        <v>1.0837992429733276</v>
      </c>
      <c r="L238" s="24">
        <f t="shared" ref="L238:L256" si="84">((101.3*(-0.0043+0.01*EXP(0.0511*H238)))-C238)/(101.3*(0.0043+0.01*EXP(0.0511*H238)))</f>
        <v>0.81498685302132245</v>
      </c>
      <c r="M238" s="24">
        <f t="shared" ref="M238:M256" si="85">F238/1000</f>
        <v>1.0296507885543722</v>
      </c>
      <c r="N238" s="24">
        <f t="shared" ref="N238:N256" si="86">(L238*I238)/15</f>
        <v>0.79274785519167523</v>
      </c>
      <c r="O238" s="24">
        <f t="shared" ref="O238:O256" si="87">I238/10.28</f>
        <v>1.4193274989045279</v>
      </c>
      <c r="P238" s="24">
        <f t="shared" ref="P238:P256" si="88">I238/((15-4.72)*9.87)</f>
        <v>0.14380217820714569</v>
      </c>
      <c r="Q238" s="24">
        <f t="shared" ref="Q238:Q256" si="89">(L238*I238)/(15*9.87)</f>
        <v>8.0318931630362231E-2</v>
      </c>
    </row>
    <row r="239" spans="2:17">
      <c r="C239" s="26">
        <v>0.2</v>
      </c>
      <c r="D239" s="24">
        <v>0.93063886370112159</v>
      </c>
      <c r="E239" s="24">
        <v>5.678254689712066</v>
      </c>
      <c r="F239" s="24">
        <v>988.86442489431386</v>
      </c>
      <c r="G239" s="24">
        <v>0.58168458938598633</v>
      </c>
      <c r="H239" s="24">
        <v>31.530412072411018</v>
      </c>
      <c r="I239" s="24">
        <v>14.514585361572134</v>
      </c>
      <c r="J239" s="24">
        <v>12.621504783630371</v>
      </c>
      <c r="K239" s="24">
        <v>1.1488633155822754</v>
      </c>
      <c r="L239" s="24">
        <f t="shared" si="84"/>
        <v>0.80557735601801739</v>
      </c>
      <c r="M239" s="24">
        <f t="shared" si="85"/>
        <v>0.98886442489431381</v>
      </c>
      <c r="N239" s="24">
        <f t="shared" si="86"/>
        <v>0.77950808661820659</v>
      </c>
      <c r="O239" s="24">
        <f t="shared" si="87"/>
        <v>1.4119246460673283</v>
      </c>
      <c r="P239" s="24">
        <f t="shared" si="88"/>
        <v>0.14305214245869588</v>
      </c>
      <c r="Q239" s="24">
        <f t="shared" si="89"/>
        <v>7.8977516374691664E-2</v>
      </c>
    </row>
    <row r="240" spans="2:17">
      <c r="C240" s="24">
        <v>0.25</v>
      </c>
      <c r="D240" s="24">
        <v>0.93502624615893282</v>
      </c>
      <c r="E240" s="24">
        <v>5.7029427535803805</v>
      </c>
      <c r="F240" s="24">
        <v>916.61307405052878</v>
      </c>
      <c r="G240" s="24">
        <v>0.63026386499404907</v>
      </c>
      <c r="H240" s="24">
        <v>31.52493178286981</v>
      </c>
      <c r="I240" s="24">
        <v>14.312096384129054</v>
      </c>
      <c r="J240" s="24">
        <v>12.470503807067871</v>
      </c>
      <c r="K240" s="24">
        <v>1.0720659494400024</v>
      </c>
      <c r="L240" s="24">
        <f t="shared" si="84"/>
        <v>0.7964497051152466</v>
      </c>
      <c r="M240" s="24">
        <f t="shared" si="85"/>
        <v>0.91661307405052883</v>
      </c>
      <c r="N240" s="24">
        <f t="shared" si="86"/>
        <v>0.75992432964803813</v>
      </c>
      <c r="O240" s="24">
        <f t="shared" si="87"/>
        <v>1.3922272747207252</v>
      </c>
      <c r="P240" s="24">
        <f t="shared" si="88"/>
        <v>0.14105646147119807</v>
      </c>
      <c r="Q240" s="24">
        <f t="shared" si="89"/>
        <v>7.6993346468899507E-2</v>
      </c>
    </row>
    <row r="241" spans="3:17">
      <c r="C241" s="24">
        <f t="shared" ref="C241:C256" si="90">C240+0.25</f>
        <v>0.5</v>
      </c>
      <c r="D241" s="24">
        <v>0.97036328499137692</v>
      </c>
      <c r="E241" s="24">
        <v>5.9004472645268882</v>
      </c>
      <c r="F241" s="24">
        <v>687.88904744265494</v>
      </c>
      <c r="G241" s="24">
        <v>0.86891239881515503</v>
      </c>
      <c r="H241" s="24">
        <v>31.481089466540158</v>
      </c>
      <c r="I241" s="24">
        <v>13.448895044425676</v>
      </c>
      <c r="J241" s="24">
        <v>11.831508636474609</v>
      </c>
      <c r="K241" s="24">
        <v>1.0395891666412354</v>
      </c>
      <c r="L241" s="24">
        <f t="shared" si="84"/>
        <v>0.75054810409358219</v>
      </c>
      <c r="M241" s="24">
        <f t="shared" si="85"/>
        <v>0.68788904744265489</v>
      </c>
      <c r="N241" s="24">
        <f t="shared" si="86"/>
        <v>0.67293617851648435</v>
      </c>
      <c r="O241" s="24">
        <f t="shared" si="87"/>
        <v>1.3082582728040542</v>
      </c>
      <c r="P241" s="24">
        <f t="shared" si="88"/>
        <v>0.13254896380993456</v>
      </c>
      <c r="Q241" s="24">
        <f t="shared" si="89"/>
        <v>6.8179957296502974E-2</v>
      </c>
    </row>
    <row r="242" spans="3:17">
      <c r="C242" s="24">
        <f t="shared" si="90"/>
        <v>0.75</v>
      </c>
      <c r="D242" s="24">
        <v>1.0061472849468667</v>
      </c>
      <c r="E242" s="24">
        <v>6.0979517754733958</v>
      </c>
      <c r="F242" s="24">
        <v>557.71953828944368</v>
      </c>
      <c r="G242" s="24">
        <v>1.1075862646102905</v>
      </c>
      <c r="H242" s="24">
        <v>31.437247150210506</v>
      </c>
      <c r="I242" s="24">
        <v>12.713949591261086</v>
      </c>
      <c r="J242" s="24">
        <v>11.305507659912109</v>
      </c>
      <c r="K242" s="24">
        <v>1.0809007883071899</v>
      </c>
      <c r="L242" s="24">
        <f t="shared" si="84"/>
        <v>0.70445789480555676</v>
      </c>
      <c r="M242" s="24">
        <f t="shared" si="85"/>
        <v>0.55771953828944365</v>
      </c>
      <c r="N242" s="24">
        <f t="shared" si="86"/>
        <v>0.59709614424825019</v>
      </c>
      <c r="O242" s="24">
        <f t="shared" si="87"/>
        <v>1.2367655244417399</v>
      </c>
      <c r="P242" s="24">
        <f t="shared" si="88"/>
        <v>0.12530552425954811</v>
      </c>
      <c r="Q242" s="24">
        <f t="shared" si="89"/>
        <v>6.0496063247036505E-2</v>
      </c>
    </row>
    <row r="243" spans="3:17">
      <c r="C243" s="24">
        <f t="shared" si="90"/>
        <v>1</v>
      </c>
      <c r="D243" s="24">
        <v>1.0151675825917046</v>
      </c>
      <c r="E243" s="24">
        <v>6.1473279032100221</v>
      </c>
      <c r="F243" s="24">
        <v>459.65698684951496</v>
      </c>
      <c r="G243" s="24">
        <v>1.3547587394714355</v>
      </c>
      <c r="H243" s="24">
        <v>31.426286571128092</v>
      </c>
      <c r="I243" s="24">
        <v>11.938678260671431</v>
      </c>
      <c r="J243" s="24">
        <v>10.79050350189209</v>
      </c>
      <c r="K243" s="24">
        <v>1.0563127994537354</v>
      </c>
      <c r="L243" s="24">
        <f t="shared" si="84"/>
        <v>0.65870681700228584</v>
      </c>
      <c r="M243" s="24">
        <f t="shared" si="85"/>
        <v>0.45965698684951495</v>
      </c>
      <c r="N243" s="24">
        <f t="shared" si="86"/>
        <v>0.52427258375341756</v>
      </c>
      <c r="O243" s="24">
        <f t="shared" si="87"/>
        <v>1.1613500253571432</v>
      </c>
      <c r="P243" s="24">
        <f t="shared" si="88"/>
        <v>0.11766464289332756</v>
      </c>
      <c r="Q243" s="24">
        <f t="shared" si="89"/>
        <v>5.3117789640670481E-2</v>
      </c>
    </row>
    <row r="244" spans="3:17">
      <c r="C244" s="24">
        <f t="shared" si="90"/>
        <v>1.25</v>
      </c>
      <c r="D244" s="24">
        <v>1.0424241979049065</v>
      </c>
      <c r="E244" s="24">
        <v>6.3201443502882162</v>
      </c>
      <c r="F244" s="24">
        <v>401.4300357808815</v>
      </c>
      <c r="G244" s="24">
        <v>1.5948747396469116</v>
      </c>
      <c r="H244" s="24">
        <v>31.387924544339647</v>
      </c>
      <c r="I244" s="24">
        <v>11.372295808451081</v>
      </c>
      <c r="J244" s="24">
        <v>10.408506393432617</v>
      </c>
      <c r="K244" s="24">
        <v>1.0391081571578979</v>
      </c>
      <c r="L244" s="24">
        <f t="shared" si="84"/>
        <v>0.61240941610341459</v>
      </c>
      <c r="M244" s="24">
        <f t="shared" si="85"/>
        <v>0.40143003578088149</v>
      </c>
      <c r="N244" s="24">
        <f t="shared" si="86"/>
        <v>0.4643000690539224</v>
      </c>
      <c r="O244" s="24">
        <f t="shared" si="87"/>
        <v>1.1062544560750081</v>
      </c>
      <c r="P244" s="24">
        <f t="shared" si="88"/>
        <v>0.11208251834599878</v>
      </c>
      <c r="Q244" s="24">
        <f t="shared" si="89"/>
        <v>4.7041547016608155E-2</v>
      </c>
    </row>
    <row r="245" spans="3:17">
      <c r="C245" s="24">
        <f t="shared" si="90"/>
        <v>1.5</v>
      </c>
      <c r="D245" s="24">
        <v>1.0607626140251496</v>
      </c>
      <c r="E245" s="24">
        <v>6.4188966057614696</v>
      </c>
      <c r="F245" s="24">
        <v>353.5350692689733</v>
      </c>
      <c r="G245" s="24">
        <v>1.8392354249954224</v>
      </c>
      <c r="H245" s="24">
        <v>31.366003386174821</v>
      </c>
      <c r="I245" s="24">
        <v>10.807431744905665</v>
      </c>
      <c r="J245" s="24">
        <v>10.045496940612793</v>
      </c>
      <c r="K245" s="24">
        <v>1.0233700275421143</v>
      </c>
      <c r="L245" s="24">
        <f t="shared" si="84"/>
        <v>0.56628148619353502</v>
      </c>
      <c r="M245" s="24">
        <f t="shared" si="85"/>
        <v>0.35353506926897332</v>
      </c>
      <c r="N245" s="24">
        <f t="shared" si="86"/>
        <v>0.40800323402935795</v>
      </c>
      <c r="O245" s="24">
        <f t="shared" si="87"/>
        <v>1.0513065899713683</v>
      </c>
      <c r="P245" s="24">
        <f t="shared" si="88"/>
        <v>0.10651535865971309</v>
      </c>
      <c r="Q245" s="24">
        <f t="shared" si="89"/>
        <v>4.1337713680786023E-2</v>
      </c>
    </row>
    <row r="246" spans="3:17">
      <c r="C246" s="24">
        <f t="shared" si="90"/>
        <v>1.75</v>
      </c>
      <c r="D246" s="24">
        <v>1.0699846364725729</v>
      </c>
      <c r="E246" s="24">
        <v>6.4682727334980967</v>
      </c>
      <c r="F246" s="24">
        <v>314.04827850965029</v>
      </c>
      <c r="G246" s="24">
        <v>2.0864181518554687</v>
      </c>
      <c r="H246" s="24">
        <v>31.355042807092406</v>
      </c>
      <c r="I246" s="24">
        <v>10.259723359654361</v>
      </c>
      <c r="J246" s="24">
        <v>9.7065010070800781</v>
      </c>
      <c r="K246" s="24">
        <v>1.0092099905014038</v>
      </c>
      <c r="L246" s="24">
        <f t="shared" si="84"/>
        <v>0.52030616154421128</v>
      </c>
      <c r="M246" s="24">
        <f t="shared" si="85"/>
        <v>0.31404827850965028</v>
      </c>
      <c r="N246" s="24">
        <f t="shared" si="86"/>
        <v>0.35587981865114932</v>
      </c>
      <c r="O246" s="24">
        <f t="shared" si="87"/>
        <v>0.99802756416871219</v>
      </c>
      <c r="P246" s="24">
        <f t="shared" si="88"/>
        <v>0.1011172810707915</v>
      </c>
      <c r="Q246" s="24">
        <f t="shared" si="89"/>
        <v>3.6056719214908751E-2</v>
      </c>
    </row>
    <row r="247" spans="3:17">
      <c r="C247" s="24">
        <f t="shared" si="90"/>
        <v>2</v>
      </c>
      <c r="D247" s="24">
        <v>1.0838886409310622</v>
      </c>
      <c r="E247" s="24">
        <v>6.5423369251030374</v>
      </c>
      <c r="F247" s="24">
        <v>284.16949665963159</v>
      </c>
      <c r="G247" s="24">
        <v>2.3321952819824219</v>
      </c>
      <c r="H247" s="24">
        <v>31.338601938468788</v>
      </c>
      <c r="I247" s="24">
        <v>9.7893824746070717</v>
      </c>
      <c r="J247" s="24">
        <v>9.4174985885620117</v>
      </c>
      <c r="K247" s="24">
        <v>1.0706847906112671</v>
      </c>
      <c r="L247" s="24">
        <f t="shared" si="84"/>
        <v>0.4741480591989104</v>
      </c>
      <c r="M247" s="24">
        <f t="shared" si="85"/>
        <v>0.28416949665963159</v>
      </c>
      <c r="N247" s="24">
        <f t="shared" si="86"/>
        <v>0.30944111340605129</v>
      </c>
      <c r="O247" s="24">
        <f t="shared" si="87"/>
        <v>0.95227455978668019</v>
      </c>
      <c r="P247" s="24">
        <f t="shared" si="88"/>
        <v>9.648171831678623E-2</v>
      </c>
      <c r="Q247" s="24">
        <f t="shared" si="89"/>
        <v>3.1351683222497602E-2</v>
      </c>
    </row>
    <row r="248" spans="3:17">
      <c r="C248" s="24">
        <f t="shared" si="90"/>
        <v>2.25</v>
      </c>
      <c r="D248" s="24">
        <v>1.0932050937754676</v>
      </c>
      <c r="E248" s="24">
        <v>6.5917130528396637</v>
      </c>
      <c r="F248" s="24">
        <v>258.87618588126338</v>
      </c>
      <c r="G248" s="24">
        <v>2.5793819427490234</v>
      </c>
      <c r="H248" s="24">
        <v>31.327641359386377</v>
      </c>
      <c r="I248" s="24">
        <v>9.343750170031063</v>
      </c>
      <c r="J248" s="24">
        <v>9.1504850387573242</v>
      </c>
      <c r="K248" s="24">
        <v>1.0598927736282349</v>
      </c>
      <c r="L248" s="24">
        <f t="shared" si="84"/>
        <v>0.42806627236571448</v>
      </c>
      <c r="M248" s="24">
        <f t="shared" si="85"/>
        <v>0.25887618588126338</v>
      </c>
      <c r="N248" s="24">
        <f t="shared" si="86"/>
        <v>0.26664962034678052</v>
      </c>
      <c r="O248" s="24">
        <f t="shared" si="87"/>
        <v>0.9089251138162513</v>
      </c>
      <c r="P248" s="24">
        <f t="shared" si="88"/>
        <v>9.2089677185030527E-2</v>
      </c>
      <c r="Q248" s="24">
        <f t="shared" si="89"/>
        <v>2.701617227424322E-2</v>
      </c>
    </row>
    <row r="249" spans="3:17">
      <c r="C249" s="24">
        <f t="shared" si="90"/>
        <v>2.5</v>
      </c>
      <c r="D249" s="24">
        <v>1.0978778281385975</v>
      </c>
      <c r="E249" s="24">
        <v>6.6164011167079773</v>
      </c>
      <c r="F249" s="24">
        <v>237.00395280368323</v>
      </c>
      <c r="G249" s="24">
        <v>2.8279757499694824</v>
      </c>
      <c r="H249" s="24">
        <v>31.322161069845169</v>
      </c>
      <c r="I249" s="24">
        <v>8.917876108160943</v>
      </c>
      <c r="J249" s="24">
        <v>8.9014911651611328</v>
      </c>
      <c r="K249" s="24">
        <v>1.1342025995254517</v>
      </c>
      <c r="L249" s="24">
        <f t="shared" si="84"/>
        <v>0.38209636978122613</v>
      </c>
      <c r="M249" s="24">
        <f t="shared" si="85"/>
        <v>0.23700395280368322</v>
      </c>
      <c r="N249" s="24">
        <f t="shared" si="86"/>
        <v>0.22716587247246836</v>
      </c>
      <c r="O249" s="24">
        <f t="shared" si="87"/>
        <v>0.86749767589114235</v>
      </c>
      <c r="P249" s="24">
        <f t="shared" si="88"/>
        <v>8.7892368378028607E-2</v>
      </c>
      <c r="Q249" s="24">
        <f t="shared" si="89"/>
        <v>2.3015792550402064E-2</v>
      </c>
    </row>
    <row r="250" spans="3:17">
      <c r="C250" s="24">
        <f t="shared" si="90"/>
        <v>2.75</v>
      </c>
      <c r="D250" s="24">
        <v>1.1166684977696801</v>
      </c>
      <c r="E250" s="24">
        <v>6.7151533721812315</v>
      </c>
      <c r="F250" s="24">
        <v>221.40831835495698</v>
      </c>
      <c r="G250" s="24">
        <v>3.0723552703857422</v>
      </c>
      <c r="H250" s="24">
        <v>31.300239911680343</v>
      </c>
      <c r="I250" s="24">
        <v>8.5974242626244148</v>
      </c>
      <c r="J250" s="24">
        <v>8.708500862121582</v>
      </c>
      <c r="K250" s="24">
        <v>1.1266021728515625</v>
      </c>
      <c r="L250" s="24">
        <f t="shared" si="84"/>
        <v>0.33558941673710263</v>
      </c>
      <c r="M250" s="24">
        <f t="shared" si="85"/>
        <v>0.22140831835495697</v>
      </c>
      <c r="N250" s="24">
        <f t="shared" si="86"/>
        <v>0.1923469729157028</v>
      </c>
      <c r="O250" s="24">
        <f t="shared" si="87"/>
        <v>0.83632531737591587</v>
      </c>
      <c r="P250" s="24">
        <f t="shared" si="88"/>
        <v>8.4734074708806062E-2</v>
      </c>
      <c r="Q250" s="24">
        <f t="shared" si="89"/>
        <v>1.9488041835430882E-2</v>
      </c>
    </row>
    <row r="251" spans="3:17">
      <c r="C251" s="24">
        <f t="shared" si="90"/>
        <v>3</v>
      </c>
      <c r="D251" s="24">
        <v>1.1213917636445527</v>
      </c>
      <c r="E251" s="24">
        <v>6.7398414360495451</v>
      </c>
      <c r="F251" s="24">
        <v>205.58746091085979</v>
      </c>
      <c r="G251" s="24">
        <v>3.3209512233734131</v>
      </c>
      <c r="H251" s="24">
        <v>31.294759622139136</v>
      </c>
      <c r="I251" s="24">
        <v>8.2405897701599642</v>
      </c>
      <c r="J251" s="24">
        <v>8.5045156478881836</v>
      </c>
      <c r="K251" s="24">
        <v>1.1188468933105469</v>
      </c>
      <c r="L251" s="24">
        <f t="shared" si="84"/>
        <v>0.28953662666826857</v>
      </c>
      <c r="M251" s="24">
        <f t="shared" si="85"/>
        <v>0.20558746091085978</v>
      </c>
      <c r="N251" s="24">
        <f t="shared" si="86"/>
        <v>0.15906350425394392</v>
      </c>
      <c r="O251" s="24">
        <f t="shared" si="87"/>
        <v>0.8016137908715919</v>
      </c>
      <c r="P251" s="24">
        <f t="shared" si="88"/>
        <v>8.1217202722552367E-2</v>
      </c>
      <c r="Q251" s="24">
        <f t="shared" si="89"/>
        <v>1.6115856560683275E-2</v>
      </c>
    </row>
    <row r="252" spans="3:17">
      <c r="C252" s="24">
        <f t="shared" si="90"/>
        <v>3.25</v>
      </c>
      <c r="D252" s="24">
        <v>1.1308699739390309</v>
      </c>
      <c r="E252" s="24">
        <v>6.7892175637861731</v>
      </c>
      <c r="F252" s="24">
        <v>192.74662061983366</v>
      </c>
      <c r="G252" s="24">
        <v>3.5681443214416504</v>
      </c>
      <c r="H252" s="24">
        <v>31.283799043056721</v>
      </c>
      <c r="I252" s="24">
        <v>7.9341610664801792</v>
      </c>
      <c r="J252" s="24">
        <v>8.3285207748413086</v>
      </c>
      <c r="K252" s="24">
        <v>1.2103308439254761</v>
      </c>
      <c r="L252" s="24">
        <f t="shared" si="84"/>
        <v>0.24326520498853127</v>
      </c>
      <c r="M252" s="24">
        <f t="shared" si="85"/>
        <v>0.19274662061983366</v>
      </c>
      <c r="N252" s="24">
        <f t="shared" si="86"/>
        <v>0.12867368788328831</v>
      </c>
      <c r="O252" s="24">
        <f t="shared" si="87"/>
        <v>0.77180555121402528</v>
      </c>
      <c r="P252" s="24">
        <f t="shared" si="88"/>
        <v>7.8197117650863748E-2</v>
      </c>
      <c r="Q252" s="24">
        <f t="shared" si="89"/>
        <v>1.3036847809856974E-2</v>
      </c>
    </row>
    <row r="253" spans="3:17">
      <c r="C253" s="24">
        <f t="shared" si="90"/>
        <v>3.5</v>
      </c>
      <c r="D253" s="24">
        <v>1.1308699739390309</v>
      </c>
      <c r="E253" s="24">
        <v>6.7892175637861731</v>
      </c>
      <c r="F253" s="24">
        <v>180.1261818807439</v>
      </c>
      <c r="G253" s="24">
        <v>3.8181443214416504</v>
      </c>
      <c r="H253" s="24">
        <v>31.283799043056721</v>
      </c>
      <c r="I253" s="24">
        <v>7.6125463541808394</v>
      </c>
      <c r="J253" s="24">
        <v>8.1505165100097656</v>
      </c>
      <c r="K253" s="24">
        <v>1.203707218170166</v>
      </c>
      <c r="L253" s="24">
        <f t="shared" si="84"/>
        <v>0.19735997911806039</v>
      </c>
      <c r="M253" s="24">
        <f t="shared" si="85"/>
        <v>0.18012618188074389</v>
      </c>
      <c r="N253" s="24">
        <f t="shared" si="86"/>
        <v>0.10016079929975981</v>
      </c>
      <c r="O253" s="24">
        <f t="shared" si="87"/>
        <v>0.74052007336389492</v>
      </c>
      <c r="P253" s="24">
        <f t="shared" si="88"/>
        <v>7.502736305611904E-2</v>
      </c>
      <c r="Q253" s="24">
        <f t="shared" si="89"/>
        <v>1.0148003981738584E-2</v>
      </c>
    </row>
    <row r="254" spans="3:17">
      <c r="C254" s="24">
        <f t="shared" si="90"/>
        <v>3.75</v>
      </c>
      <c r="D254" s="24">
        <v>1.1308699739390309</v>
      </c>
      <c r="E254" s="24">
        <v>6.7892175637861731</v>
      </c>
      <c r="F254" s="24">
        <v>169.05687285509808</v>
      </c>
      <c r="G254" s="24">
        <v>4.0681443214416504</v>
      </c>
      <c r="H254" s="24">
        <v>31.283799043056721</v>
      </c>
      <c r="I254" s="24">
        <v>7.3153291128460474</v>
      </c>
      <c r="J254" s="24">
        <v>7.987513542175293</v>
      </c>
      <c r="K254" s="24">
        <v>1.1977834701538086</v>
      </c>
      <c r="L254" s="24">
        <f t="shared" si="84"/>
        <v>0.15145475324758947</v>
      </c>
      <c r="M254" s="24">
        <f t="shared" si="85"/>
        <v>0.16905687285509807</v>
      </c>
      <c r="N254" s="24">
        <f t="shared" si="86"/>
        <v>7.3862757714067057E-2</v>
      </c>
      <c r="O254" s="24">
        <f t="shared" si="87"/>
        <v>0.71160789035467387</v>
      </c>
      <c r="P254" s="24">
        <f t="shared" si="88"/>
        <v>7.2098063865721776E-2</v>
      </c>
      <c r="Q254" s="24">
        <f t="shared" si="89"/>
        <v>7.4835620784262473E-3</v>
      </c>
    </row>
    <row r="255" spans="3:17">
      <c r="C255" s="24">
        <f t="shared" si="90"/>
        <v>4</v>
      </c>
      <c r="D255" s="24">
        <v>1.1356252012390415</v>
      </c>
      <c r="E255" s="24">
        <v>6.8385936915227994</v>
      </c>
      <c r="F255" s="24">
        <v>160.53190321606351</v>
      </c>
      <c r="G255" s="24">
        <v>4.3153386116027832</v>
      </c>
      <c r="H255" s="24">
        <v>31.27283846397431</v>
      </c>
      <c r="I255" s="24">
        <v>7.079091492025877</v>
      </c>
      <c r="J255" s="24">
        <v>7.8545145988464355</v>
      </c>
      <c r="K255" s="24">
        <v>1.1929608583450317</v>
      </c>
      <c r="L255" s="24">
        <f t="shared" si="84"/>
        <v>0.10508851932189962</v>
      </c>
      <c r="M255" s="24">
        <f t="shared" si="85"/>
        <v>0.1605319032160635</v>
      </c>
      <c r="N255" s="24">
        <f t="shared" si="86"/>
        <v>4.9595416202750438E-2</v>
      </c>
      <c r="O255" s="24">
        <f t="shared" si="87"/>
        <v>0.68862757704531885</v>
      </c>
      <c r="P255" s="24">
        <f t="shared" si="88"/>
        <v>6.9769764644915785E-2</v>
      </c>
      <c r="Q255" s="24">
        <f t="shared" si="89"/>
        <v>5.0248648635005519E-3</v>
      </c>
    </row>
    <row r="256" spans="3:17">
      <c r="C256" s="24">
        <f t="shared" si="90"/>
        <v>4.25</v>
      </c>
      <c r="D256" s="24">
        <v>1.1403913688740999</v>
      </c>
      <c r="E256" s="24">
        <v>6.8632817553911121</v>
      </c>
      <c r="F256" s="24">
        <v>152.33569262452053</v>
      </c>
      <c r="G256" s="24">
        <v>4.563936710357666</v>
      </c>
      <c r="H256" s="24">
        <v>31.267358174433102</v>
      </c>
      <c r="I256" s="24">
        <v>6.8406544549620945</v>
      </c>
      <c r="J256" s="24">
        <v>7.7235150337219238</v>
      </c>
      <c r="K256" s="24">
        <v>1.3050611019134521</v>
      </c>
      <c r="L256" s="24">
        <f t="shared" si="84"/>
        <v>5.8917213937853305E-2</v>
      </c>
      <c r="M256" s="24">
        <f t="shared" si="85"/>
        <v>0.15233569262452054</v>
      </c>
      <c r="N256" s="24">
        <f t="shared" si="86"/>
        <v>2.6868820133195401E-2</v>
      </c>
      <c r="O256" s="24">
        <f t="shared" si="87"/>
        <v>0.66543331273950335</v>
      </c>
      <c r="P256" s="24">
        <f t="shared" si="88"/>
        <v>6.7419788524772373E-2</v>
      </c>
      <c r="Q256" s="24">
        <f t="shared" si="89"/>
        <v>2.7222715433835262E-3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5"/>
  <dimension ref="B1:AE69"/>
  <sheetViews>
    <sheetView topLeftCell="J1" workbookViewId="0">
      <selection activeCell="AA16" sqref="AA16"/>
    </sheetView>
  </sheetViews>
  <sheetFormatPr defaultRowHeight="15"/>
  <cols>
    <col min="1" max="9" width="9.140625" style="17"/>
    <col min="10" max="10" width="12" style="17" bestFit="1" customWidth="1"/>
    <col min="11" max="11" width="12.42578125" style="17" customWidth="1"/>
    <col min="12" max="14" width="9.140625" style="17"/>
    <col min="15" max="15" width="12" style="17" bestFit="1" customWidth="1"/>
    <col min="16" max="16384" width="9.140625" style="17"/>
  </cols>
  <sheetData>
    <row r="1" spans="2:31">
      <c r="J1" s="17" t="s">
        <v>162</v>
      </c>
      <c r="Q1" s="18" t="s">
        <v>231</v>
      </c>
      <c r="AA1" s="29" t="s">
        <v>303</v>
      </c>
      <c r="AB1" s="29"/>
      <c r="AC1" s="29"/>
      <c r="AD1" s="29"/>
      <c r="AE1" s="29"/>
    </row>
    <row r="2" spans="2:31">
      <c r="J2" s="17" t="s">
        <v>163</v>
      </c>
      <c r="Q2" s="17" t="s">
        <v>217</v>
      </c>
      <c r="AA2" s="29" t="s">
        <v>304</v>
      </c>
      <c r="AB2" s="29"/>
      <c r="AC2" s="29"/>
      <c r="AD2" s="29"/>
      <c r="AE2" s="29"/>
    </row>
    <row r="3" spans="2:31">
      <c r="C3" s="17" t="s">
        <v>164</v>
      </c>
      <c r="AA3" s="29" t="s">
        <v>305</v>
      </c>
      <c r="AB3" s="29"/>
      <c r="AC3" s="29"/>
      <c r="AD3" s="29"/>
      <c r="AE3" s="29"/>
    </row>
    <row r="4" spans="2:31">
      <c r="H4" s="17" t="s">
        <v>165</v>
      </c>
      <c r="I4" s="17" t="s">
        <v>166</v>
      </c>
      <c r="J4" s="4">
        <v>27.227</v>
      </c>
      <c r="K4" s="17" t="s">
        <v>167</v>
      </c>
      <c r="Q4" s="17">
        <f>1.67*H11</f>
        <v>167</v>
      </c>
      <c r="R4" s="17" t="s">
        <v>212</v>
      </c>
      <c r="AA4" s="29"/>
      <c r="AB4" s="29"/>
      <c r="AC4" s="29"/>
      <c r="AD4" s="29"/>
      <c r="AE4" s="29"/>
    </row>
    <row r="5" spans="2:31">
      <c r="B5" s="17">
        <v>1000</v>
      </c>
      <c r="C5" s="17" t="s">
        <v>168</v>
      </c>
      <c r="D5" s="17" t="s">
        <v>169</v>
      </c>
      <c r="J5" s="17">
        <v>0.8</v>
      </c>
      <c r="K5" s="17" t="s">
        <v>170</v>
      </c>
      <c r="O5" s="17">
        <v>0.8</v>
      </c>
      <c r="Q5" s="17">
        <v>0.3</v>
      </c>
      <c r="R5" s="17" t="s">
        <v>171</v>
      </c>
      <c r="AA5" s="29">
        <f>0.1013*404.9*EXP((79430*((J4+273.15)-298.15))/(298.15*J18*(J4+273.15)))</f>
        <v>52.014838428917123</v>
      </c>
      <c r="AB5" s="29" t="s">
        <v>306</v>
      </c>
      <c r="AC5" s="29"/>
      <c r="AD5" s="29"/>
      <c r="AE5" s="29"/>
    </row>
    <row r="6" spans="2:31">
      <c r="B6" s="17">
        <v>101.3</v>
      </c>
      <c r="C6" s="17" t="s">
        <v>91</v>
      </c>
      <c r="D6" s="17" t="s">
        <v>172</v>
      </c>
      <c r="J6" s="17">
        <v>0.08</v>
      </c>
      <c r="K6" s="17" t="s">
        <v>173</v>
      </c>
      <c r="Q6" s="17">
        <v>0.9</v>
      </c>
      <c r="R6" s="17" t="s">
        <v>174</v>
      </c>
      <c r="AA6" s="29">
        <f>101.3*278.4*EXP((36380*((J4+273.15)-298.15))/(298.15*J18*(J4+273.15)))</f>
        <v>31443.575725218296</v>
      </c>
      <c r="AB6" s="29" t="s">
        <v>307</v>
      </c>
      <c r="AC6" s="29"/>
      <c r="AD6" s="29"/>
      <c r="AE6" s="29"/>
    </row>
    <row r="7" spans="2:31">
      <c r="B7" s="17">
        <v>140</v>
      </c>
      <c r="C7" s="17" t="s">
        <v>175</v>
      </c>
      <c r="D7" s="17" t="s">
        <v>142</v>
      </c>
      <c r="J7" s="17">
        <v>2000</v>
      </c>
      <c r="K7" s="17" t="s">
        <v>176</v>
      </c>
      <c r="Q7" s="17">
        <f>((Q5*J7+Q14)-SQRT((-Q5*J7-Q14)^2-4*Q6*Q5*Q14*J7))/(2*Q6)</f>
        <v>172.3722168747791</v>
      </c>
      <c r="R7" s="17" t="s">
        <v>177</v>
      </c>
      <c r="AA7" s="29">
        <f>0.1013*42.75*EXP((37830*((J4+273.15)-298))/(298*J18*(J4+273.15)))</f>
        <v>4.8867283483754891</v>
      </c>
      <c r="AB7" s="29" t="s">
        <v>308</v>
      </c>
      <c r="AC7" s="29"/>
      <c r="AD7" s="29"/>
      <c r="AE7" s="29"/>
    </row>
    <row r="8" spans="2:31">
      <c r="B8" s="17">
        <v>5</v>
      </c>
      <c r="C8" s="17" t="s">
        <v>178</v>
      </c>
      <c r="D8" s="17" t="s">
        <v>179</v>
      </c>
      <c r="J8" s="17">
        <f>J9/(2*J10)</f>
        <v>4.5770180038357688</v>
      </c>
      <c r="K8" s="17" t="s">
        <v>180</v>
      </c>
      <c r="AA8" s="29"/>
      <c r="AB8" s="29"/>
      <c r="AC8" s="29"/>
      <c r="AD8" s="29"/>
      <c r="AE8" s="29"/>
    </row>
    <row r="9" spans="2:31">
      <c r="B9" s="17">
        <v>21000</v>
      </c>
      <c r="C9" s="17" t="s">
        <v>181</v>
      </c>
      <c r="D9" s="17" t="s">
        <v>182</v>
      </c>
      <c r="J9" s="17">
        <v>21000</v>
      </c>
      <c r="K9" s="17" t="s">
        <v>183</v>
      </c>
      <c r="Q9" s="17">
        <v>50300</v>
      </c>
      <c r="R9" s="17" t="s">
        <v>206</v>
      </c>
      <c r="AA9" s="29"/>
      <c r="AB9" s="29"/>
      <c r="AC9" s="29"/>
      <c r="AD9" s="29"/>
      <c r="AE9" s="29"/>
    </row>
    <row r="10" spans="2:31">
      <c r="B10" s="17">
        <v>40.4</v>
      </c>
      <c r="C10" s="17" t="s">
        <v>144</v>
      </c>
      <c r="D10" s="17" t="s">
        <v>184</v>
      </c>
      <c r="G10" s="17">
        <v>2600</v>
      </c>
      <c r="H10" s="17">
        <v>2600</v>
      </c>
      <c r="I10" s="17">
        <v>0.56999999999999995</v>
      </c>
      <c r="J10" s="17">
        <f>H10*I10^((J4-25)/10)</f>
        <v>2294.0700672797175</v>
      </c>
      <c r="K10" s="17" t="s">
        <v>185</v>
      </c>
      <c r="Q10" s="17">
        <v>152044</v>
      </c>
      <c r="R10" s="17" t="s">
        <v>207</v>
      </c>
      <c r="AA10" s="29"/>
      <c r="AB10" s="29"/>
      <c r="AC10" s="29"/>
      <c r="AD10" s="29"/>
      <c r="AE10" s="29"/>
    </row>
    <row r="11" spans="2:31">
      <c r="B11" s="17">
        <v>24800</v>
      </c>
      <c r="C11" s="17" t="s">
        <v>145</v>
      </c>
      <c r="D11" s="17" t="s">
        <v>184</v>
      </c>
      <c r="H11" s="17">
        <v>100</v>
      </c>
      <c r="I11" s="17">
        <v>2.4</v>
      </c>
      <c r="J11" s="17">
        <f>H11*I11^((J4-25)/10)</f>
        <v>121.52707455461102</v>
      </c>
      <c r="K11" s="17" t="s">
        <v>186</v>
      </c>
      <c r="Q11" s="17">
        <v>495</v>
      </c>
      <c r="R11" s="17" t="s">
        <v>208</v>
      </c>
      <c r="AA11" s="29"/>
      <c r="AB11" s="29"/>
      <c r="AC11" s="29"/>
      <c r="AD11" s="29"/>
      <c r="AE11" s="29"/>
    </row>
    <row r="12" spans="2:31">
      <c r="B12" s="17">
        <v>100</v>
      </c>
      <c r="C12" s="17" t="s">
        <v>187</v>
      </c>
      <c r="D12" s="17" t="s">
        <v>142</v>
      </c>
      <c r="H12" s="17">
        <v>30</v>
      </c>
      <c r="I12" s="17">
        <v>2.1</v>
      </c>
      <c r="J12" s="17">
        <f>H12*I12^((J4-25)/10)</f>
        <v>35.389912727518805</v>
      </c>
      <c r="K12" s="17" t="s">
        <v>188</v>
      </c>
      <c r="Q12" s="17">
        <f>1+EXP((Q11*298.2-Q10)/(J18*298.2))</f>
        <v>1.167167416471417</v>
      </c>
      <c r="R12" s="17" t="s">
        <v>209</v>
      </c>
      <c r="AA12" s="29"/>
      <c r="AB12" s="29"/>
      <c r="AC12" s="29"/>
      <c r="AD12" s="29"/>
      <c r="AE12" s="29"/>
    </row>
    <row r="13" spans="2:31">
      <c r="B13" s="17">
        <v>1</v>
      </c>
      <c r="C13" s="17" t="s">
        <v>146</v>
      </c>
      <c r="D13" s="17" t="s">
        <v>189</v>
      </c>
      <c r="H13" s="17">
        <v>30000</v>
      </c>
      <c r="I13" s="17">
        <v>1.2</v>
      </c>
      <c r="J13" s="17">
        <f>H13*I13^((J4-25)/10)</f>
        <v>31243.157504780174</v>
      </c>
      <c r="K13" s="17" t="s">
        <v>190</v>
      </c>
      <c r="Q13" s="17">
        <f>(Q12*EXP((Q9/(J18*298.2))*(1-298.2/(273.2+J4))))/(1+EXP((Q11*(J4+273.2)-Q10)/(J18*(J4+273.2))))</f>
        <v>1.0737745978055746</v>
      </c>
      <c r="R13" s="17" t="s">
        <v>210</v>
      </c>
      <c r="AA13" s="29"/>
      <c r="AB13" s="29"/>
      <c r="AC13" s="29"/>
      <c r="AD13" s="29"/>
      <c r="AE13" s="29"/>
    </row>
    <row r="14" spans="2:31">
      <c r="B14" s="17">
        <f>B7*B5/(B5+2.1*B7)</f>
        <v>108.19165378670789</v>
      </c>
      <c r="C14" s="17" t="s">
        <v>191</v>
      </c>
      <c r="D14" s="17" t="s">
        <v>142</v>
      </c>
      <c r="J14" s="17">
        <v>0.99</v>
      </c>
      <c r="K14" s="17" t="s">
        <v>192</v>
      </c>
      <c r="Q14" s="17">
        <f>Q4*Q13</f>
        <v>179.32035783353095</v>
      </c>
      <c r="R14" s="17" t="s">
        <v>211</v>
      </c>
      <c r="AA14" s="29"/>
      <c r="AB14" s="29"/>
      <c r="AC14" s="29"/>
      <c r="AD14" s="29"/>
      <c r="AE14" s="29"/>
    </row>
    <row r="15" spans="2:31">
      <c r="C15" s="17" t="s">
        <v>193</v>
      </c>
      <c r="D15" s="17" t="s">
        <v>194</v>
      </c>
      <c r="E15" s="17" t="s">
        <v>195</v>
      </c>
      <c r="F15" s="17" t="s">
        <v>131</v>
      </c>
      <c r="H15" s="17">
        <f>H11*0.015</f>
        <v>1.5</v>
      </c>
      <c r="I15" s="17">
        <v>2</v>
      </c>
      <c r="J15" s="17">
        <f>H15*I15^((J4-25)/10)</f>
        <v>1.7503731350202956</v>
      </c>
      <c r="K15" s="17" t="s">
        <v>196</v>
      </c>
      <c r="Q15" s="17">
        <v>73637</v>
      </c>
      <c r="R15" s="17" t="s">
        <v>213</v>
      </c>
      <c r="AA15" s="29"/>
      <c r="AB15" s="29"/>
      <c r="AC15" s="29"/>
      <c r="AD15" s="29"/>
      <c r="AE15" s="29"/>
    </row>
    <row r="16" spans="2:31">
      <c r="C16" s="17">
        <v>5</v>
      </c>
      <c r="D16" s="17">
        <f>$B$12*(C16-$B$8)/(C16+$B$10*(1+$B$9/$B$11))-$B$13</f>
        <v>-1</v>
      </c>
      <c r="E16" s="17">
        <f>$B$14*(C16-$B$8)/(4.5*C16+10.5*$B$8)-$B$13</f>
        <v>-1</v>
      </c>
      <c r="F16" s="17">
        <f>MIN(D16:E16)</f>
        <v>-1</v>
      </c>
      <c r="J16" s="17">
        <v>220000</v>
      </c>
      <c r="K16" s="17" t="s">
        <v>197</v>
      </c>
      <c r="Q16" s="17">
        <v>149252</v>
      </c>
      <c r="R16" s="17" t="s">
        <v>214</v>
      </c>
      <c r="AA16" s="29"/>
      <c r="AB16" s="29"/>
      <c r="AC16" s="29"/>
      <c r="AD16" s="29"/>
      <c r="AE16" s="29"/>
    </row>
    <row r="17" spans="3:31">
      <c r="C17" s="17">
        <f>C16+1</f>
        <v>6</v>
      </c>
      <c r="D17" s="17">
        <f>$B$12*(C17-$B$8)/(C17+$B$10*(1+$B$9/$B$11))-$B$13</f>
        <v>0.24054584016967473</v>
      </c>
      <c r="E17" s="17">
        <f>$B$14*(C17-$B$8)/(4.5*C17+10.5*$B$8)-$B$13</f>
        <v>0.36090130549318089</v>
      </c>
      <c r="F17" s="17">
        <f t="shared" ref="F17:F54" si="0">MIN(D17:E17)</f>
        <v>0.24054584016967473</v>
      </c>
      <c r="J17" s="17">
        <v>703</v>
      </c>
      <c r="K17" s="17" t="s">
        <v>198</v>
      </c>
      <c r="Q17" s="17">
        <v>486</v>
      </c>
      <c r="R17" s="17" t="s">
        <v>215</v>
      </c>
      <c r="AA17" s="29"/>
      <c r="AB17" s="29"/>
      <c r="AC17" s="29"/>
      <c r="AD17" s="29"/>
      <c r="AE17" s="29"/>
    </row>
    <row r="18" spans="3:31">
      <c r="C18" s="17">
        <f t="shared" ref="C18:C54" si="1">C17+1</f>
        <v>7</v>
      </c>
      <c r="D18" s="17">
        <f t="shared" ref="D18:D54" si="2">$B$12*(C18-$B$8)/(C18+$B$10*(1+$B$9/$B$11))-$B$13</f>
        <v>1.450689750583027</v>
      </c>
      <c r="E18" s="17">
        <f t="shared" ref="E18:E54" si="3">$B$14*(C18-$B$8)/(4.5*C18+10.5*$B$8)-$B$13</f>
        <v>1.5759917568263782</v>
      </c>
      <c r="F18" s="17">
        <f t="shared" si="0"/>
        <v>1.450689750583027</v>
      </c>
      <c r="J18" s="17">
        <v>8.3144597999999998</v>
      </c>
      <c r="K18" s="17" t="s">
        <v>199</v>
      </c>
      <c r="Q18" s="17">
        <f>1+EXP((Q17*298.2-Q16)/(J18*298.2))</f>
        <v>1.1746241392955672</v>
      </c>
      <c r="R18" s="17" t="s">
        <v>209</v>
      </c>
      <c r="AA18" s="29"/>
      <c r="AB18" s="29"/>
      <c r="AC18" s="29"/>
      <c r="AD18" s="29"/>
      <c r="AE18" s="29"/>
    </row>
    <row r="19" spans="3:31">
      <c r="C19" s="17">
        <f t="shared" si="1"/>
        <v>8</v>
      </c>
      <c r="D19" s="17">
        <f t="shared" si="2"/>
        <v>2.6315357881994612</v>
      </c>
      <c r="E19" s="17">
        <f t="shared" si="3"/>
        <v>2.667513687685013</v>
      </c>
      <c r="F19" s="17">
        <f t="shared" si="0"/>
        <v>2.6315357881994612</v>
      </c>
      <c r="J19" s="17">
        <f>J11*(1+EXP((-J16+J17*(J4+273.2))/(J18*(J4+273.2))))^-1</f>
        <v>118.04319269001286</v>
      </c>
      <c r="K19" s="17" t="s">
        <v>200</v>
      </c>
      <c r="N19" s="17">
        <f>H11*EXP(0.088*(J4-25))/(1+EXP(0.29*(J4-41)))</f>
        <v>119.4491906051588</v>
      </c>
      <c r="Q19" s="17">
        <f>(Q18*EXP((Q15/(J18*298.2))*(1-298.2/(273.2+J4))))/(1+EXP((Q17*(J4+273.2)-Q16)/(J18*(J4+273.2))))</f>
        <v>1.1501129956721439</v>
      </c>
      <c r="R19" s="17" t="s">
        <v>210</v>
      </c>
      <c r="AA19" s="29"/>
      <c r="AB19" s="29"/>
      <c r="AC19" s="29"/>
      <c r="AD19" s="29"/>
      <c r="AE19" s="29"/>
    </row>
    <row r="20" spans="3:31">
      <c r="C20" s="17">
        <f t="shared" si="1"/>
        <v>9</v>
      </c>
      <c r="D20" s="17">
        <f t="shared" si="2"/>
        <v>3.784135190400864</v>
      </c>
      <c r="E20" s="17">
        <f t="shared" si="3"/>
        <v>3.6534044639444252</v>
      </c>
      <c r="F20" s="17">
        <f t="shared" si="0"/>
        <v>3.6534044639444252</v>
      </c>
      <c r="J20" s="17">
        <f>J15*(1+EXP(1.3*(J4-55)))^-1</f>
        <v>1.7503731350202951</v>
      </c>
      <c r="K20" s="17" t="s">
        <v>201</v>
      </c>
      <c r="Q20" s="17">
        <f>H11*Q19</f>
        <v>115.01129956721439</v>
      </c>
      <c r="R20" s="17" t="s">
        <v>216</v>
      </c>
      <c r="AA20" s="29"/>
      <c r="AB20" s="29"/>
      <c r="AC20" s="29"/>
      <c r="AD20" s="29"/>
      <c r="AE20" s="29"/>
    </row>
    <row r="21" spans="3:31">
      <c r="C21" s="17">
        <f t="shared" si="1"/>
        <v>10</v>
      </c>
      <c r="D21" s="17">
        <f t="shared" si="2"/>
        <v>4.9094894963589919</v>
      </c>
      <c r="E21" s="17">
        <f t="shared" si="3"/>
        <v>4.5482899377798915</v>
      </c>
      <c r="F21" s="17">
        <f t="shared" si="0"/>
        <v>4.5482899377798915</v>
      </c>
      <c r="AA21" s="29"/>
      <c r="AB21" s="29"/>
      <c r="AC21" s="29"/>
      <c r="AD21" s="29"/>
      <c r="AE21" s="29"/>
    </row>
    <row r="22" spans="3:31">
      <c r="C22" s="17">
        <f t="shared" si="1"/>
        <v>11</v>
      </c>
      <c r="D22" s="17">
        <f t="shared" si="2"/>
        <v>6.0085534496401518</v>
      </c>
      <c r="E22" s="17">
        <f t="shared" si="3"/>
        <v>5.3642149286298757</v>
      </c>
      <c r="F22" s="17">
        <f t="shared" si="0"/>
        <v>5.3642149286298757</v>
      </c>
      <c r="AA22" s="29"/>
      <c r="AB22" s="29"/>
      <c r="AC22" s="29"/>
      <c r="AD22" s="29"/>
      <c r="AE22" s="29"/>
    </row>
    <row r="23" spans="3:31">
      <c r="C23" s="17">
        <f t="shared" si="1"/>
        <v>12</v>
      </c>
      <c r="D23" s="17">
        <f t="shared" si="2"/>
        <v>7.0822376997281093</v>
      </c>
      <c r="E23" s="17">
        <f t="shared" si="3"/>
        <v>6.1111885118023963</v>
      </c>
      <c r="F23" s="17">
        <f t="shared" si="0"/>
        <v>6.1111885118023963</v>
      </c>
      <c r="AA23" s="29"/>
      <c r="AB23" s="29"/>
      <c r="AC23" s="29"/>
      <c r="AD23" s="29"/>
      <c r="AE23" s="29"/>
    </row>
    <row r="24" spans="3:31">
      <c r="C24" s="17">
        <f t="shared" si="1"/>
        <v>13</v>
      </c>
      <c r="D24" s="17">
        <f t="shared" si="2"/>
        <v>8.1314113185316099</v>
      </c>
      <c r="E24" s="17">
        <f t="shared" si="3"/>
        <v>6.7975966693122807</v>
      </c>
      <c r="F24" s="17">
        <f t="shared" si="0"/>
        <v>6.7975966693122807</v>
      </c>
      <c r="J24" s="17" t="s">
        <v>193</v>
      </c>
      <c r="K24" s="17" t="s">
        <v>202</v>
      </c>
      <c r="L24" s="17" t="s">
        <v>203</v>
      </c>
      <c r="M24" s="17" t="s">
        <v>204</v>
      </c>
      <c r="N24" s="17" t="s">
        <v>131</v>
      </c>
      <c r="O24" s="17" t="s">
        <v>205</v>
      </c>
      <c r="S24" s="17" t="s">
        <v>203</v>
      </c>
      <c r="T24" s="17" t="s">
        <v>131</v>
      </c>
      <c r="U24" s="17" t="s">
        <v>205</v>
      </c>
      <c r="AA24" s="29" t="s">
        <v>203</v>
      </c>
      <c r="AB24" s="29" t="s">
        <v>204</v>
      </c>
      <c r="AC24" s="29" t="s">
        <v>131</v>
      </c>
      <c r="AD24" s="29"/>
      <c r="AE24" s="29"/>
    </row>
    <row r="25" spans="3:31">
      <c r="C25" s="17">
        <f t="shared" si="1"/>
        <v>14</v>
      </c>
      <c r="D25" s="17">
        <f t="shared" si="2"/>
        <v>9.1569041464924101</v>
      </c>
      <c r="E25" s="17">
        <f t="shared" si="3"/>
        <v>7.4305184768863288</v>
      </c>
      <c r="F25" s="17">
        <f t="shared" si="0"/>
        <v>7.4305184768863288</v>
      </c>
      <c r="J25" s="17">
        <v>5</v>
      </c>
      <c r="K25" s="17">
        <f>J25/100000*1000000</f>
        <v>50</v>
      </c>
      <c r="L25" s="17">
        <f>$J$5*$J$6*$J$7*(J25-$J$8)/(J25+$J$8*2)</f>
        <v>3.8251771777093544</v>
      </c>
      <c r="M25" s="17">
        <f>$J$11*(J25-$J$8)/(J25+$J$12*(1+$J$9/$J$13))</f>
        <v>0.80096686386734961</v>
      </c>
      <c r="N25" s="17">
        <f>(L25+M25-SQRT((L25+M25)^2-4*$J$14*L25*M25))/(2*$J$14)</f>
        <v>0.79885811631937542</v>
      </c>
      <c r="O25" s="17">
        <f>N25-$J$20</f>
        <v>-0.9515150187009197</v>
      </c>
      <c r="S25" s="17">
        <f>$Q$7/4*(J25-$J$8)/(J25+2*$J$8)</f>
        <v>1.2878013087120552</v>
      </c>
      <c r="T25" s="17">
        <f>(S25+M25-SQRT((S25+M25)^2-4*$J$14*S25*M25))/(2*$J$14)</f>
        <v>0.78851402578930352</v>
      </c>
      <c r="AA25" s="29">
        <f>$Q$7/4*(J25-$AA$7)/(J25+2*$AA$7)</f>
        <v>0.33040482840888868</v>
      </c>
      <c r="AB25" s="29">
        <f>$J$11*(J25-$AA$7)/(Y25+$AA$5*(1+$J$9/$AA$6))</f>
        <v>0.15867432341126064</v>
      </c>
      <c r="AC25" s="29">
        <f>(AA25+AB25-SQRT((AA25+AB25)^2-4*$J$14*AA25*AB25))/(2*$J$14)</f>
        <v>0.15724635876164417</v>
      </c>
      <c r="AD25" s="29"/>
      <c r="AE25" s="29"/>
    </row>
    <row r="26" spans="3:31">
      <c r="C26" s="17">
        <f t="shared" si="1"/>
        <v>15</v>
      </c>
      <c r="D26" s="17">
        <f t="shared" si="2"/>
        <v>10.159508981604809</v>
      </c>
      <c r="E26" s="17">
        <f t="shared" si="3"/>
        <v>8.0159711488923246</v>
      </c>
      <c r="F26" s="17">
        <f t="shared" si="0"/>
        <v>8.0159711488923246</v>
      </c>
      <c r="J26" s="17">
        <f>J25+1</f>
        <v>6</v>
      </c>
      <c r="K26" s="17">
        <f t="shared" ref="K26:K69" si="4">J26/100000*1000000</f>
        <v>60</v>
      </c>
      <c r="L26" s="17">
        <f t="shared" ref="L26:L69" si="5">$J$5*$J$6*$J$7*(J26-$J$8)/(J26+$J$8*2)</f>
        <v>12.019352165773835</v>
      </c>
      <c r="M26" s="17">
        <f t="shared" ref="M26:M69" si="6">$J$11*(J26-$J$8)/(J26+$J$12*(1+$J$9/$J$13))</f>
        <v>2.6532436438404812</v>
      </c>
      <c r="N26" s="17">
        <f t="shared" ref="N26:N69" si="7">(L26+M26-SQRT((L26+M26)^2-4*$J$14*L26*M26))/(2*$J$14)</f>
        <v>2.645775705520879</v>
      </c>
      <c r="O26" s="17">
        <f t="shared" ref="O26:O69" si="8">N26-$J$20</f>
        <v>0.89540257050058392</v>
      </c>
      <c r="S26" s="17">
        <f t="shared" ref="S26:S69" si="9">$Q$7/4*(J26-$J$8)/(J26+2*$J$8)</f>
        <v>4.0464890199474874</v>
      </c>
      <c r="T26" s="17">
        <f t="shared" ref="T26:T69" si="10">(S26+M26-SQRT((S26+M26)^2-4*$J$14*S26*M26))/(2*$J$14)</f>
        <v>2.6060919559313604</v>
      </c>
      <c r="AA26" s="29">
        <f t="shared" ref="AA26:AA69" si="11">$Q$7/4*(J26-$AA$7)/(J26+2*$AA$7)</f>
        <v>3.0414560717989407</v>
      </c>
      <c r="AB26" s="29">
        <f t="shared" ref="AB26:AB69" si="12">$J$11*(J26-$AA$7)/(Y26+$AA$5*(1+$J$9/$AA$6))</f>
        <v>1.5595042851501164</v>
      </c>
      <c r="AC26" s="29">
        <f>(AA26+AB26-SQRT((AA26+AB26)^2-4*$J$14*AA26*AB26))/(2*$J$14)</f>
        <v>1.5435969704692707</v>
      </c>
      <c r="AD26" s="29"/>
      <c r="AE26" s="29"/>
    </row>
    <row r="27" spans="3:31">
      <c r="C27" s="17">
        <f t="shared" si="1"/>
        <v>16</v>
      </c>
      <c r="D27" s="17">
        <f t="shared" si="2"/>
        <v>11.139983623482502</v>
      </c>
      <c r="E27" s="17">
        <f t="shared" si="3"/>
        <v>8.5591019409942728</v>
      </c>
      <c r="F27" s="17">
        <f t="shared" si="0"/>
        <v>8.5591019409942728</v>
      </c>
      <c r="J27" s="17">
        <f t="shared" ref="J27:J69" si="13">J26+1</f>
        <v>7</v>
      </c>
      <c r="K27" s="17">
        <f t="shared" si="4"/>
        <v>70</v>
      </c>
      <c r="L27" s="17">
        <f t="shared" si="5"/>
        <v>19.199022173884941</v>
      </c>
      <c r="M27" s="17">
        <f t="shared" si="6"/>
        <v>4.4495410717534245</v>
      </c>
      <c r="N27" s="17">
        <f t="shared" si="7"/>
        <v>4.4362103038527936</v>
      </c>
      <c r="O27" s="17">
        <f t="shared" si="8"/>
        <v>2.6858371688324985</v>
      </c>
      <c r="S27" s="17">
        <f t="shared" si="9"/>
        <v>6.4636289334777111</v>
      </c>
      <c r="T27" s="17">
        <f t="shared" si="10"/>
        <v>4.3592394926554867</v>
      </c>
      <c r="AA27" s="29">
        <f t="shared" si="11"/>
        <v>5.429252390172234</v>
      </c>
      <c r="AB27" s="29">
        <f t="shared" si="12"/>
        <v>2.960334246888972</v>
      </c>
      <c r="AC27" s="29">
        <f t="shared" ref="AC27:AC69" si="14">(AA27+AB27-SQRT((AA27+AB27)^2-4*$J$14*AA27*AB27))/(2*$J$14)</f>
        <v>2.9261280925168669</v>
      </c>
      <c r="AD27" s="29"/>
      <c r="AE27" s="29"/>
    </row>
    <row r="28" spans="3:31">
      <c r="C28" s="17">
        <f t="shared" si="1"/>
        <v>17</v>
      </c>
      <c r="D28" s="17">
        <f t="shared" si="2"/>
        <v>12.099052783548716</v>
      </c>
      <c r="E28" s="17">
        <f t="shared" si="3"/>
        <v>9.0643398871356169</v>
      </c>
      <c r="F28" s="17">
        <f t="shared" si="0"/>
        <v>9.0643398871356169</v>
      </c>
      <c r="J28" s="17">
        <f t="shared" si="13"/>
        <v>8</v>
      </c>
      <c r="K28" s="17">
        <f t="shared" si="4"/>
        <v>80</v>
      </c>
      <c r="L28" s="17">
        <f t="shared" si="5"/>
        <v>25.541609876129339</v>
      </c>
      <c r="M28" s="17">
        <f t="shared" si="6"/>
        <v>6.1923590761512068</v>
      </c>
      <c r="N28" s="17">
        <f t="shared" si="7"/>
        <v>6.1726873217389713</v>
      </c>
      <c r="O28" s="17">
        <f t="shared" si="8"/>
        <v>4.4223141867186762</v>
      </c>
      <c r="S28" s="17">
        <f t="shared" si="9"/>
        <v>8.5989529626936836</v>
      </c>
      <c r="T28" s="17">
        <f t="shared" si="10"/>
        <v>6.0488773779875595</v>
      </c>
      <c r="AA28" s="29">
        <f t="shared" si="11"/>
        <v>7.5483563141381094</v>
      </c>
      <c r="AB28" s="29">
        <f t="shared" si="12"/>
        <v>4.3611642086278275</v>
      </c>
      <c r="AC28" s="29">
        <f t="shared" si="14"/>
        <v>4.3040640291739471</v>
      </c>
      <c r="AD28" s="29"/>
      <c r="AE28" s="29"/>
    </row>
    <row r="29" spans="3:31">
      <c r="C29" s="17">
        <f t="shared" si="1"/>
        <v>18</v>
      </c>
      <c r="D29" s="17">
        <f t="shared" si="2"/>
        <v>13.037409871468878</v>
      </c>
      <c r="E29" s="17">
        <f t="shared" si="3"/>
        <v>9.535516848143839</v>
      </c>
      <c r="F29" s="17">
        <f t="shared" si="0"/>
        <v>9.535516848143839</v>
      </c>
      <c r="J29" s="17">
        <f t="shared" si="13"/>
        <v>9</v>
      </c>
      <c r="K29" s="17">
        <f t="shared" si="4"/>
        <v>90</v>
      </c>
      <c r="L29" s="17">
        <f t="shared" si="5"/>
        <v>31.185445223848919</v>
      </c>
      <c r="M29" s="17">
        <f t="shared" si="6"/>
        <v>7.8840509130459617</v>
      </c>
      <c r="N29" s="17">
        <f t="shared" si="7"/>
        <v>7.8575840089908979</v>
      </c>
      <c r="O29" s="17">
        <f t="shared" si="8"/>
        <v>6.1072108739706028</v>
      </c>
      <c r="S29" s="17">
        <f t="shared" si="9"/>
        <v>10.499031889573887</v>
      </c>
      <c r="T29" s="17">
        <f t="shared" si="10"/>
        <v>7.6754112124090863</v>
      </c>
      <c r="AA29" s="29">
        <f t="shared" si="11"/>
        <v>9.4417049115068714</v>
      </c>
      <c r="AB29" s="29">
        <f t="shared" si="12"/>
        <v>5.7619941703666839</v>
      </c>
      <c r="AC29" s="29">
        <f t="shared" si="14"/>
        <v>5.6764184089181144</v>
      </c>
      <c r="AD29" s="29"/>
      <c r="AE29" s="29"/>
    </row>
    <row r="30" spans="3:31">
      <c r="C30" s="17">
        <f t="shared" si="1"/>
        <v>19</v>
      </c>
      <c r="D30" s="17">
        <f t="shared" si="2"/>
        <v>13.955718667080189</v>
      </c>
      <c r="E30" s="17">
        <f t="shared" si="3"/>
        <v>9.9759648769123945</v>
      </c>
      <c r="F30" s="17">
        <f t="shared" si="0"/>
        <v>9.9759648769123945</v>
      </c>
      <c r="J30" s="17">
        <f t="shared" si="13"/>
        <v>10</v>
      </c>
      <c r="K30" s="17">
        <f t="shared" si="4"/>
        <v>100</v>
      </c>
      <c r="L30" s="17">
        <f t="shared" si="5"/>
        <v>36.239970272114206</v>
      </c>
      <c r="M30" s="17">
        <f t="shared" si="6"/>
        <v>9.5268337671449856</v>
      </c>
      <c r="N30" s="17">
        <f t="shared" si="7"/>
        <v>9.4931401631589161</v>
      </c>
      <c r="O30" s="17">
        <f t="shared" si="8"/>
        <v>7.7427670281386209</v>
      </c>
      <c r="S30" s="17">
        <f t="shared" si="9"/>
        <v>12.200710967344566</v>
      </c>
      <c r="T30" s="17">
        <f t="shared" si="10"/>
        <v>9.2386765939114994</v>
      </c>
      <c r="AA30" s="29">
        <f t="shared" si="11"/>
        <v>11.143549451046447</v>
      </c>
      <c r="AB30" s="29">
        <f t="shared" si="12"/>
        <v>7.1628241321055395</v>
      </c>
      <c r="AC30" s="29">
        <f t="shared" si="14"/>
        <v>7.0419240281116107</v>
      </c>
      <c r="AD30" s="29"/>
      <c r="AE30" s="29"/>
    </row>
    <row r="31" spans="3:31">
      <c r="C31" s="17">
        <f t="shared" si="1"/>
        <v>20</v>
      </c>
      <c r="D31" s="17">
        <f t="shared" si="2"/>
        <v>14.854614886290021</v>
      </c>
      <c r="E31" s="17">
        <f t="shared" si="3"/>
        <v>10.388595135442937</v>
      </c>
      <c r="F31" s="17">
        <f t="shared" si="0"/>
        <v>10.388595135442937</v>
      </c>
      <c r="J31" s="17">
        <f t="shared" si="13"/>
        <v>11</v>
      </c>
      <c r="K31" s="17">
        <f t="shared" si="4"/>
        <v>110</v>
      </c>
      <c r="L31" s="17">
        <f t="shared" si="5"/>
        <v>40.792905956706505</v>
      </c>
      <c r="M31" s="17">
        <f t="shared" si="6"/>
        <v>11.122798446695816</v>
      </c>
      <c r="N31" s="17">
        <f t="shared" si="7"/>
        <v>11.081467922346246</v>
      </c>
      <c r="O31" s="17">
        <f t="shared" si="8"/>
        <v>9.3310947873259504</v>
      </c>
      <c r="S31" s="17">
        <f t="shared" si="9"/>
        <v>13.733522719769301</v>
      </c>
      <c r="T31" s="17">
        <f t="shared" si="10"/>
        <v>10.737895985747565</v>
      </c>
      <c r="AA31" s="29">
        <f t="shared" si="11"/>
        <v>12.681546002802097</v>
      </c>
      <c r="AB31" s="29">
        <f t="shared" si="12"/>
        <v>8.563654093844395</v>
      </c>
      <c r="AC31" s="29">
        <f t="shared" si="14"/>
        <v>8.3989364543619338</v>
      </c>
      <c r="AD31" s="29"/>
      <c r="AE31" s="29"/>
    </row>
    <row r="32" spans="3:31">
      <c r="C32" s="17">
        <f t="shared" si="1"/>
        <v>21</v>
      </c>
      <c r="D32" s="17">
        <f t="shared" si="2"/>
        <v>15.734707648706095</v>
      </c>
      <c r="E32" s="17">
        <f t="shared" si="3"/>
        <v>10.775962316920587</v>
      </c>
      <c r="F32" s="17">
        <f t="shared" si="0"/>
        <v>10.775962316920587</v>
      </c>
      <c r="J32" s="17">
        <f t="shared" si="13"/>
        <v>12</v>
      </c>
      <c r="K32" s="17">
        <f t="shared" si="4"/>
        <v>120</v>
      </c>
      <c r="L32" s="17">
        <f t="shared" si="5"/>
        <v>44.915386130781457</v>
      </c>
      <c r="M32" s="17">
        <f t="shared" si="6"/>
        <v>12.6739182610876</v>
      </c>
      <c r="N32" s="17">
        <f t="shared" si="7"/>
        <v>12.624560732525376</v>
      </c>
      <c r="O32" s="17">
        <f t="shared" si="8"/>
        <v>10.874187597505081</v>
      </c>
      <c r="S32" s="17">
        <f t="shared" si="9"/>
        <v>15.121415388963879</v>
      </c>
      <c r="T32" s="17">
        <f t="shared" si="10"/>
        <v>12.171672431755525</v>
      </c>
      <c r="AA32" s="29">
        <f t="shared" si="11"/>
        <v>14.078269942388165</v>
      </c>
      <c r="AB32" s="29">
        <f t="shared" si="12"/>
        <v>9.9644840555832523</v>
      </c>
      <c r="AC32" s="29">
        <f t="shared" si="14"/>
        <v>9.7453019388414468</v>
      </c>
      <c r="AD32" s="29"/>
      <c r="AE32" s="29"/>
    </row>
    <row r="33" spans="3:31">
      <c r="C33" s="17">
        <f t="shared" si="1"/>
        <v>22</v>
      </c>
      <c r="D33" s="17">
        <f t="shared" si="2"/>
        <v>16.596580854118667</v>
      </c>
      <c r="E33" s="17">
        <f t="shared" si="3"/>
        <v>11.140317586627287</v>
      </c>
      <c r="F33" s="17">
        <f t="shared" si="0"/>
        <v>11.140317586627287</v>
      </c>
      <c r="J33" s="17">
        <f t="shared" si="13"/>
        <v>13</v>
      </c>
      <c r="K33" s="17">
        <f t="shared" si="4"/>
        <v>130</v>
      </c>
      <c r="L33" s="17">
        <f t="shared" si="5"/>
        <v>48.665701145185508</v>
      </c>
      <c r="M33" s="17">
        <f t="shared" si="6"/>
        <v>14.182057160468045</v>
      </c>
      <c r="N33" s="17">
        <f t="shared" si="7"/>
        <v>14.124301569416724</v>
      </c>
      <c r="O33" s="17">
        <f t="shared" si="8"/>
        <v>12.373928434396429</v>
      </c>
      <c r="S33" s="17">
        <f t="shared" si="9"/>
        <v>16.384013265939654</v>
      </c>
      <c r="T33" s="17">
        <f t="shared" si="10"/>
        <v>13.538058706748901</v>
      </c>
      <c r="AA33" s="29">
        <f t="shared" si="11"/>
        <v>15.352331436989733</v>
      </c>
      <c r="AB33" s="29">
        <f t="shared" si="12"/>
        <v>11.365314017322108</v>
      </c>
      <c r="AC33" s="29">
        <f t="shared" si="14"/>
        <v>11.078178651770894</v>
      </c>
      <c r="AD33" s="29"/>
      <c r="AE33" s="29"/>
    </row>
    <row r="34" spans="3:31">
      <c r="C34" s="17">
        <f t="shared" si="1"/>
        <v>23</v>
      </c>
      <c r="D34" s="17">
        <f t="shared" si="2"/>
        <v>17.440794474371263</v>
      </c>
      <c r="E34" s="17">
        <f t="shared" si="3"/>
        <v>11.483652360004756</v>
      </c>
      <c r="F34" s="17">
        <f t="shared" si="0"/>
        <v>11.483652360004756</v>
      </c>
      <c r="J34" s="17">
        <f t="shared" si="13"/>
        <v>14</v>
      </c>
      <c r="K34" s="17">
        <f t="shared" si="4"/>
        <v>140</v>
      </c>
      <c r="L34" s="17">
        <f t="shared" si="5"/>
        <v>52.092071339501913</v>
      </c>
      <c r="M34" s="17">
        <f t="shared" si="6"/>
        <v>15.648977207970232</v>
      </c>
      <c r="N34" s="17">
        <f t="shared" si="7"/>
        <v>15.582470486236861</v>
      </c>
      <c r="O34" s="17">
        <f t="shared" si="8"/>
        <v>13.832097351216566</v>
      </c>
      <c r="S34" s="17">
        <f t="shared" si="9"/>
        <v>17.537550426541188</v>
      </c>
      <c r="T34" s="17">
        <f t="shared" si="10"/>
        <v>14.834748838242653</v>
      </c>
      <c r="AA34" s="29">
        <f t="shared" si="11"/>
        <v>16.519209402426551</v>
      </c>
      <c r="AB34" s="29">
        <f t="shared" si="12"/>
        <v>12.766143979060965</v>
      </c>
      <c r="AC34" s="29">
        <f t="shared" si="14"/>
        <v>12.393801805399773</v>
      </c>
      <c r="AD34" s="29"/>
      <c r="AE34" s="29"/>
    </row>
    <row r="35" spans="3:31">
      <c r="C35" s="17">
        <f t="shared" si="1"/>
        <v>24</v>
      </c>
      <c r="D35" s="17">
        <f t="shared" si="2"/>
        <v>18.267885766626321</v>
      </c>
      <c r="E35" s="17">
        <f t="shared" si="3"/>
        <v>11.807734716183489</v>
      </c>
      <c r="F35" s="17">
        <f t="shared" si="0"/>
        <v>11.807734716183489</v>
      </c>
      <c r="J35" s="17">
        <f t="shared" si="13"/>
        <v>15</v>
      </c>
      <c r="K35" s="17">
        <f t="shared" si="4"/>
        <v>150</v>
      </c>
      <c r="L35" s="17">
        <f t="shared" si="5"/>
        <v>55.234731582137513</v>
      </c>
      <c r="M35" s="17">
        <f t="shared" si="6"/>
        <v>17.076345447530063</v>
      </c>
      <c r="N35" s="17">
        <f t="shared" si="7"/>
        <v>17.000751550933195</v>
      </c>
      <c r="O35" s="17">
        <f t="shared" si="8"/>
        <v>15.2503784159129</v>
      </c>
      <c r="S35" s="17">
        <f t="shared" si="9"/>
        <v>18.595572522063318</v>
      </c>
      <c r="T35" s="17">
        <f t="shared" si="10"/>
        <v>16.059427312659981</v>
      </c>
      <c r="AA35" s="29">
        <f t="shared" si="11"/>
        <v>17.591883480233115</v>
      </c>
      <c r="AB35" s="29">
        <f t="shared" si="12"/>
        <v>14.166973940799819</v>
      </c>
      <c r="AC35" s="29">
        <f t="shared" si="14"/>
        <v>13.687193762082938</v>
      </c>
      <c r="AD35" s="29"/>
      <c r="AE35" s="29"/>
    </row>
    <row r="36" spans="3:31">
      <c r="C36" s="17">
        <f t="shared" si="1"/>
        <v>25</v>
      </c>
      <c r="D36" s="17">
        <f t="shared" si="2"/>
        <v>19.07837041354966</v>
      </c>
      <c r="E36" s="17">
        <f t="shared" si="3"/>
        <v>12.11413985293429</v>
      </c>
      <c r="F36" s="17">
        <f t="shared" si="0"/>
        <v>12.11413985293429</v>
      </c>
      <c r="J36" s="17">
        <f t="shared" si="13"/>
        <v>16</v>
      </c>
      <c r="K36" s="17">
        <f t="shared" si="4"/>
        <v>160</v>
      </c>
      <c r="L36" s="17">
        <f t="shared" si="5"/>
        <v>58.127518584417004</v>
      </c>
      <c r="M36" s="17">
        <f t="shared" si="6"/>
        <v>18.465740223572933</v>
      </c>
      <c r="N36" s="17">
        <f t="shared" si="7"/>
        <v>18.380739229752152</v>
      </c>
      <c r="O36" s="17">
        <f t="shared" si="8"/>
        <v>16.630366094731855</v>
      </c>
      <c r="S36" s="17">
        <f t="shared" si="9"/>
        <v>19.569471171534921</v>
      </c>
      <c r="T36" s="17">
        <f t="shared" si="10"/>
        <v>17.210263151491322</v>
      </c>
      <c r="AA36" s="29">
        <f t="shared" si="11"/>
        <v>18.58131889196337</v>
      </c>
      <c r="AB36" s="29">
        <f t="shared" si="12"/>
        <v>15.567803902538675</v>
      </c>
      <c r="AC36" s="29">
        <f t="shared" si="14"/>
        <v>14.951851616017162</v>
      </c>
      <c r="AD36" s="29"/>
      <c r="AE36" s="29"/>
    </row>
    <row r="37" spans="3:31">
      <c r="C37" s="17">
        <f t="shared" si="1"/>
        <v>26</v>
      </c>
      <c r="D37" s="17">
        <f t="shared" si="2"/>
        <v>19.872743595498413</v>
      </c>
      <c r="E37" s="17">
        <f t="shared" si="3"/>
        <v>12.404275690388587</v>
      </c>
      <c r="F37" s="17">
        <f t="shared" si="0"/>
        <v>12.404275690388587</v>
      </c>
      <c r="J37" s="17">
        <f t="shared" si="13"/>
        <v>17</v>
      </c>
      <c r="K37" s="17">
        <f t="shared" si="4"/>
        <v>170</v>
      </c>
      <c r="L37" s="17">
        <f t="shared" si="5"/>
        <v>60.799094068793025</v>
      </c>
      <c r="M37" s="17">
        <f t="shared" si="6"/>
        <v>19.818657002937961</v>
      </c>
      <c r="N37" s="17">
        <f t="shared" si="7"/>
        <v>19.723944268017988</v>
      </c>
      <c r="O37" s="17">
        <f t="shared" si="8"/>
        <v>17.973571132997691</v>
      </c>
      <c r="S37" s="17">
        <f t="shared" si="9"/>
        <v>20.468895759015794</v>
      </c>
      <c r="T37" s="17">
        <f t="shared" si="10"/>
        <v>18.286453955386456</v>
      </c>
      <c r="AA37" s="29">
        <f t="shared" si="11"/>
        <v>19.496842636407841</v>
      </c>
      <c r="AB37" s="29">
        <f t="shared" si="12"/>
        <v>16.968633864277532</v>
      </c>
      <c r="AC37" s="29">
        <f t="shared" si="14"/>
        <v>16.179514720211465</v>
      </c>
      <c r="AD37" s="29"/>
      <c r="AE37" s="29"/>
    </row>
    <row r="38" spans="3:31">
      <c r="C38" s="17">
        <f t="shared" si="1"/>
        <v>27</v>
      </c>
      <c r="D38" s="17">
        <f t="shared" si="2"/>
        <v>20.651480999396806</v>
      </c>
      <c r="E38" s="17">
        <f t="shared" si="3"/>
        <v>12.679404501767666</v>
      </c>
      <c r="F38" s="17">
        <f t="shared" si="0"/>
        <v>12.679404501767666</v>
      </c>
      <c r="J38" s="17">
        <f t="shared" si="13"/>
        <v>18</v>
      </c>
      <c r="K38" s="17">
        <f t="shared" si="4"/>
        <v>180</v>
      </c>
      <c r="L38" s="17">
        <f t="shared" si="5"/>
        <v>63.273897663817408</v>
      </c>
      <c r="M38" s="17">
        <f t="shared" si="6"/>
        <v>21.136513744187084</v>
      </c>
      <c r="N38" s="17">
        <f t="shared" si="7"/>
        <v>21.031799113725349</v>
      </c>
      <c r="O38" s="17">
        <f t="shared" si="8"/>
        <v>19.281425978705052</v>
      </c>
      <c r="S38" s="17">
        <f t="shared" si="9"/>
        <v>21.302074239492406</v>
      </c>
      <c r="T38" s="17">
        <f t="shared" si="10"/>
        <v>19.288653170571482</v>
      </c>
      <c r="AA38" s="29">
        <f t="shared" si="11"/>
        <v>20.346438415569434</v>
      </c>
      <c r="AB38" s="29">
        <f t="shared" si="12"/>
        <v>18.369463826016386</v>
      </c>
      <c r="AC38" s="29">
        <f t="shared" si="14"/>
        <v>17.360231540074757</v>
      </c>
      <c r="AD38" s="29"/>
      <c r="AE38" s="29"/>
    </row>
    <row r="39" spans="3:31">
      <c r="C39" s="17">
        <f t="shared" si="1"/>
        <v>28</v>
      </c>
      <c r="D39" s="17">
        <f t="shared" si="2"/>
        <v>21.415039768618943</v>
      </c>
      <c r="E39" s="17">
        <f t="shared" si="3"/>
        <v>12.940661272236872</v>
      </c>
      <c r="F39" s="17">
        <f t="shared" si="0"/>
        <v>12.940661272236872</v>
      </c>
      <c r="J39" s="17">
        <f t="shared" si="13"/>
        <v>19</v>
      </c>
      <c r="K39" s="17">
        <f t="shared" si="4"/>
        <v>190</v>
      </c>
      <c r="L39" s="17">
        <f t="shared" si="5"/>
        <v>65.572896724504332</v>
      </c>
      <c r="M39" s="17">
        <f t="shared" si="6"/>
        <v>22.420655854826194</v>
      </c>
      <c r="N39" s="17">
        <f t="shared" si="7"/>
        <v>22.305662924882334</v>
      </c>
      <c r="O39" s="17">
        <f t="shared" si="8"/>
        <v>20.555289789862037</v>
      </c>
      <c r="S39" s="17">
        <f t="shared" si="9"/>
        <v>22.076065576765139</v>
      </c>
      <c r="T39" s="17">
        <f t="shared" si="10"/>
        <v>20.219120925855311</v>
      </c>
      <c r="AA39" s="29">
        <f t="shared" si="11"/>
        <v>21.136980061046941</v>
      </c>
      <c r="AB39" s="29">
        <f t="shared" si="12"/>
        <v>19.770293787755243</v>
      </c>
      <c r="AC39" s="29">
        <f t="shared" si="14"/>
        <v>18.483055477181352</v>
      </c>
      <c r="AD39" s="29"/>
      <c r="AE39" s="29"/>
    </row>
    <row r="40" spans="3:31">
      <c r="C40" s="17">
        <f t="shared" si="1"/>
        <v>29</v>
      </c>
      <c r="D40" s="17">
        <f t="shared" si="2"/>
        <v>22.163859397864194</v>
      </c>
      <c r="E40" s="17">
        <f t="shared" si="3"/>
        <v>13.189069349076444</v>
      </c>
      <c r="F40" s="17">
        <f t="shared" si="0"/>
        <v>13.189069349076444</v>
      </c>
      <c r="J40" s="17">
        <f t="shared" si="13"/>
        <v>20</v>
      </c>
      <c r="K40" s="17">
        <f t="shared" si="4"/>
        <v>200</v>
      </c>
      <c r="L40" s="17">
        <f t="shared" si="5"/>
        <v>67.714181837106537</v>
      </c>
      <c r="M40" s="17">
        <f t="shared" si="6"/>
        <v>23.67236077287086</v>
      </c>
      <c r="N40" s="17">
        <f t="shared" si="7"/>
        <v>23.546826197404364</v>
      </c>
      <c r="O40" s="17">
        <f t="shared" si="8"/>
        <v>21.796453062384067</v>
      </c>
      <c r="S40" s="17">
        <f t="shared" si="9"/>
        <v>22.796960228757722</v>
      </c>
      <c r="T40" s="17">
        <f t="shared" si="10"/>
        <v>21.081546995790521</v>
      </c>
      <c r="AA40" s="29">
        <f t="shared" si="11"/>
        <v>21.874417919918187</v>
      </c>
      <c r="AB40" s="29">
        <f t="shared" si="12"/>
        <v>21.1711237494941</v>
      </c>
      <c r="AC40" s="29">
        <f t="shared" si="14"/>
        <v>19.537615921024855</v>
      </c>
      <c r="AD40" s="29"/>
      <c r="AE40" s="29"/>
    </row>
    <row r="41" spans="3:31">
      <c r="C41" s="17">
        <f t="shared" si="1"/>
        <v>30</v>
      </c>
      <c r="D41" s="17">
        <f t="shared" si="2"/>
        <v>22.898362576706035</v>
      </c>
      <c r="E41" s="17">
        <f t="shared" si="3"/>
        <v>13.425553838227717</v>
      </c>
      <c r="F41" s="17">
        <f t="shared" si="0"/>
        <v>13.425553838227717</v>
      </c>
      <c r="J41" s="17">
        <f t="shared" si="13"/>
        <v>21</v>
      </c>
      <c r="K41" s="17">
        <f t="shared" si="4"/>
        <v>210</v>
      </c>
      <c r="L41" s="17">
        <f t="shared" si="5"/>
        <v>69.713443831340271</v>
      </c>
      <c r="M41" s="17">
        <f t="shared" si="6"/>
        <v>24.892842205553777</v>
      </c>
      <c r="N41" s="17">
        <f t="shared" si="7"/>
        <v>24.756515046687433</v>
      </c>
      <c r="O41" s="17">
        <f t="shared" si="8"/>
        <v>23.006141911667136</v>
      </c>
      <c r="S41" s="17">
        <f t="shared" si="9"/>
        <v>23.470040740592808</v>
      </c>
      <c r="T41" s="17">
        <f t="shared" si="10"/>
        <v>21.88063451268906</v>
      </c>
      <c r="AA41" s="29">
        <f t="shared" si="11"/>
        <v>22.563928900367028</v>
      </c>
      <c r="AB41" s="29">
        <f t="shared" si="12"/>
        <v>22.571953711232954</v>
      </c>
      <c r="AC41" s="29">
        <f t="shared" si="14"/>
        <v>20.516306711129506</v>
      </c>
      <c r="AD41" s="29"/>
      <c r="AE41" s="29"/>
    </row>
    <row r="42" spans="3:31">
      <c r="C42" s="17">
        <f t="shared" si="1"/>
        <v>31</v>
      </c>
      <c r="D42" s="17">
        <f t="shared" si="2"/>
        <v>23.618955985216409</v>
      </c>
      <c r="E42" s="17">
        <f t="shared" si="3"/>
        <v>13.650953116950026</v>
      </c>
      <c r="F42" s="17">
        <f t="shared" si="0"/>
        <v>13.650953116950026</v>
      </c>
      <c r="J42" s="17">
        <f t="shared" si="13"/>
        <v>22</v>
      </c>
      <c r="K42" s="17">
        <f t="shared" si="4"/>
        <v>220</v>
      </c>
      <c r="L42" s="17">
        <f t="shared" si="5"/>
        <v>71.584358924149015</v>
      </c>
      <c r="M42" s="17">
        <f t="shared" si="6"/>
        <v>26.083254054739022</v>
      </c>
      <c r="N42" s="17">
        <f t="shared" si="7"/>
        <v>25.935895172724184</v>
      </c>
      <c r="O42" s="17">
        <f t="shared" si="8"/>
        <v>24.18552203770389</v>
      </c>
      <c r="S42" s="17">
        <f t="shared" si="9"/>
        <v>24.099911408819224</v>
      </c>
      <c r="T42" s="17">
        <f t="shared" si="10"/>
        <v>22.621606456673032</v>
      </c>
      <c r="AA42" s="29">
        <f t="shared" si="11"/>
        <v>23.210038183164293</v>
      </c>
      <c r="AB42" s="29">
        <f t="shared" si="12"/>
        <v>23.972783672971808</v>
      </c>
      <c r="AC42" s="29">
        <f t="shared" si="14"/>
        <v>21.416108175694077</v>
      </c>
      <c r="AD42" s="29"/>
      <c r="AE42" s="29"/>
    </row>
    <row r="43" spans="3:31">
      <c r="C43" s="17">
        <f t="shared" si="1"/>
        <v>32</v>
      </c>
      <c r="D43" s="17">
        <f t="shared" si="2"/>
        <v>24.32603104481225</v>
      </c>
      <c r="E43" s="17">
        <f t="shared" si="3"/>
        <v>13.866028764585817</v>
      </c>
      <c r="F43" s="17">
        <f t="shared" si="0"/>
        <v>13.866028764585817</v>
      </c>
      <c r="J43" s="17">
        <f t="shared" si="13"/>
        <v>23</v>
      </c>
      <c r="K43" s="17">
        <f t="shared" si="4"/>
        <v>230</v>
      </c>
      <c r="L43" s="17">
        <f t="shared" si="5"/>
        <v>73.3389019949595</v>
      </c>
      <c r="M43" s="17">
        <f t="shared" si="6"/>
        <v>27.244694055730093</v>
      </c>
      <c r="N43" s="17">
        <f t="shared" si="7"/>
        <v>27.086075535719591</v>
      </c>
      <c r="O43" s="17">
        <f t="shared" si="8"/>
        <v>25.335702400699297</v>
      </c>
      <c r="S43" s="17">
        <f t="shared" si="9"/>
        <v>24.690603750065097</v>
      </c>
      <c r="T43" s="17">
        <f t="shared" si="10"/>
        <v>23.309773833580117</v>
      </c>
      <c r="AA43" s="29">
        <f t="shared" si="11"/>
        <v>23.816718650821574</v>
      </c>
      <c r="AB43" s="29">
        <f t="shared" si="12"/>
        <v>25.373613634710662</v>
      </c>
      <c r="AC43" s="29">
        <f t="shared" si="14"/>
        <v>22.238962612019495</v>
      </c>
      <c r="AD43" s="29"/>
      <c r="AE43" s="29"/>
    </row>
    <row r="44" spans="3:31">
      <c r="C44" s="17">
        <f t="shared" si="1"/>
        <v>33</v>
      </c>
      <c r="D44" s="17">
        <f t="shared" si="2"/>
        <v>25.019964627237027</v>
      </c>
      <c r="E44" s="17">
        <f t="shared" si="3"/>
        <v>14.071474159342392</v>
      </c>
      <c r="F44" s="17">
        <f t="shared" si="0"/>
        <v>14.071474159342392</v>
      </c>
      <c r="J44" s="17">
        <f t="shared" si="13"/>
        <v>24</v>
      </c>
      <c r="K44" s="17">
        <f t="shared" si="4"/>
        <v>240</v>
      </c>
      <c r="L44" s="17">
        <f t="shared" si="5"/>
        <v>74.987603166436557</v>
      </c>
      <c r="M44" s="17">
        <f t="shared" si="6"/>
        <v>28.378207153591696</v>
      </c>
      <c r="N44" s="17">
        <f t="shared" si="7"/>
        <v>28.208111766569687</v>
      </c>
      <c r="O44" s="17">
        <f t="shared" si="8"/>
        <v>26.45773863154939</v>
      </c>
      <c r="S44" s="17">
        <f t="shared" si="9"/>
        <v>25.245662882665769</v>
      </c>
      <c r="T44" s="17">
        <f t="shared" si="10"/>
        <v>23.950231940845775</v>
      </c>
      <c r="AA44" s="29">
        <f t="shared" si="11"/>
        <v>24.387472652727677</v>
      </c>
      <c r="AB44" s="29">
        <f t="shared" si="12"/>
        <v>26.774443596449522</v>
      </c>
      <c r="AC44" s="29">
        <f t="shared" si="14"/>
        <v>22.990577087074932</v>
      </c>
      <c r="AD44" s="29"/>
      <c r="AE44" s="29"/>
    </row>
    <row r="45" spans="3:31">
      <c r="C45" s="17">
        <f t="shared" si="1"/>
        <v>34</v>
      </c>
      <c r="D45" s="17">
        <f t="shared" si="2"/>
        <v>25.701119724375538</v>
      </c>
      <c r="E45" s="17">
        <f t="shared" si="3"/>
        <v>14.267921945569482</v>
      </c>
      <c r="F45" s="17">
        <f t="shared" si="0"/>
        <v>14.267921945569482</v>
      </c>
      <c r="J45" s="17">
        <f t="shared" si="13"/>
        <v>25</v>
      </c>
      <c r="K45" s="17">
        <f t="shared" si="4"/>
        <v>250</v>
      </c>
      <c r="L45" s="17">
        <f t="shared" si="5"/>
        <v>76.539759310490979</v>
      </c>
      <c r="M45" s="17">
        <f t="shared" si="6"/>
        <v>29.484788638813292</v>
      </c>
      <c r="N45" s="17">
        <f t="shared" si="7"/>
        <v>29.303009334251673</v>
      </c>
      <c r="O45" s="17">
        <f t="shared" si="8"/>
        <v>27.55263619923138</v>
      </c>
      <c r="S45" s="17">
        <f t="shared" si="9"/>
        <v>25.768218733225282</v>
      </c>
      <c r="T45" s="17">
        <f t="shared" si="10"/>
        <v>24.547686977413314</v>
      </c>
      <c r="AA45" s="29">
        <f t="shared" si="11"/>
        <v>24.925399662086942</v>
      </c>
      <c r="AB45" s="29">
        <f t="shared" si="12"/>
        <v>28.175273558188376</v>
      </c>
      <c r="AC45" s="29">
        <f t="shared" si="14"/>
        <v>23.678550152481691</v>
      </c>
      <c r="AD45" s="29"/>
      <c r="AE45" s="29"/>
    </row>
    <row r="46" spans="3:31">
      <c r="C46" s="17">
        <f t="shared" si="1"/>
        <v>35</v>
      </c>
      <c r="D46" s="17">
        <f t="shared" si="2"/>
        <v>26.369846081403221</v>
      </c>
      <c r="E46" s="17">
        <f t="shared" si="3"/>
        <v>14.455950540958272</v>
      </c>
      <c r="F46" s="17">
        <f t="shared" si="0"/>
        <v>14.455950540958272</v>
      </c>
      <c r="J46" s="17">
        <f t="shared" si="13"/>
        <v>26</v>
      </c>
      <c r="K46" s="17">
        <f t="shared" si="4"/>
        <v>260</v>
      </c>
      <c r="L46" s="17">
        <f t="shared" si="5"/>
        <v>78.003609454988734</v>
      </c>
      <c r="M46" s="17">
        <f t="shared" si="6"/>
        <v>30.565387062091954</v>
      </c>
      <c r="N46" s="17">
        <f t="shared" si="7"/>
        <v>30.371726490102883</v>
      </c>
      <c r="O46" s="17">
        <f t="shared" si="8"/>
        <v>28.62135335508259</v>
      </c>
      <c r="S46" s="17">
        <f t="shared" si="9"/>
        <v>26.261045089825949</v>
      </c>
      <c r="T46" s="17">
        <f t="shared" si="10"/>
        <v>25.106383051333214</v>
      </c>
      <c r="AA46" s="29">
        <f t="shared" si="11"/>
        <v>25.433252585292372</v>
      </c>
      <c r="AB46" s="29">
        <f t="shared" si="12"/>
        <v>29.57610351992723</v>
      </c>
      <c r="AC46" s="29">
        <f t="shared" si="14"/>
        <v>24.310785973479042</v>
      </c>
      <c r="AD46" s="29"/>
      <c r="AE46" s="29"/>
    </row>
    <row r="47" spans="3:31">
      <c r="C47" s="17">
        <f t="shared" si="1"/>
        <v>36</v>
      </c>
      <c r="D47" s="17">
        <f t="shared" si="2"/>
        <v>27.026480795590423</v>
      </c>
      <c r="E47" s="17">
        <f t="shared" si="3"/>
        <v>14.636089824652423</v>
      </c>
      <c r="F47" s="17">
        <f t="shared" si="0"/>
        <v>14.636089824652423</v>
      </c>
      <c r="J47" s="17">
        <f t="shared" si="13"/>
        <v>27</v>
      </c>
      <c r="K47" s="17">
        <f t="shared" si="4"/>
        <v>270</v>
      </c>
      <c r="L47" s="17">
        <f t="shared" si="5"/>
        <v>79.386481080563328</v>
      </c>
      <c r="M47" s="17">
        <f t="shared" si="6"/>
        <v>31.620906946176301</v>
      </c>
      <c r="N47" s="17">
        <f t="shared" si="7"/>
        <v>31.41517700711168</v>
      </c>
      <c r="O47" s="17">
        <f t="shared" si="8"/>
        <v>29.664803872091383</v>
      </c>
      <c r="S47" s="17">
        <f t="shared" si="9"/>
        <v>26.726608854969548</v>
      </c>
      <c r="T47" s="17">
        <f t="shared" si="10"/>
        <v>25.630093763726489</v>
      </c>
      <c r="AA47" s="29">
        <f t="shared" si="11"/>
        <v>25.913484883795945</v>
      </c>
      <c r="AB47" s="29">
        <f t="shared" si="12"/>
        <v>30.976933481666091</v>
      </c>
      <c r="AC47" s="29">
        <f t="shared" si="14"/>
        <v>24.894571911429999</v>
      </c>
      <c r="AD47" s="29"/>
      <c r="AE47" s="29"/>
    </row>
    <row r="48" spans="3:31">
      <c r="C48" s="17">
        <f t="shared" si="1"/>
        <v>37</v>
      </c>
      <c r="D48" s="17">
        <f t="shared" si="2"/>
        <v>27.671348882915691</v>
      </c>
      <c r="E48" s="17">
        <f t="shared" si="3"/>
        <v>14.80882612408517</v>
      </c>
      <c r="F48" s="17">
        <f t="shared" si="0"/>
        <v>14.80882612408517</v>
      </c>
      <c r="J48" s="17">
        <f t="shared" si="13"/>
        <v>28</v>
      </c>
      <c r="K48" s="17">
        <f t="shared" si="4"/>
        <v>280</v>
      </c>
      <c r="L48" s="17">
        <f t="shared" si="5"/>
        <v>80.694912791976833</v>
      </c>
      <c r="M48" s="17">
        <f t="shared" si="6"/>
        <v>32.652211311066779</v>
      </c>
      <c r="N48" s="17">
        <f t="shared" si="7"/>
        <v>32.434232730679653</v>
      </c>
      <c r="O48" s="17">
        <f t="shared" si="8"/>
        <v>30.683859595659357</v>
      </c>
      <c r="S48" s="17">
        <f t="shared" si="9"/>
        <v>27.167111344668001</v>
      </c>
      <c r="T48" s="17">
        <f t="shared" si="10"/>
        <v>26.122149313631208</v>
      </c>
      <c r="AA48" s="29">
        <f t="shared" si="11"/>
        <v>26.368290211061016</v>
      </c>
      <c r="AB48" s="29">
        <f t="shared" si="12"/>
        <v>32.377763443404945</v>
      </c>
      <c r="AC48" s="29">
        <f t="shared" si="14"/>
        <v>25.436219162942425</v>
      </c>
      <c r="AD48" s="29"/>
      <c r="AE48" s="29"/>
    </row>
    <row r="49" spans="3:31">
      <c r="C49" s="17">
        <f t="shared" si="1"/>
        <v>38</v>
      </c>
      <c r="D49" s="17">
        <f t="shared" si="2"/>
        <v>28.3047638144891</v>
      </c>
      <c r="E49" s="17">
        <f t="shared" si="3"/>
        <v>14.974606599379689</v>
      </c>
      <c r="F49" s="17">
        <f t="shared" si="0"/>
        <v>14.974606599379689</v>
      </c>
      <c r="J49" s="17">
        <f t="shared" si="13"/>
        <v>29</v>
      </c>
      <c r="K49" s="17">
        <f t="shared" si="4"/>
        <v>290</v>
      </c>
      <c r="L49" s="17">
        <f t="shared" si="5"/>
        <v>81.934757698515995</v>
      </c>
      <c r="M49" s="17">
        <f t="shared" si="6"/>
        <v>33.660124027389017</v>
      </c>
      <c r="N49" s="17">
        <f t="shared" si="7"/>
        <v>33.429725955822001</v>
      </c>
      <c r="O49" s="17">
        <f t="shared" si="8"/>
        <v>31.679352820801704</v>
      </c>
      <c r="S49" s="17">
        <f t="shared" si="9"/>
        <v>27.584523092951315</v>
      </c>
      <c r="T49" s="17">
        <f t="shared" si="10"/>
        <v>26.585479626089121</v>
      </c>
      <c r="AA49" s="29">
        <f t="shared" si="11"/>
        <v>26.799635915893035</v>
      </c>
      <c r="AB49" s="29">
        <f t="shared" si="12"/>
        <v>33.778593405143795</v>
      </c>
      <c r="AC49" s="29">
        <f t="shared" si="14"/>
        <v>25.941030860688389</v>
      </c>
      <c r="AD49" s="29"/>
      <c r="AE49" s="29"/>
    </row>
    <row r="50" spans="3:31">
      <c r="C50" s="17">
        <f t="shared" si="1"/>
        <v>39</v>
      </c>
      <c r="D50" s="17">
        <f t="shared" si="2"/>
        <v>28.927028024645789</v>
      </c>
      <c r="E50" s="17">
        <f t="shared" si="3"/>
        <v>15.133843108544159</v>
      </c>
      <c r="F50" s="17">
        <f t="shared" si="0"/>
        <v>15.133843108544159</v>
      </c>
      <c r="J50" s="17">
        <f t="shared" si="13"/>
        <v>30</v>
      </c>
      <c r="K50" s="17">
        <f t="shared" si="4"/>
        <v>300</v>
      </c>
      <c r="L50" s="17">
        <f t="shared" si="5"/>
        <v>83.11127095228268</v>
      </c>
      <c r="M50" s="17">
        <f t="shared" si="6"/>
        <v>34.645432011427999</v>
      </c>
      <c r="N50" s="17">
        <f t="shared" si="7"/>
        <v>34.402451644429753</v>
      </c>
      <c r="O50" s="17">
        <f t="shared" si="8"/>
        <v>32.652078509409456</v>
      </c>
      <c r="S50" s="17">
        <f t="shared" si="9"/>
        <v>27.980613322901171</v>
      </c>
      <c r="T50" s="17">
        <f t="shared" si="10"/>
        <v>27.022662000104848</v>
      </c>
      <c r="AA50" s="29">
        <f t="shared" si="11"/>
        <v>27.209291491646216</v>
      </c>
      <c r="AB50" s="29">
        <f t="shared" si="12"/>
        <v>35.179423366882659</v>
      </c>
      <c r="AC50" s="29">
        <f t="shared" si="14"/>
        <v>26.41341252879468</v>
      </c>
      <c r="AD50" s="29"/>
      <c r="AE50" s="29"/>
    </row>
    <row r="51" spans="3:31">
      <c r="C51" s="17">
        <f t="shared" si="1"/>
        <v>40</v>
      </c>
      <c r="D51" s="17">
        <f t="shared" si="2"/>
        <v>29.53843339243998</v>
      </c>
      <c r="E51" s="17">
        <f t="shared" si="3"/>
        <v>15.286915623805488</v>
      </c>
      <c r="F51" s="17">
        <f t="shared" si="0"/>
        <v>15.286915623805488</v>
      </c>
      <c r="J51" s="17">
        <f t="shared" si="13"/>
        <v>31</v>
      </c>
      <c r="K51" s="17">
        <f t="shared" si="4"/>
        <v>310</v>
      </c>
      <c r="L51" s="17">
        <f t="shared" si="5"/>
        <v>84.229184206112052</v>
      </c>
      <c r="M51" s="17">
        <f t="shared" si="6"/>
        <v>35.608887274114089</v>
      </c>
      <c r="N51" s="17">
        <f t="shared" si="7"/>
        <v>35.353169495009048</v>
      </c>
      <c r="O51" s="17">
        <f t="shared" si="8"/>
        <v>33.602796359988751</v>
      </c>
      <c r="S51" s="17">
        <f t="shared" si="9"/>
        <v>28.356975013987622</v>
      </c>
      <c r="T51" s="17">
        <f t="shared" si="10"/>
        <v>27.435967230008433</v>
      </c>
      <c r="AA51" s="29">
        <f t="shared" si="11"/>
        <v>27.598852838999779</v>
      </c>
      <c r="AB51" s="29">
        <f t="shared" si="12"/>
        <v>36.580253328621509</v>
      </c>
      <c r="AC51" s="29">
        <f t="shared" si="14"/>
        <v>26.857021686173347</v>
      </c>
      <c r="AD51" s="29"/>
      <c r="AE51" s="29"/>
    </row>
    <row r="52" spans="3:31">
      <c r="C52" s="17">
        <f t="shared" si="1"/>
        <v>41</v>
      </c>
      <c r="D52" s="17">
        <f t="shared" si="2"/>
        <v>30.139261698150062</v>
      </c>
      <c r="E52" s="17">
        <f t="shared" si="3"/>
        <v>15.434175258740439</v>
      </c>
      <c r="F52" s="17">
        <f t="shared" si="0"/>
        <v>15.434175258740439</v>
      </c>
      <c r="J52" s="17">
        <f t="shared" si="13"/>
        <v>32</v>
      </c>
      <c r="K52" s="17">
        <f t="shared" si="4"/>
        <v>320</v>
      </c>
      <c r="L52" s="17">
        <f t="shared" si="5"/>
        <v>85.292769215993673</v>
      </c>
      <c r="M52" s="17">
        <f t="shared" si="6"/>
        <v>36.551208835173512</v>
      </c>
      <c r="N52" s="17">
        <f t="shared" si="7"/>
        <v>36.282605876223336</v>
      </c>
      <c r="O52" s="17">
        <f t="shared" si="8"/>
        <v>34.532232741203039</v>
      </c>
      <c r="S52" s="17">
        <f t="shared" si="9"/>
        <v>28.715046314745589</v>
      </c>
      <c r="T52" s="17">
        <f t="shared" si="10"/>
        <v>27.827401461003568</v>
      </c>
      <c r="AA52" s="29">
        <f t="shared" si="11"/>
        <v>27.969763043826092</v>
      </c>
      <c r="AB52" s="29">
        <f t="shared" si="12"/>
        <v>37.981083290360367</v>
      </c>
      <c r="AC52" s="29">
        <f t="shared" si="14"/>
        <v>27.274910832330473</v>
      </c>
      <c r="AD52" s="29"/>
      <c r="AE52" s="29"/>
    </row>
    <row r="53" spans="3:31">
      <c r="C53" s="17">
        <f t="shared" si="1"/>
        <v>42</v>
      </c>
      <c r="D53" s="17">
        <f t="shared" si="2"/>
        <v>30.72978505629478</v>
      </c>
      <c r="E53" s="17">
        <f t="shared" si="3"/>
        <v>15.575946956969737</v>
      </c>
      <c r="F53" s="17">
        <f t="shared" si="0"/>
        <v>15.575946956969737</v>
      </c>
      <c r="J53" s="17">
        <f t="shared" si="13"/>
        <v>33</v>
      </c>
      <c r="K53" s="17">
        <f t="shared" si="4"/>
        <v>330</v>
      </c>
      <c r="L53" s="17">
        <f t="shared" si="5"/>
        <v>86.30589239063427</v>
      </c>
      <c r="M53" s="17">
        <f t="shared" si="6"/>
        <v>37.473084512682846</v>
      </c>
      <c r="N53" s="17">
        <f t="shared" si="7"/>
        <v>37.19145563458143</v>
      </c>
      <c r="O53" s="17">
        <f t="shared" si="8"/>
        <v>35.441082499561134</v>
      </c>
      <c r="S53" s="17">
        <f t="shared" si="9"/>
        <v>29.056128907675308</v>
      </c>
      <c r="T53" s="17">
        <f t="shared" si="10"/>
        <v>28.198742873607348</v>
      </c>
      <c r="AA53" s="29">
        <f t="shared" si="11"/>
        <v>28.323330240466003</v>
      </c>
      <c r="AB53" s="29">
        <f t="shared" si="12"/>
        <v>39.381913252099224</v>
      </c>
      <c r="AC53" s="29">
        <f t="shared" si="14"/>
        <v>27.669648432412586</v>
      </c>
      <c r="AD53" s="29"/>
      <c r="AE53" s="29"/>
    </row>
    <row r="54" spans="3:31">
      <c r="C54" s="17">
        <f t="shared" si="1"/>
        <v>43</v>
      </c>
      <c r="D54" s="17">
        <f t="shared" si="2"/>
        <v>31.310266326558597</v>
      </c>
      <c r="E54" s="17">
        <f t="shared" si="3"/>
        <v>15.712531885751627</v>
      </c>
      <c r="F54" s="17">
        <f t="shared" si="0"/>
        <v>15.712531885751627</v>
      </c>
      <c r="J54" s="17">
        <f t="shared" si="13"/>
        <v>34</v>
      </c>
      <c r="K54" s="17">
        <f t="shared" si="4"/>
        <v>340</v>
      </c>
      <c r="L54" s="17">
        <f t="shared" si="5"/>
        <v>87.272061756622506</v>
      </c>
      <c r="M54" s="17">
        <f t="shared" si="6"/>
        <v>38.375172597387952</v>
      </c>
      <c r="N54" s="17">
        <f t="shared" si="7"/>
        <v>38.080383785726319</v>
      </c>
      <c r="O54" s="17">
        <f t="shared" si="8"/>
        <v>36.330010650706022</v>
      </c>
      <c r="S54" s="17">
        <f t="shared" si="9"/>
        <v>29.381403820745412</v>
      </c>
      <c r="T54" s="17">
        <f t="shared" si="10"/>
        <v>28.551573223514634</v>
      </c>
      <c r="AA54" s="29">
        <f t="shared" si="11"/>
        <v>28.660743026496334</v>
      </c>
      <c r="AB54" s="29">
        <f t="shared" si="12"/>
        <v>40.782743213838074</v>
      </c>
      <c r="AC54" s="29">
        <f t="shared" si="14"/>
        <v>28.04341594100903</v>
      </c>
      <c r="AD54" s="29"/>
      <c r="AE54" s="29"/>
    </row>
    <row r="55" spans="3:31">
      <c r="J55" s="17">
        <f t="shared" si="13"/>
        <v>35</v>
      </c>
      <c r="K55" s="17">
        <f t="shared" si="4"/>
        <v>350</v>
      </c>
      <c r="L55" s="17">
        <f t="shared" si="5"/>
        <v>88.194467541595401</v>
      </c>
      <c r="M55" s="17">
        <f t="shared" si="6"/>
        <v>39.25810342035237</v>
      </c>
      <c r="N55" s="17">
        <f t="shared" si="7"/>
        <v>38.950027097976445</v>
      </c>
      <c r="O55" s="17">
        <f t="shared" si="8"/>
        <v>37.199653962956148</v>
      </c>
      <c r="S55" s="17">
        <f t="shared" si="9"/>
        <v>29.691945090303804</v>
      </c>
      <c r="T55" s="17">
        <f t="shared" si="10"/>
        <v>28.887304683136506</v>
      </c>
      <c r="AA55" s="29">
        <f t="shared" si="11"/>
        <v>28.983083811795712</v>
      </c>
      <c r="AB55" s="29">
        <f t="shared" si="12"/>
        <v>42.183573175576939</v>
      </c>
      <c r="AC55" s="29">
        <f t="shared" si="14"/>
        <v>28.398083787428696</v>
      </c>
      <c r="AD55" s="29"/>
      <c r="AE55" s="29"/>
    </row>
    <row r="56" spans="3:31">
      <c r="J56" s="17">
        <f t="shared" si="13"/>
        <v>36</v>
      </c>
      <c r="K56" s="17">
        <f t="shared" si="4"/>
        <v>360</v>
      </c>
      <c r="L56" s="17">
        <f t="shared" si="5"/>
        <v>89.076017364774913</v>
      </c>
      <c r="M56" s="17">
        <f t="shared" si="6"/>
        <v>40.122480821780748</v>
      </c>
      <c r="N56" s="17">
        <f t="shared" si="7"/>
        <v>39.800995576043817</v>
      </c>
      <c r="O56" s="17">
        <f t="shared" si="8"/>
        <v>38.050622441023521</v>
      </c>
      <c r="S56" s="17">
        <f t="shared" si="9"/>
        <v>29.988731608481586</v>
      </c>
      <c r="T56" s="17">
        <f t="shared" si="10"/>
        <v>29.207202577916576</v>
      </c>
      <c r="AA56" s="29">
        <f t="shared" si="11"/>
        <v>29.291340417810364</v>
      </c>
      <c r="AB56" s="29">
        <f t="shared" si="12"/>
        <v>43.584403137315789</v>
      </c>
      <c r="AC56" s="29">
        <f t="shared" si="14"/>
        <v>28.735270390994714</v>
      </c>
      <c r="AD56" s="29"/>
      <c r="AE56" s="29"/>
    </row>
    <row r="57" spans="3:31">
      <c r="J57" s="17">
        <f t="shared" si="13"/>
        <v>37</v>
      </c>
      <c r="K57" s="17">
        <f t="shared" si="4"/>
        <v>370</v>
      </c>
      <c r="L57" s="17">
        <f t="shared" si="5"/>
        <v>89.919366852753726</v>
      </c>
      <c r="M57" s="17">
        <f t="shared" si="6"/>
        <v>40.96888352820983</v>
      </c>
      <c r="N57" s="17">
        <f t="shared" si="7"/>
        <v>40.633873852194746</v>
      </c>
      <c r="O57" s="17">
        <f t="shared" si="8"/>
        <v>38.883500717174449</v>
      </c>
      <c r="S57" s="17">
        <f t="shared" si="9"/>
        <v>30.272657430440798</v>
      </c>
      <c r="T57" s="17">
        <f t="shared" si="10"/>
        <v>29.51240462180964</v>
      </c>
      <c r="AA57" s="29">
        <f t="shared" si="11"/>
        <v>29.586416188890649</v>
      </c>
      <c r="AB57" s="29">
        <f t="shared" si="12"/>
        <v>44.985233099054639</v>
      </c>
      <c r="AC57" s="29">
        <f t="shared" si="14"/>
        <v>29.056388004865379</v>
      </c>
      <c r="AD57" s="29"/>
      <c r="AE57" s="29"/>
    </row>
    <row r="58" spans="3:31">
      <c r="J58" s="17">
        <f t="shared" si="13"/>
        <v>38</v>
      </c>
      <c r="K58" s="17">
        <f t="shared" si="4"/>
        <v>380</v>
      </c>
      <c r="L58" s="17">
        <f t="shared" si="5"/>
        <v>90.726946359650029</v>
      </c>
      <c r="M58" s="17">
        <f t="shared" si="6"/>
        <v>41.797866444667612</v>
      </c>
      <c r="N58" s="17">
        <f t="shared" si="7"/>
        <v>41.449222491519734</v>
      </c>
      <c r="O58" s="17">
        <f t="shared" si="8"/>
        <v>39.698849356499437</v>
      </c>
      <c r="S58" s="17">
        <f t="shared" si="9"/>
        <v>30.544540770101651</v>
      </c>
      <c r="T58" s="17">
        <f t="shared" si="10"/>
        <v>29.803937206896308</v>
      </c>
      <c r="AA58" s="29">
        <f t="shared" si="11"/>
        <v>29.869138833717031</v>
      </c>
      <c r="AB58" s="29">
        <f t="shared" si="12"/>
        <v>46.386063060793497</v>
      </c>
      <c r="AC58" s="29">
        <f t="shared" si="14"/>
        <v>29.362678507656263</v>
      </c>
      <c r="AD58" s="29"/>
      <c r="AE58" s="29"/>
    </row>
    <row r="59" spans="3:31">
      <c r="J59" s="17">
        <f t="shared" si="13"/>
        <v>39</v>
      </c>
      <c r="K59" s="17">
        <f t="shared" si="4"/>
        <v>390</v>
      </c>
      <c r="L59" s="17">
        <f t="shared" si="5"/>
        <v>91.500984357927308</v>
      </c>
      <c r="M59" s="17">
        <f t="shared" si="6"/>
        <v>42.609961867863589</v>
      </c>
      <c r="N59" s="17">
        <f t="shared" si="7"/>
        <v>42.247579217437199</v>
      </c>
      <c r="O59" s="17">
        <f t="shared" si="8"/>
        <v>40.497206082416902</v>
      </c>
      <c r="S59" s="17">
        <f t="shared" si="9"/>
        <v>30.805131875000814</v>
      </c>
      <c r="T59" s="17">
        <f t="shared" si="10"/>
        <v>30.082729230929765</v>
      </c>
      <c r="AA59" s="29">
        <f t="shared" si="11"/>
        <v>30.140268179073818</v>
      </c>
      <c r="AB59" s="29">
        <f t="shared" si="12"/>
        <v>47.786893022532354</v>
      </c>
      <c r="AC59" s="29">
        <f t="shared" si="14"/>
        <v>29.655241564543399</v>
      </c>
      <c r="AD59" s="29"/>
      <c r="AE59" s="29"/>
    </row>
    <row r="60" spans="3:31">
      <c r="J60" s="17">
        <f t="shared" si="13"/>
        <v>40</v>
      </c>
      <c r="K60" s="17">
        <f t="shared" si="4"/>
        <v>400</v>
      </c>
      <c r="L60" s="17">
        <f t="shared" si="5"/>
        <v>92.243527974007506</v>
      </c>
      <c r="M60" s="17">
        <f t="shared" si="6"/>
        <v>43.405680625983507</v>
      </c>
      <c r="N60" s="17">
        <f t="shared" si="7"/>
        <v>43.029460063060547</v>
      </c>
      <c r="O60" s="17">
        <f t="shared" si="8"/>
        <v>41.27908692804025</v>
      </c>
      <c r="S60" s="17">
        <f t="shared" si="9"/>
        <v>31.055119939903076</v>
      </c>
      <c r="T60" s="17">
        <f t="shared" si="10"/>
        <v>30.349623872733265</v>
      </c>
      <c r="AA60" s="29">
        <f t="shared" si="11"/>
        <v>30.400502988935166</v>
      </c>
      <c r="AB60" s="29">
        <f t="shared" si="12"/>
        <v>49.187722984271211</v>
      </c>
      <c r="AC60" s="29">
        <f t="shared" si="14"/>
        <v>29.935056989307128</v>
      </c>
      <c r="AD60" s="29"/>
      <c r="AE60" s="29"/>
    </row>
    <row r="61" spans="3:31">
      <c r="J61" s="17">
        <f t="shared" si="13"/>
        <v>41</v>
      </c>
      <c r="K61" s="17">
        <f t="shared" si="4"/>
        <v>410</v>
      </c>
      <c r="L61" s="17">
        <f t="shared" si="5"/>
        <v>92.956461067179177</v>
      </c>
      <c r="M61" s="17">
        <f t="shared" si="6"/>
        <v>44.185513150217425</v>
      </c>
      <c r="N61" s="17">
        <f t="shared" si="7"/>
        <v>43.795360453609135</v>
      </c>
      <c r="O61" s="17">
        <f t="shared" si="8"/>
        <v>42.044987318588838</v>
      </c>
      <c r="S61" s="17">
        <f t="shared" si="9"/>
        <v>31.295139193327675</v>
      </c>
      <c r="T61" s="17">
        <f t="shared" si="10"/>
        <v>30.605388657277715</v>
      </c>
      <c r="AA61" s="29">
        <f t="shared" si="11"/>
        <v>30.650486977726139</v>
      </c>
      <c r="AB61" s="29">
        <f t="shared" si="12"/>
        <v>50.588552946010061</v>
      </c>
      <c r="AC61" s="29">
        <f t="shared" si="14"/>
        <v>30.203002676998924</v>
      </c>
      <c r="AD61" s="29"/>
      <c r="AE61" s="29"/>
    </row>
    <row r="62" spans="3:31">
      <c r="J62" s="17">
        <f t="shared" si="13"/>
        <v>42</v>
      </c>
      <c r="K62" s="17">
        <f t="shared" si="4"/>
        <v>420</v>
      </c>
      <c r="L62" s="17">
        <f t="shared" si="5"/>
        <v>93.641520187979836</v>
      </c>
      <c r="M62" s="17">
        <f t="shared" si="6"/>
        <v>44.949930482744122</v>
      </c>
      <c r="N62" s="17">
        <f t="shared" si="7"/>
        <v>44.545756224633813</v>
      </c>
      <c r="O62" s="17">
        <f t="shared" si="8"/>
        <v>42.795383089613516</v>
      </c>
      <c r="S62" s="17">
        <f t="shared" si="9"/>
        <v>31.525774270168878</v>
      </c>
      <c r="T62" s="17">
        <f t="shared" si="10"/>
        <v>30.850724093046338</v>
      </c>
      <c r="AA62" s="29">
        <f t="shared" si="11"/>
        <v>30.890814126709984</v>
      </c>
      <c r="AB62" s="29">
        <f t="shared" si="12"/>
        <v>51.989382907748919</v>
      </c>
      <c r="AC62" s="29">
        <f t="shared" si="14"/>
        <v>30.459869128668668</v>
      </c>
      <c r="AD62" s="29"/>
      <c r="AE62" s="29"/>
    </row>
    <row r="63" spans="3:31">
      <c r="J63" s="17">
        <f t="shared" si="13"/>
        <v>43</v>
      </c>
      <c r="K63" s="17">
        <f t="shared" si="4"/>
        <v>430</v>
      </c>
      <c r="L63" s="17">
        <f t="shared" si="5"/>
        <v>94.300308700664957</v>
      </c>
      <c r="M63" s="17">
        <f t="shared" si="6"/>
        <v>45.699385225525027</v>
      </c>
      <c r="N63" s="17">
        <f t="shared" si="7"/>
        <v>45.281104580454191</v>
      </c>
      <c r="O63" s="17">
        <f t="shared" si="8"/>
        <v>43.530731445433894</v>
      </c>
      <c r="S63" s="17">
        <f t="shared" si="9"/>
        <v>31.747564966229763</v>
      </c>
      <c r="T63" s="17">
        <f t="shared" si="10"/>
        <v>31.086271114387028</v>
      </c>
      <c r="AA63" s="29">
        <f t="shared" si="11"/>
        <v>31.12203339593659</v>
      </c>
      <c r="AB63" s="29">
        <f t="shared" si="12"/>
        <v>53.390212869487776</v>
      </c>
      <c r="AC63" s="29">
        <f t="shared" si="14"/>
        <v>30.706371331481137</v>
      </c>
      <c r="AD63" s="29"/>
      <c r="AE63" s="29"/>
    </row>
    <row r="64" spans="3:31">
      <c r="J64" s="17">
        <f t="shared" si="13"/>
        <v>44</v>
      </c>
      <c r="K64" s="17">
        <f t="shared" si="4"/>
        <v>440</v>
      </c>
      <c r="L64" s="17">
        <f t="shared" si="5"/>
        <v>94.934309311539948</v>
      </c>
      <c r="M64" s="17">
        <f t="shared" si="6"/>
        <v>46.43431243392353</v>
      </c>
      <c r="N64" s="17">
        <f t="shared" si="7"/>
        <v>46.001844996864371</v>
      </c>
      <c r="O64" s="17">
        <f t="shared" si="8"/>
        <v>44.251471861844074</v>
      </c>
      <c r="S64" s="17">
        <f t="shared" si="9"/>
        <v>31.961010456066649</v>
      </c>
      <c r="T64" s="17">
        <f t="shared" si="10"/>
        <v>31.312617520244242</v>
      </c>
      <c r="AA64" s="29">
        <f t="shared" si="11"/>
        <v>31.344652910435492</v>
      </c>
      <c r="AB64" s="29">
        <f t="shared" si="12"/>
        <v>54.791042831226626</v>
      </c>
      <c r="AC64" s="29">
        <f t="shared" si="14"/>
        <v>30.943158567561614</v>
      </c>
      <c r="AD64" s="29"/>
      <c r="AE64" s="29"/>
    </row>
    <row r="65" spans="10:31">
      <c r="J65" s="17">
        <f t="shared" si="13"/>
        <v>45</v>
      </c>
      <c r="K65" s="17">
        <f t="shared" si="4"/>
        <v>450</v>
      </c>
      <c r="L65" s="17">
        <f t="shared" si="5"/>
        <v>95.544895209214801</v>
      </c>
      <c r="M65" s="17">
        <f t="shared" si="6"/>
        <v>47.155130458857023</v>
      </c>
      <c r="N65" s="17">
        <f t="shared" si="7"/>
        <v>46.708400071851244</v>
      </c>
      <c r="O65" s="17">
        <f t="shared" si="8"/>
        <v>44.958026936830947</v>
      </c>
      <c r="S65" s="17">
        <f t="shared" si="9"/>
        <v>32.166573043517218</v>
      </c>
      <c r="T65" s="17">
        <f t="shared" si="10"/>
        <v>31.530303566815409</v>
      </c>
      <c r="AA65" s="29">
        <f t="shared" si="11"/>
        <v>31.559143687844401</v>
      </c>
      <c r="AB65" s="29">
        <f t="shared" si="12"/>
        <v>56.191872792965484</v>
      </c>
      <c r="AC65" s="29">
        <f t="shared" si="14"/>
        <v>31.170822585185416</v>
      </c>
      <c r="AD65" s="29"/>
      <c r="AE65" s="29"/>
    </row>
    <row r="66" spans="10:31">
      <c r="J66" s="17">
        <f t="shared" si="13"/>
        <v>46</v>
      </c>
      <c r="K66" s="17">
        <f t="shared" si="4"/>
        <v>460</v>
      </c>
      <c r="L66" s="17">
        <f t="shared" si="5"/>
        <v>96.133339992952301</v>
      </c>
      <c r="M66" s="17">
        <f t="shared" si="6"/>
        <v>47.86224174090696</v>
      </c>
      <c r="N66" s="17">
        <f t="shared" si="7"/>
        <v>47.401176327785578</v>
      </c>
      <c r="O66" s="17">
        <f t="shared" si="8"/>
        <v>45.650803192765281</v>
      </c>
      <c r="S66" s="17">
        <f t="shared" si="9"/>
        <v>32.364681504222752</v>
      </c>
      <c r="T66" s="17">
        <f t="shared" si="10"/>
        <v>31.739826844086625</v>
      </c>
      <c r="AA66" s="29">
        <f t="shared" si="11"/>
        <v>31.76594296502677</v>
      </c>
      <c r="AB66" s="29">
        <f t="shared" si="12"/>
        <v>57.592702754704348</v>
      </c>
      <c r="AC66" s="29">
        <f t="shared" si="14"/>
        <v>31.389904462873549</v>
      </c>
      <c r="AD66" s="29"/>
      <c r="AE66" s="29"/>
    </row>
    <row r="67" spans="10:31">
      <c r="J67" s="17">
        <f t="shared" si="13"/>
        <v>47</v>
      </c>
      <c r="K67" s="17">
        <f t="shared" si="4"/>
        <v>470</v>
      </c>
      <c r="L67" s="17">
        <f t="shared" si="5"/>
        <v>96.70082654018276</v>
      </c>
      <c r="M67" s="17">
        <f t="shared" si="6"/>
        <v>48.556033559554308</v>
      </c>
      <c r="N67" s="17">
        <f t="shared" si="7"/>
        <v>48.080564968285806</v>
      </c>
      <c r="O67" s="17">
        <f t="shared" si="8"/>
        <v>46.330191833265509</v>
      </c>
      <c r="S67" s="17">
        <f t="shared" si="9"/>
        <v>32.555734071005418</v>
      </c>
      <c r="T67" s="17">
        <f t="shared" si="10"/>
        <v>31.941646543757905</v>
      </c>
      <c r="AA67" s="29">
        <f t="shared" si="11"/>
        <v>31.96545717312177</v>
      </c>
      <c r="AB67" s="29">
        <f t="shared" si="12"/>
        <v>58.993532716443198</v>
      </c>
      <c r="AC67" s="29">
        <f t="shared" si="14"/>
        <v>31.600900420560148</v>
      </c>
      <c r="AD67" s="29"/>
      <c r="AE67" s="29"/>
    </row>
    <row r="68" spans="10:31">
      <c r="J68" s="17">
        <f t="shared" si="13"/>
        <v>48</v>
      </c>
      <c r="K68" s="17">
        <f t="shared" si="4"/>
        <v>480</v>
      </c>
      <c r="L68" s="17">
        <f t="shared" si="5"/>
        <v>97.248454943111568</v>
      </c>
      <c r="M68" s="17">
        <f t="shared" si="6"/>
        <v>49.23687874047129</v>
      </c>
      <c r="N68" s="17">
        <f t="shared" si="7"/>
        <v>48.746942592713658</v>
      </c>
      <c r="O68" s="17">
        <f t="shared" si="8"/>
        <v>46.996569457693361</v>
      </c>
      <c r="S68" s="17">
        <f t="shared" si="9"/>
        <v>32.740101105842207</v>
      </c>
      <c r="T68" s="17">
        <f t="shared" si="10"/>
        <v>32.136187207809023</v>
      </c>
      <c r="AA68" s="29">
        <f t="shared" si="11"/>
        <v>32.15806460362365</v>
      </c>
      <c r="AB68" s="29">
        <f t="shared" si="12"/>
        <v>60.394362678182056</v>
      </c>
      <c r="AC68" s="29">
        <f t="shared" si="14"/>
        <v>31.80426677499101</v>
      </c>
      <c r="AD68" s="29"/>
      <c r="AE68" s="29"/>
    </row>
    <row r="69" spans="10:31">
      <c r="J69" s="17">
        <f t="shared" si="13"/>
        <v>49</v>
      </c>
      <c r="K69" s="17">
        <f t="shared" si="4"/>
        <v>490</v>
      </c>
      <c r="L69" s="17">
        <f t="shared" si="5"/>
        <v>97.777249626473392</v>
      </c>
      <c r="M69" s="17">
        <f t="shared" si="6"/>
        <v>49.90513632358337</v>
      </c>
      <c r="N69" s="17">
        <f t="shared" si="7"/>
        <v>49.400671871044317</v>
      </c>
      <c r="O69" s="17">
        <f t="shared" si="8"/>
        <v>47.65029873602402</v>
      </c>
      <c r="S69" s="17">
        <f t="shared" si="9"/>
        <v>32.918127496159933</v>
      </c>
      <c r="T69" s="17">
        <f t="shared" si="10"/>
        <v>32.323842032080172</v>
      </c>
      <c r="AA69" s="29">
        <f t="shared" si="11"/>
        <v>32.344117802289361</v>
      </c>
      <c r="AB69" s="29">
        <f t="shared" si="12"/>
        <v>61.795192639920913</v>
      </c>
      <c r="AC69" s="29">
        <f t="shared" si="14"/>
        <v>32.000424193654467</v>
      </c>
      <c r="AD69" s="29"/>
      <c r="AE69" s="29"/>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6"/>
  <dimension ref="A1:AE1280"/>
  <sheetViews>
    <sheetView workbookViewId="0">
      <selection activeCell="D13" sqref="D13"/>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9" customWidth="1"/>
    <col min="10" max="10" width="12.28515625" customWidth="1"/>
    <col min="11" max="11" width="13" customWidth="1"/>
    <col min="13" max="13" width="14" customWidth="1"/>
    <col min="14" max="14" width="13.140625" bestFit="1" customWidth="1"/>
    <col min="15" max="15" width="14" customWidth="1"/>
    <col min="17" max="17" width="16.42578125" customWidth="1"/>
    <col min="19" max="19" width="11.7109375" customWidth="1"/>
    <col min="20" max="20" width="10.85546875" customWidth="1"/>
    <col min="22" max="22" width="12.42578125" bestFit="1" customWidth="1"/>
    <col min="23" max="23" width="10.7109375" customWidth="1"/>
  </cols>
  <sheetData>
    <row r="1" spans="1:7">
      <c r="A1" t="s">
        <v>86</v>
      </c>
    </row>
    <row r="2" spans="1:7">
      <c r="A2" t="s">
        <v>87</v>
      </c>
    </row>
    <row r="3" spans="1:7">
      <c r="A3" t="s">
        <v>108</v>
      </c>
    </row>
    <row r="4" spans="1:7">
      <c r="A4" t="s">
        <v>109</v>
      </c>
    </row>
    <row r="16" spans="1:7">
      <c r="A16" t="s">
        <v>2</v>
      </c>
      <c r="G16" t="s">
        <v>11</v>
      </c>
    </row>
    <row r="17" spans="1:31">
      <c r="B17" t="s">
        <v>3</v>
      </c>
      <c r="C17" t="s">
        <v>4</v>
      </c>
      <c r="D17" t="s">
        <v>5</v>
      </c>
      <c r="H17" t="s">
        <v>103</v>
      </c>
      <c r="I17" s="8">
        <v>25</v>
      </c>
      <c r="J17" t="s">
        <v>27</v>
      </c>
      <c r="L17" t="s">
        <v>104</v>
      </c>
      <c r="M17" s="8">
        <v>1.5</v>
      </c>
      <c r="N17" t="s">
        <v>91</v>
      </c>
      <c r="O17" t="s">
        <v>105</v>
      </c>
      <c r="Q17" t="s">
        <v>92</v>
      </c>
      <c r="R17" s="13">
        <v>100</v>
      </c>
      <c r="S17" t="s">
        <v>91</v>
      </c>
    </row>
    <row r="18" spans="1:31">
      <c r="A18" t="s">
        <v>20</v>
      </c>
      <c r="B18">
        <v>50.000000000325009</v>
      </c>
      <c r="C18">
        <v>100</v>
      </c>
      <c r="D18">
        <v>100</v>
      </c>
      <c r="E18" t="s">
        <v>27</v>
      </c>
      <c r="I18" s="4"/>
      <c r="L18" t="s">
        <v>95</v>
      </c>
      <c r="M18">
        <v>2140</v>
      </c>
      <c r="N18" t="s">
        <v>27</v>
      </c>
    </row>
    <row r="19" spans="1:31">
      <c r="E19" t="s">
        <v>27</v>
      </c>
      <c r="I19" s="4"/>
      <c r="K19" t="s">
        <v>101</v>
      </c>
      <c r="L19" s="8" t="s">
        <v>29</v>
      </c>
      <c r="M19" t="s">
        <v>102</v>
      </c>
    </row>
    <row r="20" spans="1:31">
      <c r="A20" t="s">
        <v>0</v>
      </c>
      <c r="B20" s="8">
        <v>2</v>
      </c>
      <c r="C20" s="8">
        <v>2</v>
      </c>
      <c r="D20" s="8">
        <v>2</v>
      </c>
      <c r="H20" t="s">
        <v>124</v>
      </c>
      <c r="I20" s="8">
        <v>1</v>
      </c>
      <c r="J20" t="s">
        <v>6</v>
      </c>
      <c r="K20" t="s">
        <v>123</v>
      </c>
      <c r="L20" s="8">
        <v>0.5</v>
      </c>
      <c r="M20" t="s">
        <v>122</v>
      </c>
    </row>
    <row r="21" spans="1:31">
      <c r="A21" t="s">
        <v>1</v>
      </c>
      <c r="B21" s="8">
        <v>3</v>
      </c>
      <c r="C21" s="8">
        <v>3</v>
      </c>
      <c r="D21" s="8">
        <v>3</v>
      </c>
      <c r="K21" s="4"/>
      <c r="L21" s="4"/>
    </row>
    <row r="22" spans="1:31">
      <c r="A22" t="s">
        <v>19</v>
      </c>
      <c r="B22" s="8">
        <v>49.999999999674991</v>
      </c>
      <c r="C22" s="8">
        <v>25</v>
      </c>
      <c r="D22" s="8">
        <v>25</v>
      </c>
      <c r="K22" t="s">
        <v>43</v>
      </c>
      <c r="L22" s="10">
        <v>0.92</v>
      </c>
      <c r="M22" t="s">
        <v>44</v>
      </c>
    </row>
    <row r="23" spans="1:31">
      <c r="A23" t="s">
        <v>14</v>
      </c>
      <c r="C23">
        <v>4.1599999999999335</v>
      </c>
      <c r="D23">
        <v>4.1599999999999335</v>
      </c>
      <c r="E23" t="s">
        <v>6</v>
      </c>
      <c r="I23" s="4"/>
      <c r="K23" t="s">
        <v>41</v>
      </c>
      <c r="L23" s="8">
        <v>5</v>
      </c>
      <c r="M23" t="s">
        <v>42</v>
      </c>
      <c r="Q23" s="4"/>
    </row>
    <row r="24" spans="1:31">
      <c r="A24" t="s">
        <v>7</v>
      </c>
      <c r="B24" t="s">
        <v>8</v>
      </c>
      <c r="D24" t="s">
        <v>9</v>
      </c>
      <c r="E24" t="s">
        <v>10</v>
      </c>
      <c r="F24" t="s">
        <v>21</v>
      </c>
      <c r="G24" t="s">
        <v>12</v>
      </c>
      <c r="H24" t="s">
        <v>106</v>
      </c>
      <c r="I24" t="s">
        <v>13</v>
      </c>
      <c r="K24" t="s">
        <v>45</v>
      </c>
      <c r="Q24" s="4"/>
    </row>
    <row r="25" spans="1:31">
      <c r="A25">
        <v>1</v>
      </c>
      <c r="B25" s="6">
        <v>19.899999999999999</v>
      </c>
      <c r="C25" s="4"/>
      <c r="D25" s="8">
        <v>602.04189999999994</v>
      </c>
      <c r="E25" s="8">
        <v>1.48</v>
      </c>
      <c r="F25">
        <v>1538414392341.5039</v>
      </c>
      <c r="G25">
        <v>20.765000000000153</v>
      </c>
      <c r="H25">
        <v>9.9500000000646764</v>
      </c>
      <c r="I25">
        <v>3.7699999999999418</v>
      </c>
      <c r="K25" s="4">
        <v>2.6611903360604948E-2</v>
      </c>
      <c r="Q25" s="4"/>
    </row>
    <row r="26" spans="1:31">
      <c r="A26">
        <v>2</v>
      </c>
      <c r="B26" s="6">
        <v>19.899999999999999</v>
      </c>
      <c r="C26" s="4"/>
      <c r="D26" s="8">
        <v>602.04189999999994</v>
      </c>
      <c r="E26" s="8">
        <v>1.48</v>
      </c>
      <c r="F26">
        <v>1538414392341.5039</v>
      </c>
      <c r="G26">
        <v>20.765000000000153</v>
      </c>
      <c r="H26">
        <v>9.9500000000646764</v>
      </c>
      <c r="I26">
        <v>3.7699999999999418</v>
      </c>
      <c r="K26" s="4">
        <v>6.0864480804667477E-2</v>
      </c>
      <c r="Q26" s="4"/>
    </row>
    <row r="27" spans="1:31">
      <c r="A27">
        <v>3</v>
      </c>
      <c r="B27" s="6">
        <v>19.899999999999999</v>
      </c>
      <c r="C27" s="4"/>
      <c r="D27" s="8">
        <v>602.04189999999994</v>
      </c>
      <c r="E27" s="8">
        <v>1.48</v>
      </c>
      <c r="F27">
        <v>1538414392341.5039</v>
      </c>
      <c r="G27">
        <v>20.765000000000153</v>
      </c>
      <c r="H27">
        <v>9.9500000000646764</v>
      </c>
      <c r="I27">
        <v>3.7699999999999418</v>
      </c>
      <c r="K27" s="4">
        <v>0.10899510438803935</v>
      </c>
      <c r="Q27" s="4"/>
    </row>
    <row r="28" spans="1:31">
      <c r="A28">
        <v>4</v>
      </c>
      <c r="B28" s="6">
        <v>19.899999999999999</v>
      </c>
      <c r="C28" s="4"/>
      <c r="D28" s="8">
        <v>602.04189999999994</v>
      </c>
      <c r="E28" s="8">
        <v>1.48</v>
      </c>
      <c r="F28">
        <v>1538414392341.5039</v>
      </c>
      <c r="G28">
        <v>20.765000000000153</v>
      </c>
      <c r="H28">
        <v>9.9500000000646764</v>
      </c>
      <c r="I28">
        <v>3.7699999999999418</v>
      </c>
      <c r="K28" s="4">
        <v>0.19064579172367468</v>
      </c>
      <c r="Q28" s="4"/>
    </row>
    <row r="29" spans="1:31">
      <c r="A29">
        <v>5</v>
      </c>
      <c r="B29" s="6">
        <v>19.899999999999999</v>
      </c>
      <c r="C29" s="4"/>
      <c r="D29" s="8">
        <v>602.04189999999994</v>
      </c>
      <c r="E29" s="8">
        <v>1.48</v>
      </c>
      <c r="F29">
        <v>1538414392341.5039</v>
      </c>
      <c r="G29">
        <v>20.765000000000153</v>
      </c>
      <c r="H29">
        <v>9.9500000000646764</v>
      </c>
      <c r="I29">
        <v>3.7699999999999418</v>
      </c>
      <c r="K29" s="4">
        <v>0.63542997478267593</v>
      </c>
    </row>
    <row r="30" spans="1:31">
      <c r="C30" t="s">
        <v>28</v>
      </c>
      <c r="F30" t="s">
        <v>27</v>
      </c>
      <c r="I30" t="s">
        <v>27</v>
      </c>
    </row>
    <row r="31" spans="1:31">
      <c r="K31">
        <f>AVERAGE(K33:K128)</f>
        <v>3.6525385951720937</v>
      </c>
      <c r="O31" t="s">
        <v>40</v>
      </c>
    </row>
    <row r="32" spans="1:31">
      <c r="A32" s="2" t="s">
        <v>93</v>
      </c>
      <c r="B32" s="2" t="s">
        <v>30</v>
      </c>
      <c r="C32" s="2" t="s">
        <v>31</v>
      </c>
      <c r="D32" s="2" t="s">
        <v>32</v>
      </c>
      <c r="E32" s="2" t="s">
        <v>33</v>
      </c>
      <c r="F32" s="2" t="s">
        <v>34</v>
      </c>
      <c r="G32" s="2" t="s">
        <v>35</v>
      </c>
      <c r="H32" s="1" t="s">
        <v>36</v>
      </c>
      <c r="I32" s="1" t="s">
        <v>88</v>
      </c>
      <c r="J32" s="1" t="s">
        <v>94</v>
      </c>
      <c r="K32" s="1" t="s">
        <v>37</v>
      </c>
      <c r="L32" s="1" t="s">
        <v>89</v>
      </c>
      <c r="M32" s="1" t="s">
        <v>38</v>
      </c>
      <c r="N32" s="1" t="s">
        <v>39</v>
      </c>
      <c r="O32" s="1" t="s">
        <v>22</v>
      </c>
      <c r="P32" s="1" t="s">
        <v>23</v>
      </c>
      <c r="Q32" s="1" t="s">
        <v>24</v>
      </c>
      <c r="R32" s="1" t="s">
        <v>107</v>
      </c>
      <c r="S32" t="s">
        <v>25</v>
      </c>
      <c r="T32" t="s">
        <v>25</v>
      </c>
      <c r="U32" t="s">
        <v>25</v>
      </c>
      <c r="V32" t="s">
        <v>25</v>
      </c>
      <c r="W32" t="s">
        <v>25</v>
      </c>
      <c r="X32" t="s">
        <v>26</v>
      </c>
      <c r="Y32" t="s">
        <v>16</v>
      </c>
      <c r="Z32" t="s">
        <v>16</v>
      </c>
      <c r="AA32" t="s">
        <v>16</v>
      </c>
      <c r="AB32" t="s">
        <v>16</v>
      </c>
      <c r="AC32" t="s">
        <v>16</v>
      </c>
      <c r="AD32" t="s">
        <v>17</v>
      </c>
      <c r="AE32" t="s">
        <v>18</v>
      </c>
    </row>
    <row r="33" spans="1:30">
      <c r="A33" s="8">
        <v>0.5</v>
      </c>
      <c r="B33" s="8">
        <v>0</v>
      </c>
      <c r="C33" s="8">
        <v>0</v>
      </c>
      <c r="D33" s="8">
        <v>0</v>
      </c>
      <c r="E33" s="8">
        <v>0</v>
      </c>
      <c r="F33" s="8">
        <v>0</v>
      </c>
      <c r="G33">
        <v>0</v>
      </c>
      <c r="H33">
        <v>0.4260927363839368</v>
      </c>
      <c r="I33">
        <v>10.600000000000083</v>
      </c>
      <c r="J33">
        <v>2120.0000000000164</v>
      </c>
      <c r="K33">
        <v>3.6231674815876369</v>
      </c>
      <c r="L33">
        <v>44.524999999998542</v>
      </c>
      <c r="M33">
        <v>0.31939020848363842</v>
      </c>
      <c r="N33">
        <v>0.21312984312857719</v>
      </c>
      <c r="O33">
        <v>99.754974157871189</v>
      </c>
      <c r="P33">
        <v>99.341601446449346</v>
      </c>
      <c r="Q33" s="3">
        <v>24.877213561436555</v>
      </c>
      <c r="R33">
        <v>24.877213439329001</v>
      </c>
      <c r="S33">
        <v>9.946988038263628</v>
      </c>
      <c r="T33">
        <v>9.946988038263628</v>
      </c>
      <c r="U33">
        <v>9.946988038263628</v>
      </c>
      <c r="V33">
        <v>9.946988038263628</v>
      </c>
      <c r="W33">
        <v>9.946988038263628</v>
      </c>
      <c r="X33">
        <v>49.734940191318138</v>
      </c>
      <c r="Y33">
        <v>2.120000000000017</v>
      </c>
      <c r="Z33">
        <v>2.120000000000017</v>
      </c>
      <c r="AA33">
        <v>2.120000000000017</v>
      </c>
      <c r="AB33">
        <v>2.120000000000017</v>
      </c>
      <c r="AC33">
        <v>2.120000000000017</v>
      </c>
      <c r="AD33" t="s">
        <v>15</v>
      </c>
    </row>
    <row r="34" spans="1:30">
      <c r="A34" s="8">
        <v>1.2</v>
      </c>
      <c r="B34" s="8">
        <v>0.2</v>
      </c>
      <c r="C34" s="8">
        <v>0.2</v>
      </c>
      <c r="D34" s="8">
        <v>0.2</v>
      </c>
      <c r="E34" s="8">
        <v>0.2</v>
      </c>
      <c r="F34" s="8">
        <v>0.2</v>
      </c>
      <c r="G34" s="4">
        <v>0.2</v>
      </c>
      <c r="H34" s="4">
        <v>1.0413965123267162</v>
      </c>
      <c r="I34">
        <v>20.099999999999927</v>
      </c>
      <c r="J34">
        <v>1674.9999999999939</v>
      </c>
      <c r="K34">
        <v>3.5239278134167202</v>
      </c>
      <c r="L34">
        <v>39.524999999998826</v>
      </c>
      <c r="M34">
        <v>0.81885514341919807</v>
      </c>
      <c r="N34">
        <v>0.60832124738035076</v>
      </c>
      <c r="O34">
        <v>95.47156243330582</v>
      </c>
      <c r="P34">
        <v>90.320285611044838</v>
      </c>
      <c r="Q34" s="3">
        <v>23.888855855151263</v>
      </c>
      <c r="R34">
        <v>23.892198712512627</v>
      </c>
      <c r="S34">
        <v>9.8480286593683442</v>
      </c>
      <c r="T34">
        <v>9.8480286593683442</v>
      </c>
      <c r="U34">
        <v>9.8480286593683442</v>
      </c>
      <c r="V34">
        <v>9.8480286593683442</v>
      </c>
      <c r="W34">
        <v>9.8480286593683442</v>
      </c>
      <c r="X34">
        <v>49.240143296841723</v>
      </c>
      <c r="Y34">
        <v>4.0199999999804739</v>
      </c>
      <c r="Z34">
        <v>4.0199999999804739</v>
      </c>
      <c r="AA34">
        <v>4.0199999999804739</v>
      </c>
      <c r="AB34">
        <v>4.0199999999804739</v>
      </c>
      <c r="AC34">
        <v>4.0199999999804739</v>
      </c>
      <c r="AD34" t="s">
        <v>15</v>
      </c>
    </row>
    <row r="35" spans="1:30">
      <c r="A35" s="8">
        <v>1.5</v>
      </c>
      <c r="B35" s="8">
        <v>0.6</v>
      </c>
      <c r="C35" s="9">
        <v>0.4</v>
      </c>
      <c r="D35" s="8">
        <v>0.2</v>
      </c>
      <c r="E35" s="8">
        <v>0.1</v>
      </c>
      <c r="F35" s="8">
        <v>0</v>
      </c>
      <c r="G35" s="4">
        <v>0.25931376801866646</v>
      </c>
      <c r="H35">
        <v>1.0768446321936491</v>
      </c>
      <c r="I35">
        <v>19.425000000000001</v>
      </c>
      <c r="J35">
        <v>1295</v>
      </c>
      <c r="K35">
        <v>3.5645929366293174</v>
      </c>
      <c r="L35">
        <v>38.024999999998911</v>
      </c>
      <c r="M35">
        <v>0.86029868103441809</v>
      </c>
      <c r="N35">
        <v>0.65572892957919471</v>
      </c>
      <c r="O35">
        <v>94.955387401209933</v>
      </c>
      <c r="P35">
        <v>89.703824504741405</v>
      </c>
      <c r="Q35" s="3">
        <v>23.760570825179606</v>
      </c>
      <c r="R35">
        <v>23.754799669124047</v>
      </c>
      <c r="S35">
        <v>9.6751265604385708</v>
      </c>
      <c r="T35">
        <v>9.8105991983982435</v>
      </c>
      <c r="U35">
        <v>9.827073573687759</v>
      </c>
      <c r="V35">
        <v>9.8308486958957282</v>
      </c>
      <c r="W35">
        <v>9.8334691503078577</v>
      </c>
      <c r="X35">
        <v>48.977117178728157</v>
      </c>
      <c r="Y35">
        <v>0.53422900642584192</v>
      </c>
      <c r="Z35">
        <v>2.5023787074298736</v>
      </c>
      <c r="AA35">
        <v>4.4771932674047816</v>
      </c>
      <c r="AB35">
        <v>5.463108819349964</v>
      </c>
      <c r="AC35">
        <v>6.4480901993895907</v>
      </c>
      <c r="AD35" t="s">
        <v>15</v>
      </c>
    </row>
    <row r="36" spans="1:30">
      <c r="A36" s="8">
        <v>2</v>
      </c>
      <c r="B36" s="8">
        <v>1</v>
      </c>
      <c r="C36" s="9">
        <v>0.8</v>
      </c>
      <c r="D36" s="8">
        <v>0.5</v>
      </c>
      <c r="E36" s="8">
        <v>0.2</v>
      </c>
      <c r="F36" s="8">
        <v>0</v>
      </c>
      <c r="G36" s="4">
        <v>0.48908272481494319</v>
      </c>
      <c r="H36">
        <v>1.1670083204900781</v>
      </c>
      <c r="I36">
        <v>15.600000000000154</v>
      </c>
      <c r="J36">
        <v>780.00000000000773</v>
      </c>
      <c r="K36">
        <v>4.0779880448043828</v>
      </c>
      <c r="L36">
        <v>32.199999999999243</v>
      </c>
      <c r="M36">
        <v>0.9873157410935044</v>
      </c>
      <c r="N36">
        <v>0.81730513779735903</v>
      </c>
      <c r="O36">
        <v>91.75898266078238</v>
      </c>
      <c r="P36">
        <v>86.814937224378284</v>
      </c>
      <c r="Q36" s="3">
        <v>23.011374846327158</v>
      </c>
      <c r="R36">
        <v>23.007990427159466</v>
      </c>
      <c r="S36">
        <v>9.063151664281154</v>
      </c>
      <c r="T36">
        <v>9.3127618967788841</v>
      </c>
      <c r="U36">
        <v>9.6422240373840875</v>
      </c>
      <c r="V36">
        <v>9.7353326190111051</v>
      </c>
      <c r="W36">
        <v>9.7608427001952194</v>
      </c>
      <c r="X36">
        <v>47.51431291765045</v>
      </c>
      <c r="Y36">
        <v>-1.5869673083863169</v>
      </c>
      <c r="Z36">
        <v>0.15763752588641555</v>
      </c>
      <c r="AA36">
        <v>3.0437848892648454</v>
      </c>
      <c r="AB36">
        <v>6.0079580058612407</v>
      </c>
      <c r="AC36">
        <v>7.9775868873743967</v>
      </c>
      <c r="AD36" t="s">
        <v>15</v>
      </c>
    </row>
    <row r="37" spans="1:30">
      <c r="A37" s="8">
        <v>2.5</v>
      </c>
      <c r="B37" s="8">
        <v>1.2</v>
      </c>
      <c r="C37" s="9">
        <v>1</v>
      </c>
      <c r="D37" s="8">
        <v>0.6</v>
      </c>
      <c r="E37" s="8">
        <v>0.4</v>
      </c>
      <c r="F37" s="8">
        <v>0.3</v>
      </c>
      <c r="G37" s="4">
        <v>0.67826786774136749</v>
      </c>
      <c r="H37">
        <v>1.2563553256395961</v>
      </c>
      <c r="I37">
        <v>12.725000000000113</v>
      </c>
      <c r="J37">
        <v>509.00000000000449</v>
      </c>
      <c r="K37">
        <v>3.7146752338762896</v>
      </c>
      <c r="L37">
        <v>27.474999999999508</v>
      </c>
      <c r="M37">
        <v>1.102979963685593</v>
      </c>
      <c r="N37">
        <v>0.95797859434251831</v>
      </c>
      <c r="O37">
        <v>87.757791927417131</v>
      </c>
      <c r="P37">
        <v>82.966389372344665</v>
      </c>
      <c r="Q37">
        <v>22.012240234833691</v>
      </c>
      <c r="R37">
        <v>22.133260105274687</v>
      </c>
      <c r="S37">
        <v>8.5231003047969232</v>
      </c>
      <c r="T37">
        <v>8.8512171035870661</v>
      </c>
      <c r="U37">
        <v>9.4349187394934475</v>
      </c>
      <c r="V37">
        <v>9.5801100138525737</v>
      </c>
      <c r="W37">
        <v>9.6240541405288411</v>
      </c>
      <c r="X37">
        <v>46.013400302258852</v>
      </c>
      <c r="Y37">
        <v>-1.9234770574765143</v>
      </c>
      <c r="Z37">
        <v>-0.3567504662501122</v>
      </c>
      <c r="AA37">
        <v>3.3472213969475142</v>
      </c>
      <c r="AB37">
        <v>5.3320229746557342</v>
      </c>
      <c r="AC37">
        <v>6.32598315280236</v>
      </c>
      <c r="AD37" t="s">
        <v>15</v>
      </c>
    </row>
    <row r="38" spans="1:30">
      <c r="A38" s="8">
        <v>3</v>
      </c>
      <c r="B38" s="8">
        <v>1.5</v>
      </c>
      <c r="C38" s="9">
        <v>1.2</v>
      </c>
      <c r="D38" s="8">
        <v>1</v>
      </c>
      <c r="E38" s="8">
        <v>0.6</v>
      </c>
      <c r="F38" s="8">
        <v>0.5</v>
      </c>
      <c r="G38" s="4">
        <v>0.91986897957608083</v>
      </c>
      <c r="H38">
        <v>1.3912834396482392</v>
      </c>
      <c r="I38">
        <v>9.4500000000000668</v>
      </c>
      <c r="J38">
        <v>315.00000000000222</v>
      </c>
      <c r="K38">
        <v>3.5813210812151119</v>
      </c>
      <c r="L38">
        <v>21.649999999999839</v>
      </c>
      <c r="M38">
        <v>1.2645991471806517</v>
      </c>
      <c r="N38">
        <v>1.1469079591476332</v>
      </c>
      <c r="O38">
        <v>80.294881527993851</v>
      </c>
      <c r="P38">
        <v>74.594883200834659</v>
      </c>
      <c r="Q38">
        <v>20.046054587620365</v>
      </c>
      <c r="R38">
        <v>20.300546860695665</v>
      </c>
      <c r="S38">
        <v>7.5266427313217008</v>
      </c>
      <c r="T38">
        <v>8.1370543645166116</v>
      </c>
      <c r="U38">
        <v>8.5093254931435087</v>
      </c>
      <c r="V38">
        <v>9.2385410429267854</v>
      </c>
      <c r="W38">
        <v>9.3236291360699894</v>
      </c>
      <c r="X38">
        <v>42.735192767978596</v>
      </c>
      <c r="Y38">
        <v>-2.3561552713418656</v>
      </c>
      <c r="Z38">
        <v>-0.40367329062637225</v>
      </c>
      <c r="AA38">
        <v>1.2000408263471769</v>
      </c>
      <c r="AB38">
        <v>5.0082718494061123</v>
      </c>
      <c r="AC38">
        <v>6.0015158885590845</v>
      </c>
      <c r="AD38" t="s">
        <v>15</v>
      </c>
    </row>
    <row r="39" spans="1:30">
      <c r="A39" s="8">
        <v>2</v>
      </c>
      <c r="B39" s="8">
        <v>2</v>
      </c>
      <c r="C39" s="9">
        <v>1.4</v>
      </c>
      <c r="D39" s="8">
        <v>1.2</v>
      </c>
      <c r="E39" s="8">
        <v>0.8</v>
      </c>
      <c r="F39" s="8">
        <v>0</v>
      </c>
      <c r="G39" s="4">
        <v>0.96810321557293866</v>
      </c>
      <c r="H39">
        <v>1.4174554754418671</v>
      </c>
      <c r="I39">
        <v>8.7750000000000572</v>
      </c>
      <c r="J39">
        <v>438.75000000000284</v>
      </c>
      <c r="K39">
        <v>3.6943954854173233</v>
      </c>
      <c r="L39">
        <v>20.374999999999911</v>
      </c>
      <c r="M39">
        <v>1.2986265627555269</v>
      </c>
      <c r="N39">
        <v>1.1878986393517237</v>
      </c>
      <c r="O39">
        <v>79.248302779050022</v>
      </c>
      <c r="P39">
        <v>73.845664338968348</v>
      </c>
      <c r="Q39">
        <v>19.528109200028585</v>
      </c>
      <c r="R39">
        <v>19.665553315031762</v>
      </c>
      <c r="S39">
        <v>6.4100545967262761</v>
      </c>
      <c r="T39">
        <v>7.6309957689130385</v>
      </c>
      <c r="U39">
        <v>8.0453323858183659</v>
      </c>
      <c r="V39">
        <v>9.1296863207308228</v>
      </c>
      <c r="W39">
        <v>9.2861366454732561</v>
      </c>
      <c r="X39">
        <v>40.502205717661759</v>
      </c>
      <c r="Y39">
        <v>-4.1665519451868285</v>
      </c>
      <c r="Z39">
        <v>-1.4632965280348706</v>
      </c>
      <c r="AA39">
        <v>-9.1040123645530713E-2</v>
      </c>
      <c r="AB39">
        <v>3.4648995118313159</v>
      </c>
      <c r="AC39">
        <v>11.030989085035158</v>
      </c>
      <c r="AD39" t="s">
        <v>15</v>
      </c>
    </row>
    <row r="40" spans="1:30">
      <c r="A40" s="8">
        <v>2.5</v>
      </c>
      <c r="B40" s="8">
        <v>0</v>
      </c>
      <c r="C40" s="8">
        <v>0</v>
      </c>
      <c r="D40" s="8">
        <v>0</v>
      </c>
      <c r="E40" s="8">
        <v>0</v>
      </c>
      <c r="F40" s="8">
        <v>0</v>
      </c>
      <c r="G40" s="4">
        <v>0</v>
      </c>
      <c r="H40">
        <v>0.99539533579320127</v>
      </c>
      <c r="I40">
        <v>19.574999999999999</v>
      </c>
      <c r="J40">
        <v>782.99999999999818</v>
      </c>
      <c r="K40">
        <v>3.6675024223009607</v>
      </c>
      <c r="L40">
        <v>40.399999999998776</v>
      </c>
      <c r="M40">
        <v>0.73031545594074865</v>
      </c>
      <c r="N40">
        <v>0.48330701142457444</v>
      </c>
      <c r="O40">
        <v>79.248302779050036</v>
      </c>
      <c r="P40">
        <v>73.845664978027344</v>
      </c>
      <c r="Q40">
        <v>19.665553269245745</v>
      </c>
      <c r="R40">
        <v>19.665553315031762</v>
      </c>
      <c r="S40">
        <v>6.4100545967262779</v>
      </c>
      <c r="T40">
        <v>7.6309957689130412</v>
      </c>
      <c r="U40">
        <v>8.0453323858183659</v>
      </c>
      <c r="V40">
        <v>9.1296863207308228</v>
      </c>
      <c r="W40">
        <v>9.2861366454732561</v>
      </c>
      <c r="X40">
        <v>40.502205717661766</v>
      </c>
      <c r="Y40">
        <v>3.098024330026603</v>
      </c>
      <c r="Z40">
        <v>3.6881137590039965</v>
      </c>
      <c r="AA40">
        <v>3.8883655510149491</v>
      </c>
      <c r="AB40">
        <v>4.4124414105398735</v>
      </c>
      <c r="AC40">
        <v>4.4880549494145336</v>
      </c>
      <c r="AD40" t="s">
        <v>15</v>
      </c>
    </row>
    <row r="41" spans="1:30">
      <c r="A41" s="8">
        <v>1</v>
      </c>
      <c r="B41" s="8">
        <v>0</v>
      </c>
      <c r="C41" s="8">
        <v>0</v>
      </c>
      <c r="D41" s="8">
        <v>0</v>
      </c>
      <c r="E41" s="8">
        <v>0</v>
      </c>
      <c r="F41" s="8">
        <v>0</v>
      </c>
      <c r="G41" s="4">
        <v>0</v>
      </c>
      <c r="H41">
        <v>0.80724911060512849</v>
      </c>
      <c r="I41">
        <v>15.875000000000158</v>
      </c>
      <c r="J41">
        <v>1587.5000000000157</v>
      </c>
      <c r="K41">
        <v>3.6675093842904052</v>
      </c>
      <c r="L41">
        <v>40.399999999998776</v>
      </c>
      <c r="M41">
        <v>0.59227372911558895</v>
      </c>
      <c r="N41">
        <v>0.39195396055428089</v>
      </c>
      <c r="O41">
        <v>79.248294434513582</v>
      </c>
      <c r="P41">
        <v>73.845664978027344</v>
      </c>
      <c r="Q41">
        <v>19.665552790885048</v>
      </c>
      <c r="R41">
        <v>19.665552836670987</v>
      </c>
      <c r="S41">
        <v>6.4100545312696706</v>
      </c>
      <c r="T41">
        <v>7.6309958371369282</v>
      </c>
      <c r="U41">
        <v>8.0453325226772066</v>
      </c>
      <c r="V41">
        <v>9.1296863765615086</v>
      </c>
      <c r="W41">
        <v>9.2861366005442623</v>
      </c>
      <c r="X41">
        <v>40.502205868189577</v>
      </c>
      <c r="Y41">
        <v>2.5124462607496167</v>
      </c>
      <c r="Z41">
        <v>2.9909990411258343</v>
      </c>
      <c r="AA41">
        <v>3.153399946002498</v>
      </c>
      <c r="AB41">
        <v>3.5784167336065575</v>
      </c>
      <c r="AC41">
        <v>3.6397380185156534</v>
      </c>
      <c r="AD41" t="s">
        <v>15</v>
      </c>
    </row>
    <row r="42" spans="1:30">
      <c r="A42" s="8">
        <v>1.5</v>
      </c>
      <c r="B42" s="8">
        <v>2</v>
      </c>
      <c r="C42" s="9">
        <v>1.4</v>
      </c>
      <c r="D42" s="8">
        <v>1.2</v>
      </c>
      <c r="E42" s="8">
        <v>0.8</v>
      </c>
      <c r="F42" s="8">
        <v>0</v>
      </c>
      <c r="G42" s="4">
        <v>0.95848805400640502</v>
      </c>
      <c r="H42">
        <v>1.4173531395679246</v>
      </c>
      <c r="I42">
        <v>8.7750000000000572</v>
      </c>
      <c r="J42">
        <v>585.00000000000387</v>
      </c>
      <c r="K42">
        <v>3.6397282751413842</v>
      </c>
      <c r="L42">
        <v>20.374999999999911</v>
      </c>
      <c r="M42">
        <v>1.2985242279099276</v>
      </c>
      <c r="N42">
        <v>1.1877963320380847</v>
      </c>
      <c r="O42">
        <v>79.248322483760447</v>
      </c>
      <c r="P42">
        <v>73.845664978027358</v>
      </c>
      <c r="Q42">
        <v>19.123267984666924</v>
      </c>
      <c r="R42">
        <v>19.661995996691726</v>
      </c>
      <c r="S42">
        <v>6.4044532092714226</v>
      </c>
      <c r="T42">
        <v>7.6261742500408323</v>
      </c>
      <c r="U42">
        <v>8.04067128029555</v>
      </c>
      <c r="V42">
        <v>9.1296860605078685</v>
      </c>
      <c r="W42">
        <v>9.2861367340094532</v>
      </c>
      <c r="X42">
        <v>40.487121534125123</v>
      </c>
      <c r="Y42">
        <v>-4.1640992393125913</v>
      </c>
      <c r="Z42">
        <v>-1.4631656599280838</v>
      </c>
      <c r="AA42">
        <v>-9.1760049525875687E-2</v>
      </c>
      <c r="AB42">
        <v>3.4639857982683582</v>
      </c>
      <c r="AC42">
        <v>11.030039150503972</v>
      </c>
      <c r="AD42" t="s">
        <v>15</v>
      </c>
    </row>
    <row r="43" spans="1:30">
      <c r="A43" s="8">
        <v>1.8</v>
      </c>
      <c r="B43" s="8">
        <v>2.2999999999999998</v>
      </c>
      <c r="C43" s="9">
        <v>1.7</v>
      </c>
      <c r="D43" s="8">
        <v>1.5</v>
      </c>
      <c r="E43" s="8">
        <v>1.1000000000000001</v>
      </c>
      <c r="F43" s="8">
        <v>0.3</v>
      </c>
      <c r="G43" s="4">
        <v>1.2158907344241978</v>
      </c>
      <c r="H43">
        <v>1.5815860171919243</v>
      </c>
      <c r="I43">
        <v>6.1750000000000203</v>
      </c>
      <c r="J43">
        <v>343.05555555555662</v>
      </c>
      <c r="K43">
        <v>3.6129388512955143</v>
      </c>
      <c r="L43">
        <v>15.100000000000147</v>
      </c>
      <c r="M43">
        <v>1.4846827965371114</v>
      </c>
      <c r="N43">
        <v>1.3949907647458835</v>
      </c>
      <c r="O43">
        <v>68.846695483198374</v>
      </c>
      <c r="P43">
        <v>63.723372229252433</v>
      </c>
      <c r="Q43">
        <v>16.885643022970324</v>
      </c>
      <c r="R43">
        <v>17.085765779761356</v>
      </c>
      <c r="S43">
        <v>5.1410930342750056</v>
      </c>
      <c r="T43">
        <v>6.3730783401913698</v>
      </c>
      <c r="U43">
        <v>6.839211882367449</v>
      </c>
      <c r="V43">
        <v>8.0012545359569813</v>
      </c>
      <c r="W43">
        <v>8.9680728617784649</v>
      </c>
      <c r="X43">
        <v>35.322710654569271</v>
      </c>
      <c r="Y43">
        <v>-3.5614474464723216</v>
      </c>
      <c r="Z43">
        <v>-1.6726729293712701</v>
      </c>
      <c r="AA43">
        <v>-0.64128285692049225</v>
      </c>
      <c r="AB43">
        <v>2.2397507171889064</v>
      </c>
      <c r="AC43">
        <v>9.810652458403462</v>
      </c>
      <c r="AD43" t="s">
        <v>15</v>
      </c>
    </row>
    <row r="44" spans="1:30">
      <c r="A44" s="8">
        <v>2</v>
      </c>
      <c r="B44" s="8">
        <v>2.6</v>
      </c>
      <c r="C44" s="9">
        <v>2</v>
      </c>
      <c r="D44" s="8">
        <v>1.8</v>
      </c>
      <c r="E44" s="8">
        <v>1.4</v>
      </c>
      <c r="F44" s="8">
        <v>0.6</v>
      </c>
      <c r="G44" s="4">
        <v>1.4567077327566795</v>
      </c>
      <c r="H44">
        <v>1.7637871774150482</v>
      </c>
      <c r="I44">
        <v>4.2999999999999936</v>
      </c>
      <c r="J44">
        <v>215</v>
      </c>
      <c r="K44">
        <v>3.5564768258381414</v>
      </c>
      <c r="L44">
        <v>10.750000000000085</v>
      </c>
      <c r="M44">
        <v>1.6822846600944679</v>
      </c>
      <c r="N44">
        <v>1.607286891597602</v>
      </c>
      <c r="O44">
        <v>57.335039244263477</v>
      </c>
      <c r="P44">
        <v>52.759106606320657</v>
      </c>
      <c r="Q44">
        <v>14.002891026404649</v>
      </c>
      <c r="R44">
        <v>14.145208796080505</v>
      </c>
      <c r="S44">
        <v>3.8338042086490849</v>
      </c>
      <c r="T44">
        <v>4.9785771876803624</v>
      </c>
      <c r="U44">
        <v>5.443294385918894</v>
      </c>
      <c r="V44">
        <v>6.4522941706250059</v>
      </c>
      <c r="W44">
        <v>8.4466339334037173</v>
      </c>
      <c r="X44">
        <v>29.154603886277066</v>
      </c>
      <c r="Y44">
        <v>-2.8485298332149007</v>
      </c>
      <c r="Z44">
        <v>-1.6159277587204883</v>
      </c>
      <c r="AA44">
        <v>-0.89742006612462077</v>
      </c>
      <c r="AB44">
        <v>1.2227352797368223</v>
      </c>
      <c r="AC44">
        <v>8.4391423740995961</v>
      </c>
      <c r="AD44" t="s">
        <v>15</v>
      </c>
    </row>
    <row r="45" spans="1:30">
      <c r="A45" s="8">
        <v>3</v>
      </c>
      <c r="B45" s="8">
        <v>2.9</v>
      </c>
      <c r="C45" s="9">
        <v>2.2999999999999998</v>
      </c>
      <c r="D45" s="8">
        <v>2.1</v>
      </c>
      <c r="E45" s="8">
        <v>1.7</v>
      </c>
      <c r="F45" s="8">
        <v>0.9</v>
      </c>
      <c r="G45" s="4">
        <v>1.6891182541544683</v>
      </c>
      <c r="H45">
        <v>1.9563443732184376</v>
      </c>
      <c r="I45">
        <v>2.9499999999999935</v>
      </c>
      <c r="J45">
        <v>98.333333333333115</v>
      </c>
      <c r="K45">
        <v>3.5587779014240195</v>
      </c>
      <c r="L45">
        <v>7.3500000000000369</v>
      </c>
      <c r="M45">
        <v>1.8848315186028703</v>
      </c>
      <c r="N45">
        <v>1.8195569778472405</v>
      </c>
      <c r="O45">
        <v>45.193730447587377</v>
      </c>
      <c r="P45">
        <v>41.251324896179227</v>
      </c>
      <c r="Q45">
        <v>11.039340055280354</v>
      </c>
      <c r="R45">
        <v>11.117914335800513</v>
      </c>
      <c r="S45">
        <v>2.6238458485485125</v>
      </c>
      <c r="T45">
        <v>3.6015415236639314</v>
      </c>
      <c r="U45">
        <v>4.0204549790985888</v>
      </c>
      <c r="V45">
        <v>4.9935304525279429</v>
      </c>
      <c r="W45">
        <v>7.7088717619705491</v>
      </c>
      <c r="X45">
        <v>22.948244565809524</v>
      </c>
      <c r="Y45">
        <v>-2.1338436252107638</v>
      </c>
      <c r="Z45">
        <v>-1.4008765098584757</v>
      </c>
      <c r="AA45">
        <v>-0.93809174406816886</v>
      </c>
      <c r="AB45">
        <v>0.52639423352148818</v>
      </c>
      <c r="AC45">
        <v>6.8964175726530748</v>
      </c>
      <c r="AD45" t="s">
        <v>15</v>
      </c>
    </row>
    <row r="46" spans="1:30">
      <c r="C46" s="4"/>
      <c r="D46" s="4"/>
      <c r="G46" s="4"/>
    </row>
    <row r="47" spans="1:30">
      <c r="C47" s="4"/>
      <c r="D47" s="4"/>
      <c r="G47" s="4"/>
    </row>
    <row r="48" spans="1:30">
      <c r="C48" s="4"/>
      <c r="D48" s="4"/>
      <c r="G48" s="4"/>
    </row>
    <row r="49" spans="2:7">
      <c r="C49" s="4"/>
      <c r="D49" s="4"/>
      <c r="G49" s="4"/>
    </row>
    <row r="50" spans="2:7">
      <c r="C50" s="4"/>
      <c r="D50" s="4"/>
      <c r="G50" s="4"/>
    </row>
    <row r="51" spans="2:7">
      <c r="C51" s="4"/>
      <c r="D51" s="4"/>
      <c r="G51" s="4"/>
    </row>
    <row r="52" spans="2:7">
      <c r="C52" s="4"/>
      <c r="D52" s="4"/>
      <c r="G52" s="4"/>
    </row>
    <row r="53" spans="2:7">
      <c r="C53" s="4"/>
      <c r="D53" s="4"/>
      <c r="G53" s="4"/>
    </row>
    <row r="54" spans="2:7">
      <c r="C54" s="4"/>
      <c r="D54" s="4"/>
      <c r="G54" s="4"/>
    </row>
    <row r="55" spans="2:7">
      <c r="C55" s="4"/>
      <c r="D55" s="4"/>
      <c r="G55" s="4"/>
    </row>
    <row r="56" spans="2:7">
      <c r="C56" s="4"/>
      <c r="D56" s="4"/>
      <c r="G56" s="4"/>
    </row>
    <row r="57" spans="2:7">
      <c r="C57" s="4"/>
      <c r="D57" s="4"/>
      <c r="G57" s="4"/>
    </row>
    <row r="58" spans="2:7">
      <c r="C58" s="4"/>
      <c r="D58" s="4"/>
      <c r="G58" s="4"/>
    </row>
    <row r="59" spans="2:7">
      <c r="C59" s="4"/>
      <c r="D59" s="4"/>
      <c r="G59" s="4"/>
    </row>
    <row r="60" spans="2:7">
      <c r="C60" s="4"/>
      <c r="D60" s="4"/>
      <c r="G60" s="4"/>
    </row>
    <row r="61" spans="2:7">
      <c r="B61" s="2"/>
      <c r="C61" s="4"/>
      <c r="D61" s="4"/>
      <c r="G61" s="4"/>
    </row>
    <row r="62" spans="2:7">
      <c r="B62" s="2"/>
      <c r="C62" s="4"/>
      <c r="D62" s="4"/>
      <c r="G62" s="4"/>
    </row>
    <row r="63" spans="2:7">
      <c r="B63" s="2"/>
      <c r="C63" s="4"/>
      <c r="D63" s="4"/>
      <c r="G63" s="4"/>
    </row>
    <row r="64" spans="2:7">
      <c r="B64" s="2"/>
      <c r="C64" s="4"/>
      <c r="D64" s="4"/>
      <c r="G64" s="4"/>
    </row>
    <row r="65" spans="2:7">
      <c r="B65" s="2"/>
      <c r="C65" s="4"/>
      <c r="D65" s="4"/>
      <c r="G65" s="4"/>
    </row>
    <row r="66" spans="2:7">
      <c r="B66" s="2"/>
      <c r="C66" s="4"/>
      <c r="D66" s="4"/>
      <c r="G66" s="4"/>
    </row>
    <row r="67" spans="2:7">
      <c r="B67" s="2"/>
      <c r="C67" s="4"/>
      <c r="D67" s="4"/>
      <c r="G67" s="4"/>
    </row>
    <row r="68" spans="2:7">
      <c r="B68" s="2"/>
      <c r="C68" s="4"/>
      <c r="D68" s="4"/>
      <c r="G68" s="4"/>
    </row>
    <row r="69" spans="2:7">
      <c r="B69" s="2"/>
      <c r="C69" s="4"/>
      <c r="D69" s="4"/>
      <c r="G69" s="4"/>
    </row>
    <row r="70" spans="2:7">
      <c r="B70" s="2"/>
      <c r="C70" s="4"/>
      <c r="D70" s="4"/>
      <c r="G70" s="4"/>
    </row>
    <row r="71" spans="2:7">
      <c r="C71" s="4"/>
      <c r="D71" s="4"/>
      <c r="G71" s="4"/>
    </row>
    <row r="72" spans="2:7">
      <c r="C72" s="4"/>
      <c r="D72" s="4"/>
      <c r="G72" s="4"/>
    </row>
    <row r="73" spans="2:7">
      <c r="C73" s="4"/>
      <c r="D73" s="4"/>
      <c r="G73" s="4"/>
    </row>
    <row r="74" spans="2:7">
      <c r="C74" s="4"/>
      <c r="D74" s="4"/>
      <c r="G74" s="4"/>
    </row>
    <row r="75" spans="2:7">
      <c r="C75" s="4"/>
      <c r="D75" s="4"/>
      <c r="G75" s="4"/>
    </row>
    <row r="76" spans="2:7">
      <c r="C76" s="4"/>
      <c r="D76" s="4"/>
      <c r="G76" s="4"/>
    </row>
    <row r="77" spans="2:7">
      <c r="C77" s="4"/>
      <c r="D77" s="4"/>
      <c r="G77" s="4"/>
    </row>
    <row r="78" spans="2:7">
      <c r="C78" s="4"/>
      <c r="D78" s="4"/>
      <c r="G78" s="4"/>
    </row>
    <row r="79" spans="2:7">
      <c r="C79" s="4"/>
      <c r="D79" s="4"/>
      <c r="G79" s="4"/>
    </row>
    <row r="80" spans="2:7">
      <c r="C80" s="4"/>
      <c r="D80" s="4"/>
      <c r="G80" s="4"/>
    </row>
    <row r="81" spans="3:7">
      <c r="C81" s="4"/>
      <c r="D81" s="4"/>
      <c r="G81" s="4"/>
    </row>
    <row r="82" spans="3:7">
      <c r="C82" s="4"/>
      <c r="D82" s="4"/>
      <c r="G82" s="4"/>
    </row>
    <row r="83" spans="3:7">
      <c r="C83" s="4"/>
      <c r="D83" s="4"/>
      <c r="G83" s="4"/>
    </row>
    <row r="84" spans="3:7">
      <c r="C84" s="4"/>
      <c r="D84" s="4"/>
      <c r="G84" s="4"/>
    </row>
    <row r="85" spans="3:7">
      <c r="C85" s="4"/>
      <c r="D85" s="4"/>
      <c r="G85" s="4"/>
    </row>
    <row r="86" spans="3:7">
      <c r="C86" s="4"/>
      <c r="D86" s="4"/>
      <c r="G86" s="4"/>
    </row>
    <row r="87" spans="3:7">
      <c r="C87" s="4"/>
      <c r="D87" s="4"/>
      <c r="G87" s="4"/>
    </row>
    <row r="88" spans="3:7">
      <c r="C88" s="4"/>
      <c r="D88" s="4"/>
      <c r="G88" s="4"/>
    </row>
    <row r="89" spans="3:7">
      <c r="C89" s="4"/>
      <c r="D89" s="4"/>
      <c r="G89" s="4"/>
    </row>
    <row r="90" spans="3:7">
      <c r="C90" s="4"/>
      <c r="D90" s="4"/>
      <c r="G90" s="4"/>
    </row>
    <row r="91" spans="3:7">
      <c r="C91" s="4"/>
      <c r="D91" s="4"/>
      <c r="G91" s="4"/>
    </row>
    <row r="92" spans="3:7">
      <c r="C92" s="4"/>
      <c r="D92" s="4"/>
      <c r="G92" s="4"/>
    </row>
    <row r="93" spans="3:7">
      <c r="C93" s="4"/>
      <c r="D93" s="4"/>
      <c r="G93" s="4"/>
    </row>
    <row r="94" spans="3:7">
      <c r="C94" s="4"/>
      <c r="D94" s="4"/>
      <c r="G94" s="4"/>
    </row>
    <row r="95" spans="3:7">
      <c r="C95" s="4"/>
      <c r="D95" s="4"/>
      <c r="G95" s="4"/>
    </row>
    <row r="96" spans="3:7">
      <c r="C96" s="4"/>
      <c r="D96" s="4"/>
      <c r="G96" s="4"/>
    </row>
    <row r="97" spans="3:7">
      <c r="C97" s="4"/>
      <c r="D97" s="4"/>
      <c r="G97" s="4"/>
    </row>
    <row r="98" spans="3:7">
      <c r="C98" s="4"/>
      <c r="D98" s="4"/>
      <c r="G98" s="4"/>
    </row>
    <row r="99" spans="3:7">
      <c r="C99" s="4"/>
      <c r="D99" s="4"/>
      <c r="G99" s="4"/>
    </row>
    <row r="100" spans="3:7">
      <c r="C100" s="4"/>
      <c r="D100" s="4"/>
      <c r="G100" s="4"/>
    </row>
    <row r="101" spans="3:7">
      <c r="C101" s="4"/>
      <c r="D101" s="4"/>
      <c r="G101" s="4"/>
    </row>
    <row r="102" spans="3:7">
      <c r="C102" s="4"/>
      <c r="D102" s="4"/>
      <c r="G102" s="4"/>
    </row>
    <row r="103" spans="3:7">
      <c r="C103" s="4"/>
      <c r="D103" s="4"/>
      <c r="G103" s="4"/>
    </row>
    <row r="104" spans="3:7">
      <c r="C104" s="4"/>
      <c r="D104" s="4"/>
      <c r="G104" s="4"/>
    </row>
    <row r="105" spans="3:7">
      <c r="C105" s="4"/>
      <c r="D105" s="4"/>
      <c r="G105" s="4"/>
    </row>
    <row r="106" spans="3:7">
      <c r="C106" s="4"/>
      <c r="D106" s="4"/>
      <c r="G106" s="4"/>
    </row>
    <row r="107" spans="3:7">
      <c r="C107" s="4"/>
      <c r="D107" s="4"/>
      <c r="G107" s="4"/>
    </row>
    <row r="108" spans="3:7">
      <c r="C108" s="4"/>
      <c r="D108" s="4"/>
      <c r="G108" s="4"/>
    </row>
    <row r="109" spans="3:7">
      <c r="C109" s="4"/>
      <c r="D109" s="4"/>
      <c r="G109" s="4"/>
    </row>
    <row r="110" spans="3:7">
      <c r="C110" s="4"/>
      <c r="D110" s="4"/>
      <c r="G110" s="4"/>
    </row>
    <row r="111" spans="3:7">
      <c r="C111" s="4"/>
      <c r="D111" s="4"/>
      <c r="G111" s="4"/>
    </row>
    <row r="112" spans="3:7">
      <c r="C112" s="4"/>
      <c r="D112" s="4"/>
      <c r="G112" s="4"/>
    </row>
    <row r="113" spans="3:7">
      <c r="C113" s="4"/>
      <c r="D113" s="4"/>
      <c r="G113" s="4"/>
    </row>
    <row r="114" spans="3:7">
      <c r="C114" s="4"/>
      <c r="D114" s="4"/>
      <c r="G114" s="4"/>
    </row>
    <row r="115" spans="3:7">
      <c r="C115" s="4"/>
      <c r="D115" s="4"/>
      <c r="G115" s="4"/>
    </row>
    <row r="116" spans="3:7">
      <c r="C116" s="4"/>
      <c r="D116" s="4"/>
      <c r="G116" s="4"/>
    </row>
    <row r="117" spans="3:7">
      <c r="C117" s="4"/>
      <c r="D117" s="4"/>
      <c r="G117" s="4"/>
    </row>
    <row r="118" spans="3:7">
      <c r="C118" s="4"/>
      <c r="D118" s="4"/>
      <c r="G118" s="4"/>
    </row>
    <row r="119" spans="3:7">
      <c r="C119" s="4"/>
      <c r="D119" s="4"/>
      <c r="G119" s="4"/>
    </row>
    <row r="120" spans="3:7">
      <c r="C120" s="4"/>
      <c r="D120" s="4"/>
      <c r="G120" s="4"/>
    </row>
    <row r="121" spans="3:7">
      <c r="C121" s="4"/>
      <c r="D121" s="4"/>
      <c r="G121" s="4"/>
    </row>
    <row r="122" spans="3:7">
      <c r="C122" s="4"/>
      <c r="D122" s="4"/>
      <c r="G122" s="4"/>
    </row>
    <row r="123" spans="3:7">
      <c r="C123" s="4"/>
      <c r="D123" s="4"/>
      <c r="G123" s="4"/>
    </row>
    <row r="124" spans="3:7">
      <c r="C124" s="4"/>
      <c r="D124" s="4"/>
      <c r="G124" s="4"/>
    </row>
    <row r="125" spans="3:7">
      <c r="C125" s="4"/>
      <c r="D125" s="4"/>
      <c r="G125" s="4"/>
    </row>
    <row r="126" spans="3:7">
      <c r="C126" s="4"/>
      <c r="D126" s="4"/>
      <c r="G126" s="4"/>
    </row>
    <row r="127" spans="3:7">
      <c r="C127" s="4"/>
      <c r="D127" s="4"/>
      <c r="G127" s="4"/>
    </row>
    <row r="128" spans="3:7">
      <c r="C128" s="4"/>
      <c r="D128" s="4"/>
      <c r="G128" s="4"/>
    </row>
    <row r="129" spans="3:7">
      <c r="C129" s="4"/>
      <c r="D129" s="4"/>
      <c r="G129" s="4"/>
    </row>
    <row r="130" spans="3:7">
      <c r="C130" s="4"/>
      <c r="D130" s="4"/>
      <c r="G130" s="4"/>
    </row>
    <row r="131" spans="3:7">
      <c r="C131" s="4"/>
      <c r="D131" s="4"/>
      <c r="G131" s="4"/>
    </row>
    <row r="132" spans="3:7">
      <c r="C132" s="4"/>
      <c r="D132" s="4"/>
      <c r="G132" s="4"/>
    </row>
    <row r="133" spans="3:7">
      <c r="C133" s="4"/>
      <c r="D133" s="4"/>
      <c r="G133" s="4"/>
    </row>
    <row r="134" spans="3:7">
      <c r="C134" s="4"/>
      <c r="D134" s="4"/>
      <c r="G134" s="4"/>
    </row>
    <row r="135" spans="3:7">
      <c r="C135" s="4"/>
      <c r="D135" s="4"/>
      <c r="G135" s="4"/>
    </row>
    <row r="136" spans="3:7">
      <c r="C136" s="4"/>
      <c r="D136" s="4"/>
      <c r="G136" s="4"/>
    </row>
    <row r="137" spans="3:7">
      <c r="C137" s="4"/>
      <c r="D137" s="4"/>
      <c r="G137" s="4"/>
    </row>
    <row r="138" spans="3:7">
      <c r="C138" s="4"/>
      <c r="D138" s="4"/>
      <c r="G138" s="4"/>
    </row>
    <row r="139" spans="3:7">
      <c r="C139" s="4"/>
      <c r="D139" s="4"/>
      <c r="G139" s="4"/>
    </row>
    <row r="140" spans="3:7">
      <c r="G140" s="4"/>
    </row>
    <row r="141" spans="3:7">
      <c r="G141" s="4"/>
    </row>
    <row r="142" spans="3:7">
      <c r="G142" s="4"/>
    </row>
    <row r="143" spans="3:7">
      <c r="G143" s="4"/>
    </row>
    <row r="144" spans="3:7">
      <c r="G144" s="4"/>
    </row>
    <row r="145" spans="7:7">
      <c r="G145" s="4"/>
    </row>
    <row r="146" spans="7:7">
      <c r="G146" s="4"/>
    </row>
    <row r="147" spans="7:7">
      <c r="G147" s="4"/>
    </row>
    <row r="148" spans="7:7">
      <c r="G148" s="4"/>
    </row>
    <row r="149" spans="7:7">
      <c r="G149" s="4"/>
    </row>
    <row r="150" spans="7:7">
      <c r="G150" s="4"/>
    </row>
    <row r="151" spans="7:7">
      <c r="G151" s="4"/>
    </row>
    <row r="152" spans="7:7">
      <c r="G152" s="4"/>
    </row>
    <row r="153" spans="7:7">
      <c r="G153" s="4"/>
    </row>
    <row r="154" spans="7:7">
      <c r="G154" s="4"/>
    </row>
    <row r="155" spans="7:7">
      <c r="G155" s="4"/>
    </row>
    <row r="156" spans="7:7">
      <c r="G156" s="4"/>
    </row>
    <row r="157" spans="7:7">
      <c r="G157" s="4"/>
    </row>
    <row r="158" spans="7:7">
      <c r="G158" s="4"/>
    </row>
    <row r="159" spans="7:7">
      <c r="G159" s="4"/>
    </row>
    <row r="160" spans="7:7">
      <c r="G160" s="4"/>
    </row>
    <row r="161" spans="7:7">
      <c r="G161" s="4"/>
    </row>
    <row r="162" spans="7:7">
      <c r="G162" s="4"/>
    </row>
    <row r="163" spans="7:7">
      <c r="G163" s="4"/>
    </row>
    <row r="164" spans="7:7">
      <c r="G164" s="4"/>
    </row>
    <row r="165" spans="7:7">
      <c r="G165" s="4"/>
    </row>
    <row r="166" spans="7:7">
      <c r="G166" s="4"/>
    </row>
    <row r="167" spans="7:7">
      <c r="G167" s="4"/>
    </row>
    <row r="168" spans="7:7">
      <c r="G168" s="4"/>
    </row>
    <row r="169" spans="7:7">
      <c r="G169" s="4"/>
    </row>
    <row r="170" spans="7:7">
      <c r="G170" s="4"/>
    </row>
    <row r="171" spans="7:7">
      <c r="G171" s="4"/>
    </row>
    <row r="172" spans="7:7">
      <c r="G172" s="4"/>
    </row>
    <row r="173" spans="7:7">
      <c r="G173" s="4"/>
    </row>
    <row r="174" spans="7:7">
      <c r="G174" s="4"/>
    </row>
    <row r="175" spans="7:7">
      <c r="G175" s="4"/>
    </row>
    <row r="176" spans="7:7">
      <c r="G176" s="4"/>
    </row>
    <row r="177" spans="1:7">
      <c r="G177" s="4"/>
    </row>
    <row r="178" spans="1:7">
      <c r="G178" s="4"/>
    </row>
    <row r="179" spans="1:7">
      <c r="G179" s="4"/>
    </row>
    <row r="180" spans="1:7">
      <c r="G180" s="4"/>
    </row>
    <row r="181" spans="1:7">
      <c r="G181" s="4"/>
    </row>
    <row r="182" spans="1:7">
      <c r="G182" s="4"/>
    </row>
    <row r="183" spans="1:7">
      <c r="G183" s="4"/>
    </row>
    <row r="184" spans="1:7">
      <c r="G184" s="4"/>
    </row>
    <row r="185" spans="1:7">
      <c r="G185" s="4"/>
    </row>
    <row r="186" spans="1:7">
      <c r="A186" s="4"/>
      <c r="B186" s="4"/>
      <c r="C186" s="4"/>
      <c r="D186" s="4"/>
      <c r="E186" s="4"/>
      <c r="G186" s="4"/>
    </row>
    <row r="187" spans="1:7">
      <c r="A187" s="4"/>
      <c r="B187" s="4"/>
      <c r="C187" s="4"/>
      <c r="D187" s="4"/>
      <c r="E187" s="4"/>
      <c r="G187" s="4"/>
    </row>
    <row r="188" spans="1:7">
      <c r="A188" s="4"/>
      <c r="B188" s="4"/>
      <c r="C188" s="4"/>
      <c r="D188" s="4"/>
      <c r="E188" s="4"/>
      <c r="G188" s="4"/>
    </row>
    <row r="189" spans="1:7">
      <c r="A189" s="4"/>
      <c r="B189" s="4"/>
      <c r="C189" s="4"/>
      <c r="D189" s="4"/>
      <c r="E189" s="4"/>
      <c r="G189" s="4"/>
    </row>
    <row r="190" spans="1:7">
      <c r="A190" s="4"/>
      <c r="B190" s="4"/>
      <c r="C190" s="4"/>
      <c r="D190" s="4"/>
      <c r="E190" s="4"/>
      <c r="G190" s="4"/>
    </row>
    <row r="191" spans="1:7">
      <c r="A191" s="4"/>
      <c r="B191" s="4"/>
      <c r="C191" s="4"/>
      <c r="D191" s="4"/>
      <c r="E191" s="4"/>
      <c r="G191" s="4"/>
    </row>
    <row r="192" spans="1:7">
      <c r="A192" s="4"/>
      <c r="B192" s="4"/>
      <c r="C192" s="4"/>
      <c r="D192" s="4"/>
      <c r="E192" s="4"/>
      <c r="G192" s="4"/>
    </row>
    <row r="193" spans="1:7">
      <c r="A193" s="4"/>
      <c r="B193" s="4"/>
      <c r="C193" s="4"/>
      <c r="D193" s="4"/>
      <c r="E193" s="4"/>
      <c r="G193" s="4"/>
    </row>
    <row r="194" spans="1:7">
      <c r="A194" s="4"/>
      <c r="B194" s="4"/>
      <c r="C194" s="4"/>
      <c r="D194" s="4"/>
      <c r="E194" s="4"/>
      <c r="G194" s="4"/>
    </row>
    <row r="195" spans="1:7">
      <c r="A195" s="4"/>
      <c r="B195" s="4"/>
      <c r="C195" s="4"/>
      <c r="D195" s="4"/>
      <c r="E195" s="4"/>
      <c r="G195" s="4"/>
    </row>
    <row r="196" spans="1:7">
      <c r="A196" s="4"/>
      <c r="B196" s="4"/>
      <c r="C196" s="4"/>
      <c r="D196" s="4"/>
      <c r="E196" s="4"/>
      <c r="G196" s="4"/>
    </row>
    <row r="197" spans="1:7">
      <c r="A197" s="4"/>
      <c r="B197" s="4"/>
      <c r="C197" s="4"/>
      <c r="D197" s="4"/>
      <c r="E197" s="4"/>
      <c r="G197" s="4"/>
    </row>
    <row r="198" spans="1:7">
      <c r="A198" s="4"/>
      <c r="B198" s="4"/>
      <c r="C198" s="4"/>
      <c r="D198" s="4"/>
      <c r="E198" s="4"/>
      <c r="G198" s="4"/>
    </row>
    <row r="199" spans="1:7">
      <c r="A199" s="4"/>
      <c r="B199" s="4"/>
      <c r="C199" s="4"/>
      <c r="D199" s="4"/>
      <c r="E199" s="4"/>
      <c r="G199" s="4"/>
    </row>
    <row r="200" spans="1:7">
      <c r="A200" s="4"/>
      <c r="B200" s="4"/>
      <c r="C200" s="4"/>
      <c r="D200" s="4"/>
      <c r="E200" s="4"/>
      <c r="G200" s="4"/>
    </row>
    <row r="201" spans="1:7">
      <c r="A201" s="4"/>
      <c r="B201" s="4"/>
      <c r="C201" s="4"/>
      <c r="D201" s="4"/>
      <c r="E201" s="4"/>
      <c r="G201" s="4"/>
    </row>
    <row r="202" spans="1:7">
      <c r="A202" s="4"/>
      <c r="B202" s="4"/>
      <c r="C202" s="4"/>
      <c r="D202" s="4"/>
      <c r="E202" s="4"/>
      <c r="G202" s="4"/>
    </row>
    <row r="203" spans="1:7">
      <c r="A203" s="4"/>
      <c r="B203" s="4"/>
      <c r="C203" s="4"/>
      <c r="D203" s="4"/>
      <c r="E203" s="4"/>
      <c r="G203" s="4"/>
    </row>
    <row r="204" spans="1:7">
      <c r="A204" s="4"/>
      <c r="B204" s="4"/>
      <c r="C204" s="4"/>
      <c r="D204" s="4"/>
      <c r="E204" s="4"/>
      <c r="G204" s="4"/>
    </row>
    <row r="205" spans="1:7">
      <c r="A205" s="4"/>
      <c r="B205" s="4"/>
      <c r="C205" s="4"/>
      <c r="D205" s="4"/>
      <c r="E205" s="4"/>
      <c r="G205" s="4"/>
    </row>
    <row r="206" spans="1:7">
      <c r="A206" s="4"/>
      <c r="B206" s="4"/>
      <c r="C206" s="4"/>
      <c r="D206" s="4"/>
      <c r="E206" s="4"/>
      <c r="G206" s="4"/>
    </row>
    <row r="207" spans="1:7">
      <c r="A207" s="4"/>
      <c r="B207" s="4"/>
      <c r="C207" s="4"/>
      <c r="D207" s="4"/>
      <c r="E207" s="4"/>
      <c r="G207" s="4"/>
    </row>
    <row r="208" spans="1:7">
      <c r="A208" s="4"/>
      <c r="B208" s="4"/>
      <c r="C208" s="4"/>
      <c r="D208" s="4"/>
      <c r="E208" s="4"/>
      <c r="G208" s="4"/>
    </row>
    <row r="209" spans="1:7">
      <c r="A209" s="4"/>
      <c r="B209" s="4"/>
      <c r="C209" s="4"/>
      <c r="D209" s="4"/>
      <c r="E209" s="4"/>
      <c r="G209" s="4"/>
    </row>
    <row r="210" spans="1:7">
      <c r="A210" s="4"/>
      <c r="B210" s="4"/>
      <c r="C210" s="4"/>
      <c r="D210" s="4"/>
      <c r="E210" s="4"/>
      <c r="G210" s="4"/>
    </row>
    <row r="211" spans="1:7">
      <c r="A211" s="4"/>
      <c r="B211" s="4"/>
      <c r="C211" s="4"/>
      <c r="D211" s="4"/>
      <c r="E211" s="4"/>
      <c r="G211" s="4"/>
    </row>
    <row r="212" spans="1:7">
      <c r="A212" s="4"/>
      <c r="B212" s="4"/>
      <c r="C212" s="4"/>
      <c r="D212" s="4"/>
      <c r="E212" s="4"/>
      <c r="G212" s="4"/>
    </row>
    <row r="213" spans="1:7">
      <c r="A213" s="4"/>
      <c r="B213" s="4"/>
      <c r="C213" s="4"/>
      <c r="D213" s="4"/>
      <c r="E213" s="4"/>
      <c r="G213" s="4"/>
    </row>
    <row r="214" spans="1:7">
      <c r="A214" s="4"/>
      <c r="B214" s="4"/>
      <c r="C214" s="4"/>
      <c r="D214" s="4"/>
      <c r="E214" s="4"/>
      <c r="G214" s="4"/>
    </row>
    <row r="215" spans="1:7">
      <c r="A215" s="4"/>
      <c r="B215" s="4"/>
      <c r="C215" s="4"/>
      <c r="D215" s="4"/>
      <c r="E215" s="4"/>
      <c r="G215" s="4"/>
    </row>
    <row r="216" spans="1:7">
      <c r="A216" s="4"/>
      <c r="B216" s="4"/>
      <c r="C216" s="4"/>
      <c r="D216" s="4"/>
      <c r="E216" s="4"/>
      <c r="G216" s="4"/>
    </row>
    <row r="217" spans="1:7">
      <c r="A217" s="4"/>
      <c r="B217" s="4"/>
      <c r="C217" s="4"/>
      <c r="D217" s="4"/>
      <c r="E217" s="4"/>
      <c r="G217" s="4"/>
    </row>
    <row r="218" spans="1:7">
      <c r="A218" s="4"/>
      <c r="B218" s="4"/>
      <c r="C218" s="4"/>
      <c r="D218" s="4"/>
      <c r="E218" s="4"/>
      <c r="G218" s="4"/>
    </row>
    <row r="219" spans="1:7">
      <c r="A219" s="4"/>
      <c r="B219" s="4"/>
      <c r="C219" s="4"/>
      <c r="D219" s="4"/>
      <c r="E219" s="4"/>
      <c r="G219" s="4"/>
    </row>
    <row r="220" spans="1:7">
      <c r="A220" s="4"/>
      <c r="B220" s="4"/>
      <c r="C220" s="4"/>
      <c r="D220" s="4"/>
      <c r="E220" s="4"/>
      <c r="G220" s="4"/>
    </row>
    <row r="221" spans="1:7">
      <c r="A221" s="4"/>
      <c r="B221" s="4"/>
      <c r="C221" s="4"/>
      <c r="D221" s="4"/>
      <c r="E221" s="4"/>
      <c r="G221" s="4"/>
    </row>
    <row r="222" spans="1:7">
      <c r="A222" s="4"/>
      <c r="B222" s="4"/>
      <c r="C222" s="4"/>
      <c r="D222" s="4"/>
      <c r="E222" s="4"/>
      <c r="G222" s="4"/>
    </row>
    <row r="223" spans="1:7">
      <c r="A223" s="4"/>
      <c r="B223" s="4"/>
      <c r="C223" s="4"/>
      <c r="D223" s="4"/>
      <c r="E223" s="4"/>
      <c r="G223" s="4"/>
    </row>
    <row r="224" spans="1:7">
      <c r="A224" s="4"/>
      <c r="B224" s="4"/>
      <c r="C224" s="4"/>
      <c r="D224" s="4"/>
      <c r="E224" s="4"/>
      <c r="G224" s="4"/>
    </row>
    <row r="225" spans="1:7">
      <c r="A225" s="4"/>
      <c r="B225" s="4"/>
      <c r="C225" s="4"/>
      <c r="D225" s="4"/>
      <c r="E225" s="4"/>
      <c r="G225" s="4"/>
    </row>
    <row r="226" spans="1:7">
      <c r="A226" s="4"/>
      <c r="B226" s="4"/>
      <c r="C226" s="4"/>
      <c r="D226" s="4"/>
      <c r="E226" s="4"/>
      <c r="G226" s="4"/>
    </row>
    <row r="227" spans="1:7">
      <c r="A227" s="4"/>
      <c r="B227" s="4"/>
      <c r="C227" s="4"/>
      <c r="D227" s="4"/>
      <c r="E227" s="4"/>
      <c r="G227" s="4"/>
    </row>
    <row r="228" spans="1:7">
      <c r="A228" s="4"/>
      <c r="B228" s="4"/>
      <c r="C228" s="4"/>
      <c r="D228" s="4"/>
      <c r="E228" s="4"/>
      <c r="G228" s="4"/>
    </row>
    <row r="229" spans="1:7">
      <c r="A229" s="4"/>
      <c r="B229" s="4"/>
      <c r="C229" s="4"/>
      <c r="D229" s="4"/>
      <c r="E229" s="4"/>
      <c r="G229" s="4"/>
    </row>
    <row r="230" spans="1:7">
      <c r="A230" s="4"/>
      <c r="B230" s="4"/>
      <c r="C230" s="4"/>
      <c r="D230" s="4"/>
      <c r="E230" s="4"/>
      <c r="G230" s="4"/>
    </row>
    <row r="231" spans="1:7">
      <c r="A231" s="4"/>
      <c r="B231" s="4"/>
      <c r="C231" s="4"/>
      <c r="D231" s="4"/>
      <c r="E231" s="4"/>
      <c r="G231" s="4"/>
    </row>
    <row r="232" spans="1:7">
      <c r="A232" s="4"/>
      <c r="B232" s="4"/>
      <c r="C232" s="4"/>
      <c r="D232" s="4"/>
      <c r="E232" s="4"/>
      <c r="G232" s="4"/>
    </row>
    <row r="233" spans="1:7">
      <c r="A233" s="4"/>
      <c r="B233" s="4"/>
      <c r="C233" s="4"/>
      <c r="D233" s="4"/>
      <c r="E233" s="4"/>
      <c r="G233" s="4"/>
    </row>
    <row r="234" spans="1:7">
      <c r="A234" s="4"/>
      <c r="B234" s="4"/>
      <c r="C234" s="4"/>
      <c r="D234" s="4"/>
      <c r="E234" s="4"/>
      <c r="G234" s="4"/>
    </row>
    <row r="235" spans="1:7">
      <c r="A235" s="4"/>
      <c r="B235" s="4"/>
      <c r="C235" s="4"/>
      <c r="D235" s="4"/>
      <c r="E235" s="4"/>
      <c r="G235" s="4"/>
    </row>
    <row r="236" spans="1:7">
      <c r="A236" s="4"/>
      <c r="B236" s="4"/>
      <c r="C236" s="4"/>
      <c r="D236" s="4"/>
      <c r="E236" s="4"/>
      <c r="G236" s="4"/>
    </row>
    <row r="237" spans="1:7">
      <c r="A237" s="4"/>
      <c r="B237" s="4"/>
      <c r="C237" s="4"/>
      <c r="D237" s="4"/>
      <c r="E237" s="4"/>
      <c r="G237" s="4"/>
    </row>
    <row r="238" spans="1:7">
      <c r="A238" s="4"/>
      <c r="B238" s="4"/>
      <c r="C238" s="4"/>
      <c r="D238" s="4"/>
      <c r="E238" s="4"/>
      <c r="G238" s="4"/>
    </row>
    <row r="239" spans="1:7">
      <c r="A239" s="4"/>
      <c r="B239" s="4"/>
      <c r="C239" s="4"/>
      <c r="D239" s="4"/>
      <c r="E239" s="4"/>
      <c r="G239" s="4"/>
    </row>
    <row r="240" spans="1:7">
      <c r="A240" s="4"/>
      <c r="B240" s="4"/>
      <c r="C240" s="4"/>
      <c r="D240" s="4"/>
      <c r="E240" s="4"/>
      <c r="G240" s="4"/>
    </row>
    <row r="241" spans="1:7">
      <c r="A241" s="4"/>
      <c r="B241" s="4"/>
      <c r="C241" s="4"/>
      <c r="D241" s="4"/>
      <c r="E241" s="4"/>
      <c r="G241" s="4"/>
    </row>
    <row r="242" spans="1:7">
      <c r="A242" s="4"/>
      <c r="B242" s="4"/>
      <c r="C242" s="4"/>
      <c r="D242" s="4"/>
      <c r="E242" s="4"/>
      <c r="G242" s="4"/>
    </row>
    <row r="243" spans="1:7">
      <c r="A243" s="4"/>
      <c r="B243" s="4"/>
      <c r="C243" s="4"/>
      <c r="D243" s="4"/>
      <c r="E243" s="4"/>
      <c r="G243" s="4"/>
    </row>
    <row r="244" spans="1:7">
      <c r="A244" s="4"/>
      <c r="B244" s="4"/>
      <c r="C244" s="4"/>
      <c r="D244" s="4"/>
      <c r="E244" s="4"/>
      <c r="G244" s="4"/>
    </row>
    <row r="245" spans="1:7">
      <c r="A245" s="4"/>
      <c r="B245" s="4"/>
      <c r="C245" s="4"/>
      <c r="D245" s="4"/>
      <c r="E245" s="4"/>
      <c r="G245" s="4"/>
    </row>
    <row r="246" spans="1:7">
      <c r="A246" s="4"/>
      <c r="B246" s="4"/>
      <c r="C246" s="4"/>
      <c r="D246" s="4"/>
      <c r="E246" s="4"/>
      <c r="G246" s="4"/>
    </row>
    <row r="247" spans="1:7">
      <c r="A247" s="4"/>
      <c r="B247" s="4"/>
      <c r="C247" s="4"/>
      <c r="D247" s="4"/>
      <c r="E247" s="4"/>
      <c r="G247" s="4"/>
    </row>
    <row r="248" spans="1:7">
      <c r="A248" s="4"/>
      <c r="B248" s="4"/>
      <c r="C248" s="4"/>
      <c r="D248" s="4"/>
      <c r="E248" s="4"/>
      <c r="G248" s="4"/>
    </row>
    <row r="249" spans="1:7">
      <c r="A249" s="4"/>
      <c r="B249" s="4"/>
      <c r="C249" s="4"/>
      <c r="D249" s="4"/>
      <c r="E249" s="4"/>
      <c r="G249" s="4"/>
    </row>
    <row r="250" spans="1:7">
      <c r="A250" s="4"/>
      <c r="B250" s="4"/>
      <c r="C250" s="4"/>
      <c r="D250" s="4"/>
      <c r="E250" s="4"/>
      <c r="G250" s="4"/>
    </row>
    <row r="251" spans="1:7">
      <c r="A251" s="4"/>
      <c r="B251" s="4"/>
      <c r="C251" s="4"/>
      <c r="D251" s="4"/>
      <c r="E251" s="4"/>
      <c r="G251" s="4"/>
    </row>
    <row r="252" spans="1:7">
      <c r="A252" s="4"/>
      <c r="B252" s="4"/>
      <c r="C252" s="4"/>
      <c r="D252" s="4"/>
      <c r="E252" s="4"/>
      <c r="G252" s="4"/>
    </row>
    <row r="253" spans="1:7">
      <c r="A253" s="4"/>
      <c r="B253" s="4"/>
      <c r="C253" s="4"/>
      <c r="D253" s="4"/>
      <c r="E253" s="4"/>
      <c r="G253" s="4"/>
    </row>
    <row r="254" spans="1:7">
      <c r="A254" s="4"/>
      <c r="B254" s="4"/>
      <c r="C254" s="4"/>
      <c r="D254" s="4"/>
      <c r="E254" s="4"/>
      <c r="G254" s="4"/>
    </row>
    <row r="255" spans="1:7">
      <c r="A255" s="4"/>
      <c r="B255" s="4"/>
      <c r="C255" s="4"/>
      <c r="D255" s="4"/>
      <c r="E255" s="4"/>
      <c r="G255" s="4"/>
    </row>
    <row r="256" spans="1:7">
      <c r="A256" s="4"/>
      <c r="B256" s="4"/>
      <c r="C256" s="4"/>
      <c r="D256" s="4"/>
      <c r="E256" s="4"/>
      <c r="G256" s="4"/>
    </row>
    <row r="257" spans="1:7">
      <c r="A257" s="4"/>
      <c r="B257" s="4"/>
      <c r="C257" s="4"/>
      <c r="D257" s="4"/>
      <c r="E257" s="4"/>
      <c r="G257" s="4"/>
    </row>
    <row r="258" spans="1:7">
      <c r="A258" s="4"/>
      <c r="B258" s="4"/>
      <c r="C258" s="4"/>
      <c r="D258" s="4"/>
      <c r="E258" s="4"/>
      <c r="G258" s="4"/>
    </row>
    <row r="259" spans="1:7">
      <c r="A259" s="4"/>
      <c r="B259" s="4"/>
      <c r="C259" s="4"/>
      <c r="D259" s="4"/>
      <c r="E259" s="4"/>
      <c r="G259" s="4"/>
    </row>
    <row r="260" spans="1:7">
      <c r="A260" s="4"/>
      <c r="B260" s="4"/>
      <c r="C260" s="4"/>
      <c r="D260" s="4"/>
      <c r="E260" s="4"/>
      <c r="G260" s="4"/>
    </row>
    <row r="261" spans="1:7">
      <c r="A261" s="4"/>
      <c r="B261" s="4"/>
      <c r="C261" s="4"/>
      <c r="D261" s="4"/>
      <c r="E261" s="4"/>
      <c r="G261" s="4"/>
    </row>
    <row r="262" spans="1:7">
      <c r="A262" s="4"/>
      <c r="B262" s="4"/>
      <c r="C262" s="4"/>
      <c r="D262" s="4"/>
      <c r="E262" s="4"/>
      <c r="G262" s="4"/>
    </row>
    <row r="263" spans="1:7">
      <c r="A263" s="4"/>
      <c r="B263" s="4"/>
      <c r="C263" s="4"/>
      <c r="D263" s="4"/>
      <c r="E263" s="4"/>
      <c r="G263" s="4"/>
    </row>
    <row r="264" spans="1:7">
      <c r="A264" s="4"/>
      <c r="B264" s="4"/>
      <c r="C264" s="4"/>
      <c r="D264" s="4"/>
      <c r="E264" s="4"/>
      <c r="G264" s="4"/>
    </row>
    <row r="265" spans="1:7">
      <c r="A265" s="4"/>
      <c r="B265" s="4"/>
      <c r="C265" s="4"/>
      <c r="D265" s="4"/>
      <c r="E265" s="4"/>
      <c r="G265" s="4"/>
    </row>
    <row r="266" spans="1:7">
      <c r="A266" s="4"/>
      <c r="B266" s="4"/>
      <c r="C266" s="4"/>
      <c r="D266" s="4"/>
      <c r="E266" s="4"/>
      <c r="G266" s="4"/>
    </row>
    <row r="267" spans="1:7">
      <c r="A267" s="4"/>
      <c r="B267" s="4"/>
      <c r="C267" s="4"/>
      <c r="D267" s="4"/>
      <c r="E267" s="4"/>
      <c r="G267" s="4"/>
    </row>
    <row r="268" spans="1:7">
      <c r="A268" s="4"/>
      <c r="B268" s="4"/>
      <c r="C268" s="4"/>
      <c r="D268" s="4"/>
      <c r="E268" s="4"/>
      <c r="G268" s="4"/>
    </row>
    <row r="269" spans="1:7">
      <c r="A269" s="4"/>
      <c r="B269" s="4"/>
      <c r="C269" s="4"/>
      <c r="D269" s="4"/>
      <c r="E269" s="4"/>
      <c r="G269" s="4"/>
    </row>
    <row r="270" spans="1:7">
      <c r="A270" s="4"/>
      <c r="B270" s="4"/>
      <c r="C270" s="4"/>
      <c r="D270" s="4"/>
      <c r="E270" s="4"/>
      <c r="G270" s="4"/>
    </row>
    <row r="271" spans="1:7">
      <c r="A271" s="4"/>
      <c r="B271" s="4"/>
      <c r="C271" s="4"/>
      <c r="D271" s="4"/>
      <c r="E271" s="4"/>
      <c r="G271" s="4"/>
    </row>
    <row r="272" spans="1:7">
      <c r="A272" s="4"/>
      <c r="B272" s="4"/>
      <c r="C272" s="4"/>
      <c r="D272" s="4"/>
      <c r="E272" s="4"/>
      <c r="G272" s="4"/>
    </row>
    <row r="273" spans="1:7">
      <c r="A273" s="4"/>
      <c r="B273" s="4"/>
      <c r="C273" s="4"/>
      <c r="D273" s="4"/>
      <c r="E273" s="4"/>
      <c r="G273" s="4"/>
    </row>
    <row r="274" spans="1:7">
      <c r="A274" s="4"/>
      <c r="B274" s="4"/>
      <c r="C274" s="4"/>
      <c r="D274" s="4"/>
      <c r="E274" s="4"/>
      <c r="G274" s="4"/>
    </row>
    <row r="275" spans="1:7">
      <c r="A275" s="4"/>
      <c r="B275" s="4"/>
      <c r="C275" s="4"/>
      <c r="D275" s="4"/>
      <c r="E275" s="4"/>
      <c r="G275" s="4"/>
    </row>
    <row r="276" spans="1:7">
      <c r="A276" s="4"/>
      <c r="B276" s="4"/>
      <c r="C276" s="4"/>
      <c r="D276" s="4"/>
      <c r="E276" s="4"/>
      <c r="G276" s="4"/>
    </row>
    <row r="277" spans="1:7">
      <c r="A277" s="4"/>
      <c r="B277" s="4"/>
      <c r="C277" s="4"/>
      <c r="D277" s="4"/>
      <c r="E277" s="4"/>
      <c r="G277" s="4"/>
    </row>
    <row r="278" spans="1:7">
      <c r="A278" s="4"/>
      <c r="B278" s="4"/>
      <c r="C278" s="4"/>
      <c r="D278" s="4"/>
      <c r="E278" s="4"/>
      <c r="G278" s="4"/>
    </row>
    <row r="279" spans="1:7">
      <c r="A279" s="4"/>
      <c r="B279" s="4"/>
      <c r="C279" s="4"/>
      <c r="D279" s="4"/>
      <c r="E279" s="4"/>
      <c r="G279" s="4"/>
    </row>
    <row r="280" spans="1:7">
      <c r="A280" s="4"/>
      <c r="B280" s="4"/>
      <c r="C280" s="4"/>
      <c r="D280" s="4"/>
      <c r="E280" s="4"/>
      <c r="G280" s="4"/>
    </row>
    <row r="281" spans="1:7">
      <c r="A281" s="4"/>
      <c r="B281" s="4"/>
      <c r="C281" s="4"/>
      <c r="D281" s="4"/>
      <c r="E281" s="4"/>
      <c r="G281" s="4"/>
    </row>
    <row r="282" spans="1:7">
      <c r="A282" s="4"/>
      <c r="B282" s="4"/>
      <c r="C282" s="4"/>
      <c r="D282" s="4"/>
      <c r="E282" s="4"/>
      <c r="G282" s="4"/>
    </row>
    <row r="283" spans="1:7">
      <c r="A283" s="4"/>
      <c r="B283" s="4"/>
      <c r="C283" s="4"/>
      <c r="D283" s="4"/>
      <c r="E283" s="4"/>
      <c r="G283" s="4"/>
    </row>
    <row r="284" spans="1:7">
      <c r="A284" s="4"/>
      <c r="B284" s="4"/>
      <c r="C284" s="4"/>
      <c r="D284" s="4"/>
      <c r="E284" s="4"/>
      <c r="G284" s="4"/>
    </row>
    <row r="285" spans="1:7">
      <c r="A285" s="4"/>
      <c r="B285" s="4"/>
      <c r="C285" s="4"/>
      <c r="D285" s="4"/>
      <c r="E285" s="4"/>
      <c r="G285" s="4"/>
    </row>
    <row r="286" spans="1:7">
      <c r="A286" s="4"/>
      <c r="B286" s="4"/>
      <c r="C286" s="4"/>
      <c r="D286" s="4"/>
      <c r="E286" s="4"/>
      <c r="G286" s="4"/>
    </row>
    <row r="287" spans="1:7">
      <c r="A287" s="4"/>
      <c r="B287" s="4"/>
      <c r="C287" s="4"/>
      <c r="D287" s="4"/>
      <c r="E287" s="4"/>
      <c r="G287" s="4"/>
    </row>
    <row r="288" spans="1:7">
      <c r="A288" s="4"/>
      <c r="B288" s="4"/>
      <c r="C288" s="4"/>
      <c r="D288" s="4"/>
      <c r="E288" s="4"/>
      <c r="G288" s="4"/>
    </row>
    <row r="289" spans="4:7">
      <c r="D289" s="4"/>
      <c r="G289" s="4"/>
    </row>
    <row r="290" spans="4:7">
      <c r="D290" s="4"/>
      <c r="G290" s="4"/>
    </row>
    <row r="291" spans="4:7">
      <c r="D291" s="4"/>
      <c r="G291" s="4"/>
    </row>
    <row r="292" spans="4:7">
      <c r="D292" s="4"/>
      <c r="G292" s="4"/>
    </row>
    <row r="293" spans="4:7">
      <c r="D293" s="4"/>
      <c r="G293" s="4"/>
    </row>
    <row r="294" spans="4:7">
      <c r="D294" s="4"/>
      <c r="G294" s="4"/>
    </row>
    <row r="295" spans="4:7">
      <c r="D295" s="4"/>
      <c r="G295" s="4"/>
    </row>
    <row r="296" spans="4:7">
      <c r="D296" s="4"/>
      <c r="G296" s="4"/>
    </row>
    <row r="297" spans="4:7">
      <c r="D297" s="4"/>
      <c r="G297" s="4"/>
    </row>
    <row r="298" spans="4:7">
      <c r="D298" s="4"/>
      <c r="G298" s="4"/>
    </row>
    <row r="299" spans="4:7">
      <c r="D299" s="4"/>
      <c r="G299" s="4"/>
    </row>
    <row r="300" spans="4:7">
      <c r="D300" s="4"/>
      <c r="G300" s="4"/>
    </row>
    <row r="301" spans="4:7">
      <c r="D301" s="4"/>
      <c r="G301" s="4"/>
    </row>
    <row r="302" spans="4:7">
      <c r="D302" s="4"/>
      <c r="G302" s="4"/>
    </row>
    <row r="303" spans="4:7">
      <c r="D303" s="4"/>
      <c r="G303" s="4"/>
    </row>
    <row r="304" spans="4:7">
      <c r="D304" s="4"/>
      <c r="G304" s="4"/>
    </row>
    <row r="305" spans="4:7">
      <c r="D305" s="4"/>
      <c r="G305" s="4"/>
    </row>
    <row r="306" spans="4:7">
      <c r="D306" s="4"/>
      <c r="G306" s="4"/>
    </row>
    <row r="307" spans="4:7">
      <c r="D307" s="4"/>
      <c r="G307" s="4"/>
    </row>
    <row r="308" spans="4:7">
      <c r="D308" s="4"/>
      <c r="G308" s="4"/>
    </row>
    <row r="309" spans="4:7">
      <c r="D309" s="4"/>
      <c r="G309" s="4"/>
    </row>
    <row r="310" spans="4:7">
      <c r="D310" s="4"/>
      <c r="G310" s="4"/>
    </row>
    <row r="311" spans="4:7">
      <c r="D311" s="4"/>
      <c r="G311" s="4"/>
    </row>
    <row r="312" spans="4:7">
      <c r="D312" s="4"/>
      <c r="G312" s="4"/>
    </row>
    <row r="313" spans="4:7">
      <c r="D313" s="4"/>
      <c r="G313" s="4"/>
    </row>
    <row r="314" spans="4:7">
      <c r="D314" s="4"/>
      <c r="G314" s="4"/>
    </row>
    <row r="315" spans="4:7">
      <c r="D315" s="4"/>
      <c r="G315" s="4"/>
    </row>
    <row r="316" spans="4:7">
      <c r="D316" s="4"/>
      <c r="G316" s="4"/>
    </row>
    <row r="317" spans="4:7">
      <c r="D317" s="4"/>
      <c r="G317" s="4"/>
    </row>
    <row r="318" spans="4:7">
      <c r="D318" s="4"/>
      <c r="G318" s="4"/>
    </row>
    <row r="319" spans="4:7">
      <c r="D319" s="4"/>
      <c r="G319" s="4"/>
    </row>
    <row r="320" spans="4:7">
      <c r="D320" s="4"/>
      <c r="G320" s="4"/>
    </row>
    <row r="321" spans="4:7">
      <c r="D321" s="4"/>
      <c r="G321" s="4"/>
    </row>
    <row r="322" spans="4:7">
      <c r="D322" s="4"/>
      <c r="G322" s="4"/>
    </row>
    <row r="323" spans="4:7">
      <c r="D323" s="4"/>
      <c r="G323" s="4"/>
    </row>
    <row r="324" spans="4:7">
      <c r="D324" s="4"/>
      <c r="G324" s="4"/>
    </row>
    <row r="325" spans="4:7">
      <c r="D325" s="4"/>
      <c r="G325" s="4"/>
    </row>
    <row r="326" spans="4:7">
      <c r="D326" s="4"/>
      <c r="G326" s="4"/>
    </row>
    <row r="327" spans="4:7">
      <c r="D327" s="4"/>
      <c r="G327" s="4"/>
    </row>
    <row r="328" spans="4:7">
      <c r="D328" s="4"/>
      <c r="G328" s="4"/>
    </row>
    <row r="329" spans="4:7">
      <c r="D329" s="4"/>
      <c r="G329" s="4"/>
    </row>
    <row r="330" spans="4:7">
      <c r="D330" s="4"/>
      <c r="G330" s="4"/>
    </row>
    <row r="331" spans="4:7">
      <c r="D331" s="4"/>
      <c r="G331" s="4"/>
    </row>
    <row r="332" spans="4:7">
      <c r="D332" s="4"/>
      <c r="G332" s="4"/>
    </row>
    <row r="333" spans="4:7">
      <c r="D333" s="4"/>
      <c r="G333" s="4"/>
    </row>
    <row r="334" spans="4:7">
      <c r="D334" s="4"/>
      <c r="G334" s="4"/>
    </row>
    <row r="335" spans="4:7">
      <c r="D335" s="4"/>
      <c r="G335" s="4"/>
    </row>
    <row r="336" spans="4:7">
      <c r="D336" s="4"/>
      <c r="G336" s="4"/>
    </row>
    <row r="337" spans="4:7">
      <c r="D337" s="4"/>
      <c r="G337" s="4"/>
    </row>
    <row r="338" spans="4:7">
      <c r="D338" s="4"/>
      <c r="G338" s="4"/>
    </row>
    <row r="339" spans="4:7">
      <c r="D339" s="4"/>
      <c r="G339" s="4"/>
    </row>
    <row r="340" spans="4:7">
      <c r="D340" s="4"/>
      <c r="G340" s="4"/>
    </row>
    <row r="341" spans="4:7">
      <c r="D341" s="4"/>
      <c r="G341" s="4"/>
    </row>
    <row r="342" spans="4:7">
      <c r="D342" s="4"/>
      <c r="G342" s="4"/>
    </row>
    <row r="343" spans="4:7">
      <c r="D343" s="4"/>
      <c r="G343" s="4"/>
    </row>
    <row r="344" spans="4:7">
      <c r="D344" s="4"/>
      <c r="G344" s="4"/>
    </row>
    <row r="345" spans="4:7">
      <c r="D345" s="4"/>
      <c r="G345" s="4"/>
    </row>
    <row r="346" spans="4:7">
      <c r="D346" s="4"/>
      <c r="G346" s="4"/>
    </row>
    <row r="347" spans="4:7">
      <c r="D347" s="4"/>
      <c r="G347" s="4"/>
    </row>
    <row r="348" spans="4:7">
      <c r="D348" s="4"/>
      <c r="G348" s="4"/>
    </row>
    <row r="349" spans="4:7">
      <c r="D349" s="4"/>
      <c r="G349" s="4"/>
    </row>
    <row r="350" spans="4:7">
      <c r="D350" s="4"/>
      <c r="G350" s="4"/>
    </row>
    <row r="351" spans="4:7">
      <c r="D351" s="4"/>
      <c r="G351" s="4"/>
    </row>
    <row r="352" spans="4:7">
      <c r="D352" s="4"/>
      <c r="G352" s="4"/>
    </row>
    <row r="353" spans="4:7">
      <c r="D353" s="4"/>
      <c r="G353" s="4"/>
    </row>
    <row r="354" spans="4:7">
      <c r="D354" s="4"/>
      <c r="G354" s="4"/>
    </row>
    <row r="355" spans="4:7">
      <c r="D355" s="4"/>
      <c r="G355" s="4"/>
    </row>
    <row r="356" spans="4:7">
      <c r="D356" s="4"/>
      <c r="G356" s="4"/>
    </row>
    <row r="357" spans="4:7">
      <c r="D357" s="4"/>
      <c r="G357" s="4"/>
    </row>
    <row r="358" spans="4:7">
      <c r="D358" s="4"/>
      <c r="G358" s="4"/>
    </row>
    <row r="359" spans="4:7">
      <c r="D359" s="4"/>
      <c r="G359" s="4"/>
    </row>
    <row r="360" spans="4:7">
      <c r="D360" s="4"/>
      <c r="G360" s="4"/>
    </row>
    <row r="361" spans="4:7">
      <c r="D361" s="4"/>
      <c r="G361" s="4"/>
    </row>
    <row r="362" spans="4:7">
      <c r="D362" s="4"/>
      <c r="G362" s="4"/>
    </row>
    <row r="363" spans="4:7">
      <c r="D363" s="4"/>
      <c r="G363" s="4"/>
    </row>
    <row r="364" spans="4:7">
      <c r="D364" s="4"/>
      <c r="G364" s="4"/>
    </row>
    <row r="365" spans="4:7">
      <c r="D365" s="4"/>
      <c r="G365" s="4"/>
    </row>
    <row r="366" spans="4:7">
      <c r="D366" s="4"/>
      <c r="G366" s="4"/>
    </row>
    <row r="367" spans="4:7">
      <c r="D367" s="4"/>
      <c r="G367" s="4"/>
    </row>
    <row r="368" spans="4:7">
      <c r="D368" s="4"/>
      <c r="G368" s="4"/>
    </row>
    <row r="369" spans="4:7">
      <c r="D369" s="4"/>
      <c r="G369" s="4"/>
    </row>
    <row r="370" spans="4:7">
      <c r="D370" s="4"/>
      <c r="G370" s="4"/>
    </row>
    <row r="371" spans="4:7">
      <c r="D371" s="4"/>
      <c r="G371" s="4"/>
    </row>
    <row r="372" spans="4:7">
      <c r="D372" s="4"/>
      <c r="G372" s="4"/>
    </row>
    <row r="373" spans="4:7">
      <c r="D373" s="4"/>
      <c r="G373" s="4"/>
    </row>
    <row r="374" spans="4:7">
      <c r="D374" s="4"/>
      <c r="G374" s="4"/>
    </row>
    <row r="375" spans="4:7">
      <c r="D375" s="4"/>
      <c r="G375" s="4"/>
    </row>
    <row r="376" spans="4:7">
      <c r="D376" s="4"/>
      <c r="G376" s="4"/>
    </row>
    <row r="377" spans="4:7">
      <c r="D377" s="4"/>
      <c r="G377" s="4"/>
    </row>
    <row r="378" spans="4:7">
      <c r="D378" s="4"/>
      <c r="G378" s="4"/>
    </row>
    <row r="379" spans="4:7">
      <c r="D379" s="4"/>
      <c r="G379" s="4"/>
    </row>
    <row r="380" spans="4:7">
      <c r="D380" s="4"/>
      <c r="G380" s="4"/>
    </row>
    <row r="381" spans="4:7">
      <c r="D381" s="4"/>
      <c r="G381" s="4"/>
    </row>
    <row r="382" spans="4:7">
      <c r="D382" s="4"/>
      <c r="G382" s="4"/>
    </row>
    <row r="383" spans="4:7">
      <c r="D383" s="4"/>
      <c r="G383" s="4"/>
    </row>
    <row r="384" spans="4:7">
      <c r="D384" s="4"/>
      <c r="G384" s="4"/>
    </row>
    <row r="385" spans="4:7">
      <c r="D385" s="4"/>
      <c r="G385" s="4"/>
    </row>
    <row r="386" spans="4:7">
      <c r="D386" s="4"/>
      <c r="G386" s="4"/>
    </row>
    <row r="387" spans="4:7">
      <c r="D387" s="4"/>
      <c r="G387" s="4"/>
    </row>
    <row r="388" spans="4:7">
      <c r="D388" s="4"/>
      <c r="G388" s="4"/>
    </row>
    <row r="389" spans="4:7">
      <c r="D389" s="4"/>
      <c r="G389" s="4"/>
    </row>
    <row r="390" spans="4:7">
      <c r="D390" s="4"/>
      <c r="G390" s="4"/>
    </row>
    <row r="391" spans="4:7">
      <c r="D391" s="4"/>
      <c r="G391" s="4"/>
    </row>
    <row r="392" spans="4:7">
      <c r="D392" s="4"/>
      <c r="G392" s="4"/>
    </row>
    <row r="393" spans="4:7">
      <c r="D393" s="4"/>
      <c r="G393" s="4"/>
    </row>
    <row r="394" spans="4:7">
      <c r="D394" s="4"/>
      <c r="G394" s="4"/>
    </row>
    <row r="395" spans="4:7">
      <c r="D395" s="4"/>
      <c r="G395" s="4"/>
    </row>
    <row r="396" spans="4:7">
      <c r="D396" s="4"/>
      <c r="G396" s="4"/>
    </row>
    <row r="397" spans="4:7">
      <c r="D397" s="4"/>
      <c r="G397" s="4"/>
    </row>
    <row r="398" spans="4:7">
      <c r="D398" s="4"/>
      <c r="G398" s="4"/>
    </row>
    <row r="399" spans="4:7">
      <c r="D399" s="4"/>
      <c r="G399" s="4"/>
    </row>
    <row r="400" spans="4:7">
      <c r="D400" s="4"/>
      <c r="G400" s="4"/>
    </row>
    <row r="401" spans="4:7">
      <c r="D401" s="4"/>
      <c r="G401" s="4"/>
    </row>
    <row r="402" spans="4:7">
      <c r="D402" s="4"/>
      <c r="G402" s="4"/>
    </row>
    <row r="403" spans="4:7">
      <c r="D403" s="4"/>
      <c r="G403" s="4"/>
    </row>
    <row r="404" spans="4:7">
      <c r="D404" s="4"/>
      <c r="G404" s="4"/>
    </row>
    <row r="405" spans="4:7">
      <c r="D405" s="4"/>
      <c r="G405" s="4"/>
    </row>
    <row r="406" spans="4:7">
      <c r="D406" s="4"/>
      <c r="G406" s="4"/>
    </row>
    <row r="407" spans="4:7">
      <c r="D407" s="4"/>
      <c r="G407" s="4"/>
    </row>
    <row r="408" spans="4:7">
      <c r="D408" s="4"/>
      <c r="G408" s="4"/>
    </row>
    <row r="409" spans="4:7">
      <c r="D409" s="4"/>
      <c r="G409" s="4"/>
    </row>
    <row r="410" spans="4:7">
      <c r="D410" s="4"/>
      <c r="G410" s="4"/>
    </row>
    <row r="411" spans="4:7">
      <c r="D411" s="4"/>
      <c r="G411" s="4"/>
    </row>
    <row r="412" spans="4:7">
      <c r="D412" s="4"/>
      <c r="G412" s="4"/>
    </row>
    <row r="413" spans="4:7">
      <c r="D413" s="4"/>
      <c r="G413" s="4"/>
    </row>
    <row r="414" spans="4:7">
      <c r="D414" s="4"/>
      <c r="G414" s="4"/>
    </row>
    <row r="415" spans="4:7">
      <c r="D415" s="4"/>
      <c r="G415" s="4"/>
    </row>
    <row r="416" spans="4:7">
      <c r="D416" s="4"/>
      <c r="G416" s="4"/>
    </row>
    <row r="417" spans="4:7">
      <c r="D417" s="4"/>
      <c r="G417" s="4"/>
    </row>
    <row r="418" spans="4:7">
      <c r="D418" s="4"/>
      <c r="G418" s="4"/>
    </row>
    <row r="419" spans="4:7">
      <c r="D419" s="4"/>
      <c r="G419" s="4"/>
    </row>
    <row r="420" spans="4:7">
      <c r="D420" s="4"/>
      <c r="G420" s="4"/>
    </row>
    <row r="421" spans="4:7">
      <c r="D421" s="4"/>
      <c r="G421" s="4"/>
    </row>
    <row r="422" spans="4:7">
      <c r="D422" s="4"/>
      <c r="G422" s="4"/>
    </row>
    <row r="423" spans="4:7">
      <c r="D423" s="4"/>
      <c r="G423" s="4"/>
    </row>
    <row r="424" spans="4:7">
      <c r="D424" s="4"/>
      <c r="G424" s="4"/>
    </row>
    <row r="425" spans="4:7">
      <c r="D425" s="4"/>
      <c r="G425" s="4"/>
    </row>
    <row r="426" spans="4:7">
      <c r="D426" s="4"/>
      <c r="G426" s="4"/>
    </row>
    <row r="427" spans="4:7">
      <c r="D427" s="4"/>
      <c r="G427" s="4"/>
    </row>
    <row r="428" spans="4:7">
      <c r="D428" s="4"/>
      <c r="G428" s="4"/>
    </row>
    <row r="429" spans="4:7">
      <c r="D429" s="4"/>
      <c r="G429" s="4"/>
    </row>
    <row r="430" spans="4:7">
      <c r="D430" s="4"/>
      <c r="G430" s="4"/>
    </row>
    <row r="431" spans="4:7">
      <c r="D431" s="4"/>
      <c r="G431" s="4"/>
    </row>
    <row r="432" spans="4:7">
      <c r="D432" s="4"/>
      <c r="G432" s="4"/>
    </row>
    <row r="433" spans="4:7">
      <c r="D433" s="4"/>
      <c r="G433" s="4"/>
    </row>
    <row r="434" spans="4:7">
      <c r="D434" s="4"/>
      <c r="G434" s="4"/>
    </row>
    <row r="435" spans="4:7">
      <c r="D435" s="4"/>
      <c r="G435" s="4"/>
    </row>
    <row r="436" spans="4:7">
      <c r="D436" s="4"/>
      <c r="G436" s="4"/>
    </row>
    <row r="437" spans="4:7">
      <c r="D437" s="4"/>
      <c r="G437" s="4"/>
    </row>
    <row r="438" spans="4:7">
      <c r="D438" s="4"/>
      <c r="G438" s="4"/>
    </row>
    <row r="439" spans="4:7">
      <c r="D439" s="4"/>
      <c r="G439" s="4"/>
    </row>
    <row r="440" spans="4:7">
      <c r="D440" s="4"/>
      <c r="G440" s="4"/>
    </row>
    <row r="441" spans="4:7">
      <c r="D441" s="4"/>
      <c r="G441" s="4"/>
    </row>
    <row r="442" spans="4:7">
      <c r="D442" s="4"/>
      <c r="G442" s="4"/>
    </row>
    <row r="443" spans="4:7">
      <c r="D443" s="4"/>
      <c r="G443" s="4"/>
    </row>
    <row r="444" spans="4:7">
      <c r="D444" s="4"/>
      <c r="G444" s="4"/>
    </row>
    <row r="445" spans="4:7">
      <c r="D445" s="4"/>
      <c r="G445" s="4"/>
    </row>
    <row r="446" spans="4:7">
      <c r="D446" s="4"/>
      <c r="G446" s="4"/>
    </row>
    <row r="447" spans="4:7">
      <c r="D447" s="4"/>
      <c r="G447" s="4"/>
    </row>
    <row r="448" spans="4:7">
      <c r="D448" s="4"/>
      <c r="G448" s="4"/>
    </row>
    <row r="449" spans="4:7">
      <c r="D449" s="4"/>
      <c r="G449" s="4"/>
    </row>
    <row r="450" spans="4:7">
      <c r="D450" s="4"/>
      <c r="G450" s="4"/>
    </row>
    <row r="451" spans="4:7">
      <c r="D451" s="4"/>
      <c r="G451" s="4"/>
    </row>
    <row r="452" spans="4:7">
      <c r="D452" s="4"/>
      <c r="G452" s="4"/>
    </row>
    <row r="453" spans="4:7">
      <c r="D453" s="4"/>
      <c r="G453" s="4"/>
    </row>
    <row r="454" spans="4:7">
      <c r="D454" s="4"/>
      <c r="G454" s="4"/>
    </row>
    <row r="455" spans="4:7">
      <c r="D455" s="4"/>
      <c r="G455" s="4"/>
    </row>
    <row r="456" spans="4:7">
      <c r="D456" s="4"/>
      <c r="G456" s="4"/>
    </row>
    <row r="457" spans="4:7">
      <c r="D457" s="4"/>
      <c r="G457" s="4"/>
    </row>
    <row r="458" spans="4:7">
      <c r="D458" s="4"/>
      <c r="G458" s="4"/>
    </row>
    <row r="459" spans="4:7">
      <c r="D459" s="4"/>
      <c r="G459" s="4"/>
    </row>
    <row r="460" spans="4:7">
      <c r="D460" s="4"/>
      <c r="G460" s="4"/>
    </row>
    <row r="461" spans="4:7">
      <c r="D461" s="4"/>
      <c r="G461" s="4"/>
    </row>
    <row r="462" spans="4:7">
      <c r="D462" s="4"/>
      <c r="G462" s="4"/>
    </row>
    <row r="463" spans="4:7">
      <c r="D463" s="4"/>
      <c r="G463" s="4"/>
    </row>
    <row r="464" spans="4:7">
      <c r="D464" s="4"/>
      <c r="G464" s="4"/>
    </row>
    <row r="465" spans="4:7">
      <c r="D465" s="4"/>
      <c r="G465" s="4"/>
    </row>
    <row r="466" spans="4:7">
      <c r="D466" s="4"/>
      <c r="G466" s="4"/>
    </row>
    <row r="467" spans="4:7">
      <c r="D467" s="4"/>
      <c r="G467" s="4"/>
    </row>
    <row r="468" spans="4:7">
      <c r="D468" s="4"/>
      <c r="G468" s="4"/>
    </row>
    <row r="469" spans="4:7">
      <c r="D469" s="4"/>
      <c r="G469" s="4"/>
    </row>
    <row r="470" spans="4:7">
      <c r="D470" s="4"/>
      <c r="G470" s="4"/>
    </row>
    <row r="471" spans="4:7">
      <c r="D471" s="4"/>
      <c r="G471" s="4"/>
    </row>
    <row r="472" spans="4:7">
      <c r="D472" s="4"/>
      <c r="G472" s="4"/>
    </row>
    <row r="473" spans="4:7">
      <c r="D473" s="4"/>
      <c r="G473" s="4"/>
    </row>
    <row r="474" spans="4:7">
      <c r="D474" s="4"/>
      <c r="G474" s="4"/>
    </row>
    <row r="475" spans="4:7">
      <c r="D475" s="4"/>
      <c r="G475" s="4"/>
    </row>
    <row r="476" spans="4:7">
      <c r="D476" s="4"/>
      <c r="G476" s="4"/>
    </row>
    <row r="477" spans="4:7">
      <c r="D477" s="4"/>
      <c r="G477" s="4"/>
    </row>
    <row r="478" spans="4:7">
      <c r="D478" s="4"/>
      <c r="G478" s="4"/>
    </row>
    <row r="479" spans="4:7">
      <c r="D479" s="4"/>
      <c r="G479" s="4"/>
    </row>
    <row r="480" spans="4:7">
      <c r="D480" s="4"/>
      <c r="G480" s="4"/>
    </row>
    <row r="481" spans="4:7">
      <c r="D481" s="4"/>
      <c r="G481" s="4"/>
    </row>
    <row r="482" spans="4:7">
      <c r="D482" s="4"/>
      <c r="G482" s="4"/>
    </row>
    <row r="483" spans="4:7">
      <c r="D483" s="4"/>
      <c r="G483" s="4"/>
    </row>
    <row r="484" spans="4:7">
      <c r="D484" s="4"/>
      <c r="G484" s="4"/>
    </row>
    <row r="485" spans="4:7">
      <c r="D485" s="4"/>
      <c r="G485" s="4"/>
    </row>
    <row r="486" spans="4:7">
      <c r="D486" s="4"/>
      <c r="G486" s="4"/>
    </row>
    <row r="487" spans="4:7">
      <c r="D487" s="4"/>
      <c r="G487" s="4"/>
    </row>
    <row r="488" spans="4:7">
      <c r="D488" s="4"/>
      <c r="G488" s="4"/>
    </row>
    <row r="489" spans="4:7">
      <c r="D489" s="4"/>
      <c r="G489" s="4"/>
    </row>
    <row r="490" spans="4:7">
      <c r="D490" s="4"/>
      <c r="G490" s="4"/>
    </row>
    <row r="491" spans="4:7">
      <c r="D491" s="4"/>
      <c r="G491" s="4"/>
    </row>
    <row r="492" spans="4:7">
      <c r="D492" s="4"/>
      <c r="G492" s="4"/>
    </row>
    <row r="493" spans="4:7">
      <c r="D493" s="4"/>
      <c r="G493" s="4"/>
    </row>
    <row r="494" spans="4:7">
      <c r="D494" s="4"/>
      <c r="G494" s="4"/>
    </row>
    <row r="495" spans="4:7">
      <c r="D495" s="4"/>
      <c r="G495" s="4"/>
    </row>
    <row r="496" spans="4:7">
      <c r="D496" s="4"/>
      <c r="G496" s="4"/>
    </row>
    <row r="497" spans="4:7">
      <c r="D497" s="4"/>
      <c r="G497" s="4"/>
    </row>
    <row r="498" spans="4:7">
      <c r="D498" s="4"/>
      <c r="G498" s="4"/>
    </row>
    <row r="499" spans="4:7">
      <c r="D499" s="4"/>
      <c r="G499" s="4"/>
    </row>
    <row r="500" spans="4:7">
      <c r="D500" s="4"/>
      <c r="G500" s="4"/>
    </row>
    <row r="501" spans="4:7">
      <c r="D501" s="4"/>
      <c r="G501" s="4"/>
    </row>
    <row r="502" spans="4:7">
      <c r="D502" s="4"/>
      <c r="G502" s="4"/>
    </row>
    <row r="503" spans="4:7">
      <c r="D503" s="4"/>
      <c r="G503" s="4"/>
    </row>
    <row r="504" spans="4:7">
      <c r="D504" s="4"/>
      <c r="G504" s="4"/>
    </row>
    <row r="505" spans="4:7">
      <c r="D505" s="4"/>
      <c r="G505" s="4"/>
    </row>
    <row r="506" spans="4:7">
      <c r="D506" s="4"/>
      <c r="G506" s="4"/>
    </row>
    <row r="507" spans="4:7">
      <c r="D507" s="4"/>
      <c r="G507" s="4"/>
    </row>
    <row r="508" spans="4:7">
      <c r="D508" s="4"/>
      <c r="G508" s="4"/>
    </row>
    <row r="509" spans="4:7">
      <c r="D509" s="4"/>
      <c r="G509" s="4"/>
    </row>
    <row r="510" spans="4:7">
      <c r="D510" s="4"/>
      <c r="G510" s="4"/>
    </row>
    <row r="511" spans="4:7">
      <c r="D511" s="4"/>
      <c r="G511" s="4"/>
    </row>
    <row r="512" spans="4:7">
      <c r="D512" s="4"/>
      <c r="G512" s="4"/>
    </row>
    <row r="513" spans="4:7">
      <c r="D513" s="4"/>
      <c r="G513" s="4"/>
    </row>
    <row r="514" spans="4:7">
      <c r="D514" s="4"/>
      <c r="G514" s="4"/>
    </row>
    <row r="515" spans="4:7">
      <c r="D515" s="4"/>
      <c r="G515" s="4"/>
    </row>
    <row r="516" spans="4:7">
      <c r="D516" s="4"/>
      <c r="G516" s="4"/>
    </row>
    <row r="517" spans="4:7">
      <c r="D517" s="4"/>
      <c r="G517" s="4"/>
    </row>
    <row r="518" spans="4:7">
      <c r="D518" s="4"/>
      <c r="G518" s="4"/>
    </row>
    <row r="519" spans="4:7">
      <c r="D519" s="4"/>
      <c r="G519" s="4"/>
    </row>
    <row r="520" spans="4:7">
      <c r="D520" s="4"/>
      <c r="G520" s="4"/>
    </row>
    <row r="521" spans="4:7">
      <c r="D521" s="4"/>
      <c r="G521" s="4"/>
    </row>
    <row r="522" spans="4:7">
      <c r="D522" s="4"/>
      <c r="G522" s="4"/>
    </row>
    <row r="523" spans="4:7">
      <c r="D523" s="4"/>
      <c r="G523" s="4"/>
    </row>
    <row r="524" spans="4:7">
      <c r="D524" s="4"/>
      <c r="G524" s="4"/>
    </row>
    <row r="525" spans="4:7">
      <c r="D525" s="4"/>
      <c r="G525" s="4"/>
    </row>
    <row r="526" spans="4:7">
      <c r="D526" s="4"/>
      <c r="G526" s="4"/>
    </row>
    <row r="527" spans="4:7">
      <c r="D527" s="4"/>
      <c r="G527" s="4"/>
    </row>
    <row r="528" spans="4:7">
      <c r="D528" s="4"/>
      <c r="G528" s="4"/>
    </row>
    <row r="529" spans="4:7">
      <c r="D529" s="4"/>
      <c r="G529" s="4"/>
    </row>
    <row r="530" spans="4:7">
      <c r="D530" s="4"/>
      <c r="G530" s="4"/>
    </row>
    <row r="531" spans="4:7">
      <c r="D531" s="4"/>
      <c r="G531" s="4"/>
    </row>
    <row r="532" spans="4:7">
      <c r="D532" s="4"/>
      <c r="G532" s="4"/>
    </row>
    <row r="533" spans="4:7">
      <c r="D533" s="4"/>
      <c r="G533" s="4"/>
    </row>
    <row r="534" spans="4:7">
      <c r="D534" s="4"/>
      <c r="G534" s="4"/>
    </row>
    <row r="535" spans="4:7">
      <c r="D535" s="4"/>
      <c r="G535" s="4"/>
    </row>
    <row r="536" spans="4:7">
      <c r="D536" s="4"/>
      <c r="G536" s="4"/>
    </row>
    <row r="537" spans="4:7">
      <c r="D537" s="4"/>
      <c r="G537" s="4"/>
    </row>
    <row r="538" spans="4:7">
      <c r="D538" s="4"/>
      <c r="G538" s="4"/>
    </row>
    <row r="539" spans="4:7">
      <c r="D539" s="4"/>
      <c r="G539" s="4"/>
    </row>
    <row r="540" spans="4:7">
      <c r="D540" s="4"/>
      <c r="G540" s="4"/>
    </row>
    <row r="541" spans="4:7">
      <c r="D541" s="4"/>
      <c r="G541" s="4"/>
    </row>
    <row r="542" spans="4:7">
      <c r="D542" s="4"/>
      <c r="G542" s="4"/>
    </row>
    <row r="543" spans="4:7">
      <c r="D543" s="4"/>
      <c r="G543" s="4"/>
    </row>
    <row r="544" spans="4:7">
      <c r="D544" s="4"/>
      <c r="G544" s="4"/>
    </row>
    <row r="545" spans="4:7">
      <c r="D545" s="4"/>
      <c r="G545" s="4"/>
    </row>
    <row r="546" spans="4:7">
      <c r="D546" s="4"/>
      <c r="G546" s="4"/>
    </row>
    <row r="547" spans="4:7">
      <c r="D547" s="4"/>
      <c r="G547" s="4"/>
    </row>
    <row r="548" spans="4:7">
      <c r="D548" s="4"/>
      <c r="G548" s="4"/>
    </row>
    <row r="549" spans="4:7">
      <c r="D549" s="4"/>
      <c r="G549" s="4"/>
    </row>
    <row r="550" spans="4:7">
      <c r="D550" s="4"/>
      <c r="G550" s="4"/>
    </row>
    <row r="551" spans="4:7">
      <c r="D551" s="4"/>
      <c r="G551" s="4"/>
    </row>
    <row r="552" spans="4:7">
      <c r="D552" s="4"/>
      <c r="G552" s="4"/>
    </row>
    <row r="553" spans="4:7">
      <c r="D553" s="4"/>
      <c r="G553" s="4"/>
    </row>
    <row r="554" spans="4:7">
      <c r="D554" s="4"/>
      <c r="G554" s="4"/>
    </row>
    <row r="555" spans="4:7">
      <c r="D555" s="4"/>
      <c r="G555" s="4"/>
    </row>
    <row r="556" spans="4:7">
      <c r="D556" s="4"/>
      <c r="G556" s="4"/>
    </row>
    <row r="557" spans="4:7">
      <c r="D557" s="4"/>
      <c r="G557" s="4"/>
    </row>
    <row r="558" spans="4:7">
      <c r="D558" s="4"/>
      <c r="G558" s="4"/>
    </row>
    <row r="559" spans="4:7">
      <c r="D559" s="4"/>
      <c r="G559" s="4"/>
    </row>
    <row r="560" spans="4:7">
      <c r="D560" s="4"/>
      <c r="G560" s="4"/>
    </row>
    <row r="561" spans="4:7">
      <c r="D561" s="4"/>
      <c r="G561" s="4"/>
    </row>
    <row r="562" spans="4:7">
      <c r="D562" s="4"/>
      <c r="G562" s="4"/>
    </row>
    <row r="563" spans="4:7">
      <c r="D563" s="4"/>
      <c r="G563" s="4"/>
    </row>
    <row r="564" spans="4:7">
      <c r="D564" s="4"/>
      <c r="G564" s="4"/>
    </row>
    <row r="565" spans="4:7">
      <c r="D565" s="4"/>
      <c r="G565" s="4"/>
    </row>
    <row r="566" spans="4:7">
      <c r="D566" s="4"/>
      <c r="G566" s="4"/>
    </row>
    <row r="567" spans="4:7">
      <c r="D567" s="4"/>
      <c r="G567" s="4"/>
    </row>
    <row r="568" spans="4:7">
      <c r="D568" s="4"/>
      <c r="G568" s="4"/>
    </row>
    <row r="569" spans="4:7">
      <c r="D569" s="4"/>
      <c r="G569" s="4"/>
    </row>
    <row r="570" spans="4:7">
      <c r="D570" s="4"/>
      <c r="G570" s="4"/>
    </row>
    <row r="571" spans="4:7">
      <c r="D571" s="4"/>
      <c r="G571" s="4"/>
    </row>
    <row r="572" spans="4:7">
      <c r="D572" s="4"/>
      <c r="G572" s="4"/>
    </row>
    <row r="573" spans="4:7">
      <c r="D573" s="4"/>
      <c r="G573" s="4"/>
    </row>
    <row r="574" spans="4:7">
      <c r="D574" s="4"/>
      <c r="G574" s="4"/>
    </row>
    <row r="575" spans="4:7">
      <c r="D575" s="4"/>
      <c r="G575" s="4"/>
    </row>
    <row r="576" spans="4:7">
      <c r="D576" s="4"/>
      <c r="G576" s="4"/>
    </row>
    <row r="577" spans="4:7">
      <c r="D577" s="4"/>
      <c r="G577" s="4"/>
    </row>
    <row r="578" spans="4:7">
      <c r="D578" s="4"/>
      <c r="G578" s="4"/>
    </row>
    <row r="579" spans="4:7">
      <c r="D579" s="4"/>
      <c r="G579" s="4"/>
    </row>
    <row r="580" spans="4:7">
      <c r="D580" s="4"/>
      <c r="G580" s="4"/>
    </row>
    <row r="581" spans="4:7">
      <c r="D581" s="4"/>
      <c r="G581" s="4"/>
    </row>
    <row r="582" spans="4:7">
      <c r="D582" s="4"/>
      <c r="G582" s="4"/>
    </row>
    <row r="583" spans="4:7">
      <c r="D583" s="4"/>
      <c r="G583" s="4"/>
    </row>
    <row r="584" spans="4:7">
      <c r="D584" s="4"/>
      <c r="G584" s="4"/>
    </row>
    <row r="585" spans="4:7">
      <c r="D585" s="4"/>
      <c r="G585" s="4"/>
    </row>
    <row r="586" spans="4:7">
      <c r="D586" s="4"/>
      <c r="G586" s="4"/>
    </row>
    <row r="587" spans="4:7">
      <c r="D587" s="4"/>
      <c r="G587" s="4"/>
    </row>
    <row r="588" spans="4:7">
      <c r="D588" s="4"/>
      <c r="G588" s="4"/>
    </row>
    <row r="589" spans="4:7">
      <c r="D589" s="4"/>
      <c r="G589" s="4"/>
    </row>
    <row r="590" spans="4:7">
      <c r="D590" s="4"/>
      <c r="G590" s="4"/>
    </row>
    <row r="591" spans="4:7">
      <c r="D591" s="4"/>
      <c r="G591" s="4"/>
    </row>
    <row r="592" spans="4:7">
      <c r="D592" s="4"/>
      <c r="G592" s="4"/>
    </row>
    <row r="593" spans="4:7">
      <c r="D593" s="4"/>
      <c r="G593" s="4"/>
    </row>
    <row r="594" spans="4:7">
      <c r="D594" s="4"/>
      <c r="G594" s="4"/>
    </row>
    <row r="595" spans="4:7">
      <c r="D595" s="4"/>
      <c r="G595" s="4"/>
    </row>
    <row r="596" spans="4:7">
      <c r="D596" s="4"/>
      <c r="G596" s="4"/>
    </row>
    <row r="597" spans="4:7">
      <c r="D597" s="4"/>
      <c r="G597" s="4"/>
    </row>
    <row r="598" spans="4:7">
      <c r="D598" s="4"/>
      <c r="G598" s="4"/>
    </row>
    <row r="599" spans="4:7">
      <c r="D599" s="4"/>
      <c r="G599" s="4"/>
    </row>
    <row r="600" spans="4:7">
      <c r="D600" s="4"/>
      <c r="G600" s="4"/>
    </row>
    <row r="601" spans="4:7">
      <c r="D601" s="4"/>
      <c r="G601" s="4"/>
    </row>
    <row r="602" spans="4:7">
      <c r="D602" s="4"/>
      <c r="G602" s="4"/>
    </row>
    <row r="603" spans="4:7">
      <c r="D603" s="4"/>
      <c r="G603" s="4"/>
    </row>
    <row r="604" spans="4:7">
      <c r="D604" s="4"/>
      <c r="G604" s="4"/>
    </row>
    <row r="605" spans="4:7">
      <c r="D605" s="4"/>
      <c r="G605" s="4"/>
    </row>
    <row r="606" spans="4:7">
      <c r="D606" s="4"/>
      <c r="G606" s="4"/>
    </row>
    <row r="607" spans="4:7">
      <c r="D607" s="4"/>
      <c r="G607" s="4"/>
    </row>
    <row r="608" spans="4:7">
      <c r="D608" s="4"/>
      <c r="G608" s="4"/>
    </row>
    <row r="609" spans="4:7">
      <c r="D609" s="4"/>
      <c r="G609" s="4"/>
    </row>
    <row r="610" spans="4:7">
      <c r="D610" s="4"/>
      <c r="G610" s="4"/>
    </row>
    <row r="611" spans="4:7">
      <c r="D611" s="4"/>
      <c r="G611" s="4"/>
    </row>
    <row r="612" spans="4:7">
      <c r="D612" s="4"/>
      <c r="G612" s="4"/>
    </row>
    <row r="613" spans="4:7">
      <c r="D613" s="4"/>
      <c r="G613" s="4"/>
    </row>
    <row r="614" spans="4:7">
      <c r="D614" s="4"/>
      <c r="G614" s="4"/>
    </row>
    <row r="615" spans="4:7">
      <c r="D615" s="4"/>
      <c r="G615" s="4"/>
    </row>
    <row r="616" spans="4:7">
      <c r="D616" s="4"/>
      <c r="G616" s="4"/>
    </row>
    <row r="617" spans="4:7">
      <c r="D617" s="4"/>
      <c r="G617" s="4"/>
    </row>
    <row r="618" spans="4:7">
      <c r="D618" s="4"/>
      <c r="G618" s="4"/>
    </row>
    <row r="619" spans="4:7">
      <c r="D619" s="4"/>
      <c r="G619" s="4"/>
    </row>
    <row r="620" spans="4:7">
      <c r="D620" s="4"/>
      <c r="G620" s="4"/>
    </row>
    <row r="621" spans="4:7">
      <c r="D621" s="4"/>
      <c r="G621" s="4"/>
    </row>
    <row r="622" spans="4:7">
      <c r="D622" s="4"/>
      <c r="G622" s="4"/>
    </row>
    <row r="623" spans="4:7">
      <c r="D623" s="4"/>
      <c r="G623" s="4"/>
    </row>
    <row r="624" spans="4:7">
      <c r="D624" s="4"/>
      <c r="G624" s="4"/>
    </row>
    <row r="625" spans="4:7">
      <c r="D625" s="4"/>
      <c r="G625" s="4"/>
    </row>
    <row r="626" spans="4:7">
      <c r="D626" s="4"/>
      <c r="G626" s="4"/>
    </row>
    <row r="627" spans="4:7">
      <c r="D627" s="4"/>
      <c r="G627" s="4"/>
    </row>
    <row r="628" spans="4:7">
      <c r="D628" s="4"/>
      <c r="G628" s="4"/>
    </row>
    <row r="629" spans="4:7">
      <c r="D629" s="4"/>
      <c r="G629" s="4"/>
    </row>
    <row r="630" spans="4:7">
      <c r="D630" s="4"/>
      <c r="G630" s="4"/>
    </row>
    <row r="631" spans="4:7">
      <c r="D631" s="4"/>
      <c r="G631" s="4"/>
    </row>
    <row r="632" spans="4:7">
      <c r="D632" s="4"/>
      <c r="G632" s="4"/>
    </row>
    <row r="633" spans="4:7">
      <c r="D633" s="4"/>
      <c r="G633" s="4"/>
    </row>
    <row r="634" spans="4:7">
      <c r="D634" s="4"/>
      <c r="G634" s="4"/>
    </row>
    <row r="635" spans="4:7">
      <c r="D635" s="4"/>
      <c r="G635" s="4"/>
    </row>
    <row r="636" spans="4:7">
      <c r="D636" s="4"/>
      <c r="G636" s="4"/>
    </row>
    <row r="637" spans="4:7">
      <c r="D637" s="4"/>
      <c r="G637" s="4"/>
    </row>
    <row r="638" spans="4:7">
      <c r="D638" s="4"/>
      <c r="G638" s="4"/>
    </row>
    <row r="639" spans="4:7">
      <c r="D639" s="4"/>
      <c r="G639" s="4"/>
    </row>
    <row r="640" spans="4:7">
      <c r="D640" s="4"/>
      <c r="G640" s="4"/>
    </row>
    <row r="641" spans="4:7">
      <c r="D641" s="4"/>
      <c r="G641" s="4"/>
    </row>
    <row r="642" spans="4:7">
      <c r="D642" s="4"/>
      <c r="G642" s="4"/>
    </row>
    <row r="643" spans="4:7">
      <c r="D643" s="4"/>
      <c r="G643" s="4"/>
    </row>
    <row r="644" spans="4:7">
      <c r="D644" s="4"/>
      <c r="G644" s="4"/>
    </row>
    <row r="645" spans="4:7">
      <c r="D645" s="4"/>
      <c r="G645" s="4"/>
    </row>
    <row r="646" spans="4:7">
      <c r="D646" s="4"/>
      <c r="G646" s="4"/>
    </row>
    <row r="647" spans="4:7">
      <c r="D647" s="4"/>
      <c r="G647" s="4"/>
    </row>
    <row r="648" spans="4:7">
      <c r="D648" s="4"/>
      <c r="G648" s="4"/>
    </row>
    <row r="649" spans="4:7">
      <c r="D649" s="4"/>
      <c r="G649" s="4"/>
    </row>
    <row r="650" spans="4:7">
      <c r="D650" s="4"/>
      <c r="G650" s="4"/>
    </row>
    <row r="651" spans="4:7">
      <c r="D651" s="4"/>
      <c r="G651" s="4"/>
    </row>
    <row r="652" spans="4:7">
      <c r="D652" s="4"/>
      <c r="G652" s="4"/>
    </row>
    <row r="653" spans="4:7">
      <c r="D653" s="4"/>
      <c r="G653" s="4"/>
    </row>
    <row r="654" spans="4:7">
      <c r="D654" s="4"/>
      <c r="G654" s="4"/>
    </row>
    <row r="655" spans="4:7">
      <c r="D655" s="4"/>
      <c r="G655" s="4"/>
    </row>
    <row r="656" spans="4:7">
      <c r="D656" s="4"/>
      <c r="G656" s="4"/>
    </row>
    <row r="657" spans="4:7">
      <c r="D657" s="4"/>
      <c r="G657" s="4"/>
    </row>
    <row r="658" spans="4:7">
      <c r="D658" s="4"/>
      <c r="G658" s="4"/>
    </row>
    <row r="659" spans="4:7">
      <c r="D659" s="4"/>
      <c r="G659" s="4"/>
    </row>
    <row r="660" spans="4:7">
      <c r="D660" s="4"/>
      <c r="G660" s="4"/>
    </row>
    <row r="661" spans="4:7">
      <c r="D661" s="4"/>
      <c r="G661" s="4"/>
    </row>
    <row r="662" spans="4:7">
      <c r="D662" s="4"/>
      <c r="G662" s="4"/>
    </row>
    <row r="663" spans="4:7">
      <c r="D663" s="4"/>
      <c r="G663" s="4"/>
    </row>
    <row r="664" spans="4:7">
      <c r="D664" s="4"/>
      <c r="G664" s="4"/>
    </row>
    <row r="665" spans="4:7">
      <c r="D665" s="4"/>
      <c r="G665" s="4"/>
    </row>
    <row r="666" spans="4:7">
      <c r="D666" s="4"/>
      <c r="G666" s="4"/>
    </row>
    <row r="667" spans="4:7">
      <c r="D667" s="4"/>
      <c r="G667" s="4"/>
    </row>
    <row r="668" spans="4:7">
      <c r="D668" s="4"/>
      <c r="G668" s="4"/>
    </row>
    <row r="669" spans="4:7">
      <c r="D669" s="4"/>
      <c r="G669" s="4"/>
    </row>
    <row r="670" spans="4:7">
      <c r="D670" s="4"/>
      <c r="G670" s="4"/>
    </row>
    <row r="671" spans="4:7">
      <c r="D671" s="4"/>
      <c r="G671" s="4"/>
    </row>
    <row r="672" spans="4:7">
      <c r="D672" s="4"/>
      <c r="G672" s="4"/>
    </row>
    <row r="673" spans="4:7">
      <c r="D673" s="4"/>
      <c r="G673" s="4"/>
    </row>
    <row r="674" spans="4:7">
      <c r="D674" s="4"/>
      <c r="G674" s="4"/>
    </row>
    <row r="675" spans="4:7">
      <c r="D675" s="4"/>
      <c r="G675" s="4"/>
    </row>
    <row r="676" spans="4:7">
      <c r="D676" s="4"/>
      <c r="G676" s="4"/>
    </row>
    <row r="677" spans="4:7">
      <c r="D677" s="4"/>
      <c r="G677" s="4"/>
    </row>
    <row r="678" spans="4:7">
      <c r="D678" s="4"/>
      <c r="G678" s="4"/>
    </row>
    <row r="679" spans="4:7">
      <c r="D679" s="4"/>
      <c r="G679" s="4"/>
    </row>
    <row r="680" spans="4:7">
      <c r="D680" s="4"/>
      <c r="G680" s="4"/>
    </row>
    <row r="681" spans="4:7">
      <c r="D681" s="4"/>
      <c r="G681" s="4"/>
    </row>
    <row r="682" spans="4:7">
      <c r="D682" s="4"/>
      <c r="G682" s="4"/>
    </row>
    <row r="683" spans="4:7">
      <c r="D683" s="4"/>
      <c r="G683" s="4"/>
    </row>
    <row r="684" spans="4:7">
      <c r="D684" s="4"/>
      <c r="G684" s="4"/>
    </row>
    <row r="685" spans="4:7">
      <c r="D685" s="4"/>
      <c r="G685" s="4"/>
    </row>
    <row r="686" spans="4:7">
      <c r="D686" s="4"/>
      <c r="G686" s="4"/>
    </row>
    <row r="687" spans="4:7">
      <c r="D687" s="4"/>
      <c r="G687" s="4"/>
    </row>
    <row r="688" spans="4:7">
      <c r="D688" s="4"/>
      <c r="G688" s="4"/>
    </row>
    <row r="689" spans="4:7">
      <c r="D689" s="4"/>
      <c r="G689" s="4"/>
    </row>
    <row r="690" spans="4:7">
      <c r="D690" s="4"/>
      <c r="G690" s="4"/>
    </row>
    <row r="691" spans="4:7">
      <c r="D691" s="4"/>
      <c r="G691" s="4"/>
    </row>
    <row r="692" spans="4:7">
      <c r="D692" s="4"/>
      <c r="G692" s="4"/>
    </row>
    <row r="693" spans="4:7">
      <c r="D693" s="4"/>
      <c r="G693" s="4"/>
    </row>
    <row r="694" spans="4:7">
      <c r="D694" s="4"/>
      <c r="G694" s="4"/>
    </row>
    <row r="695" spans="4:7">
      <c r="D695" s="4"/>
      <c r="G695" s="4"/>
    </row>
    <row r="696" spans="4:7">
      <c r="D696" s="4"/>
      <c r="G696" s="4"/>
    </row>
    <row r="697" spans="4:7">
      <c r="D697" s="4"/>
      <c r="G697" s="4"/>
    </row>
    <row r="698" spans="4:7">
      <c r="D698" s="4"/>
      <c r="G698" s="4"/>
    </row>
    <row r="699" spans="4:7">
      <c r="D699" s="4"/>
      <c r="G699" s="4"/>
    </row>
    <row r="700" spans="4:7">
      <c r="D700" s="4"/>
      <c r="G700" s="4"/>
    </row>
    <row r="701" spans="4:7">
      <c r="D701" s="4"/>
      <c r="G701" s="4"/>
    </row>
    <row r="702" spans="4:7">
      <c r="D702" s="4"/>
      <c r="G702" s="4"/>
    </row>
    <row r="703" spans="4:7">
      <c r="D703" s="4"/>
      <c r="G703" s="4"/>
    </row>
    <row r="704" spans="4:7">
      <c r="D704" s="4"/>
      <c r="G704" s="4"/>
    </row>
    <row r="705" spans="4:7">
      <c r="D705" s="4"/>
      <c r="G705" s="4"/>
    </row>
    <row r="706" spans="4:7">
      <c r="D706" s="4"/>
      <c r="G706" s="4"/>
    </row>
    <row r="707" spans="4:7">
      <c r="D707" s="4"/>
      <c r="G707" s="4"/>
    </row>
    <row r="708" spans="4:7">
      <c r="D708" s="4"/>
      <c r="G708" s="4"/>
    </row>
    <row r="709" spans="4:7">
      <c r="D709" s="4"/>
      <c r="G709" s="4"/>
    </row>
    <row r="710" spans="4:7">
      <c r="D710" s="4"/>
      <c r="G710" s="4"/>
    </row>
    <row r="711" spans="4:7">
      <c r="D711" s="4"/>
      <c r="G711" s="4"/>
    </row>
    <row r="712" spans="4:7">
      <c r="D712" s="4"/>
      <c r="G712" s="4"/>
    </row>
    <row r="713" spans="4:7">
      <c r="D713" s="4"/>
      <c r="G713" s="4"/>
    </row>
    <row r="714" spans="4:7">
      <c r="D714" s="4"/>
      <c r="G714" s="4"/>
    </row>
    <row r="715" spans="4:7">
      <c r="D715" s="4"/>
      <c r="G715" s="4"/>
    </row>
    <row r="716" spans="4:7">
      <c r="D716" s="4"/>
      <c r="G716" s="4"/>
    </row>
    <row r="717" spans="4:7">
      <c r="D717" s="4"/>
      <c r="G717" s="4"/>
    </row>
    <row r="718" spans="4:7">
      <c r="D718" s="4"/>
      <c r="G718" s="4"/>
    </row>
    <row r="719" spans="4:7">
      <c r="D719" s="4"/>
      <c r="G719" s="4"/>
    </row>
    <row r="720" spans="4:7">
      <c r="D720" s="4"/>
      <c r="G720" s="4"/>
    </row>
    <row r="721" spans="4:7">
      <c r="D721" s="4"/>
      <c r="G721" s="4"/>
    </row>
    <row r="722" spans="4:7">
      <c r="D722" s="4"/>
      <c r="G722" s="4"/>
    </row>
    <row r="723" spans="4:7">
      <c r="D723" s="4"/>
      <c r="G723" s="4"/>
    </row>
    <row r="724" spans="4:7">
      <c r="D724" s="4"/>
      <c r="G724" s="4"/>
    </row>
    <row r="725" spans="4:7">
      <c r="D725" s="4"/>
      <c r="G725" s="4"/>
    </row>
    <row r="726" spans="4:7">
      <c r="D726" s="4"/>
      <c r="G726" s="4"/>
    </row>
    <row r="727" spans="4:7">
      <c r="D727" s="4"/>
      <c r="G727" s="4"/>
    </row>
    <row r="728" spans="4:7">
      <c r="D728" s="4"/>
      <c r="G728" s="4"/>
    </row>
    <row r="729" spans="4:7">
      <c r="D729" s="4"/>
      <c r="G729" s="4"/>
    </row>
    <row r="730" spans="4:7">
      <c r="D730" s="4"/>
      <c r="G730" s="4"/>
    </row>
    <row r="731" spans="4:7">
      <c r="D731" s="4"/>
      <c r="G731" s="4"/>
    </row>
    <row r="732" spans="4:7">
      <c r="D732" s="4"/>
      <c r="G732" s="4"/>
    </row>
    <row r="733" spans="4:7">
      <c r="D733" s="4"/>
      <c r="G733" s="4"/>
    </row>
    <row r="734" spans="4:7">
      <c r="D734" s="4"/>
      <c r="G734" s="4"/>
    </row>
    <row r="735" spans="4:7">
      <c r="D735" s="4"/>
      <c r="G735" s="4"/>
    </row>
    <row r="736" spans="4:7">
      <c r="D736" s="4"/>
      <c r="G736" s="4"/>
    </row>
    <row r="737" spans="4:7">
      <c r="D737" s="4"/>
      <c r="G737" s="4"/>
    </row>
    <row r="738" spans="4:7">
      <c r="D738" s="4"/>
      <c r="G738" s="4"/>
    </row>
    <row r="739" spans="4:7">
      <c r="D739" s="4"/>
      <c r="G739" s="4"/>
    </row>
    <row r="740" spans="4:7">
      <c r="D740" s="4"/>
      <c r="G740" s="4"/>
    </row>
    <row r="741" spans="4:7">
      <c r="D741" s="4"/>
      <c r="G741" s="4"/>
    </row>
    <row r="742" spans="4:7">
      <c r="D742" s="4"/>
      <c r="G742" s="4"/>
    </row>
    <row r="743" spans="4:7">
      <c r="D743" s="4"/>
      <c r="G743" s="4"/>
    </row>
    <row r="744" spans="4:7">
      <c r="D744" s="4"/>
      <c r="G744" s="4"/>
    </row>
    <row r="745" spans="4:7">
      <c r="D745" s="4"/>
      <c r="G745" s="4"/>
    </row>
    <row r="746" spans="4:7">
      <c r="D746" s="4"/>
      <c r="G746" s="4"/>
    </row>
    <row r="747" spans="4:7">
      <c r="D747" s="4"/>
      <c r="G747" s="4"/>
    </row>
    <row r="748" spans="4:7">
      <c r="D748" s="4"/>
      <c r="G748" s="4"/>
    </row>
    <row r="749" spans="4:7">
      <c r="D749" s="4"/>
      <c r="G749" s="4"/>
    </row>
    <row r="750" spans="4:7">
      <c r="D750" s="4"/>
      <c r="G750" s="4"/>
    </row>
    <row r="751" spans="4:7">
      <c r="D751" s="4"/>
      <c r="G751" s="4"/>
    </row>
    <row r="752" spans="4:7">
      <c r="D752" s="4"/>
      <c r="G752" s="4"/>
    </row>
    <row r="753" spans="4:7">
      <c r="D753" s="4"/>
      <c r="G753" s="4"/>
    </row>
    <row r="754" spans="4:7">
      <c r="D754" s="4"/>
      <c r="G754" s="4"/>
    </row>
    <row r="755" spans="4:7">
      <c r="D755" s="4"/>
      <c r="G755" s="4"/>
    </row>
    <row r="756" spans="4:7">
      <c r="D756" s="4"/>
      <c r="G756" s="4"/>
    </row>
    <row r="757" spans="4:7">
      <c r="D757" s="4"/>
      <c r="G757" s="4"/>
    </row>
    <row r="758" spans="4:7">
      <c r="D758" s="4"/>
      <c r="G758" s="4"/>
    </row>
    <row r="759" spans="4:7">
      <c r="D759" s="4"/>
      <c r="G759" s="4"/>
    </row>
    <row r="760" spans="4:7">
      <c r="D760" s="4"/>
      <c r="G760" s="4"/>
    </row>
    <row r="761" spans="4:7">
      <c r="D761" s="4"/>
      <c r="G761" s="4"/>
    </row>
    <row r="762" spans="4:7">
      <c r="D762" s="4"/>
      <c r="G762" s="4"/>
    </row>
    <row r="763" spans="4:7">
      <c r="D763" s="4"/>
      <c r="G763" s="4"/>
    </row>
    <row r="764" spans="4:7">
      <c r="D764" s="4"/>
      <c r="G764" s="4"/>
    </row>
    <row r="765" spans="4:7">
      <c r="D765" s="4"/>
      <c r="G765" s="4"/>
    </row>
    <row r="766" spans="4:7">
      <c r="D766" s="4"/>
      <c r="G766" s="4"/>
    </row>
    <row r="767" spans="4:7">
      <c r="D767" s="4"/>
      <c r="G767" s="4"/>
    </row>
    <row r="768" spans="4:7">
      <c r="D768" s="4"/>
      <c r="G768" s="4"/>
    </row>
    <row r="769" spans="4:7">
      <c r="D769" s="4"/>
      <c r="G769" s="4"/>
    </row>
    <row r="770" spans="4:7">
      <c r="G770" s="4"/>
    </row>
    <row r="771" spans="4:7">
      <c r="G771" s="4"/>
    </row>
    <row r="772" spans="4:7">
      <c r="G772" s="4"/>
    </row>
    <row r="773" spans="4:7">
      <c r="G773" s="4"/>
    </row>
    <row r="774" spans="4:7">
      <c r="G774" s="4"/>
    </row>
    <row r="775" spans="4:7">
      <c r="G775" s="4"/>
    </row>
    <row r="776" spans="4:7">
      <c r="G776" s="4"/>
    </row>
    <row r="777" spans="4:7">
      <c r="G777" s="4"/>
    </row>
    <row r="778" spans="4:7">
      <c r="G778" s="4"/>
    </row>
    <row r="779" spans="4:7">
      <c r="G779" s="4"/>
    </row>
    <row r="780" spans="4:7">
      <c r="G780" s="4"/>
    </row>
    <row r="781" spans="4:7">
      <c r="G781" s="4"/>
    </row>
    <row r="782" spans="4:7">
      <c r="G782" s="4"/>
    </row>
    <row r="783" spans="4:7">
      <c r="G783" s="4"/>
    </row>
    <row r="784" spans="4:7">
      <c r="G784" s="4"/>
    </row>
    <row r="785" spans="7:7">
      <c r="G785" s="4"/>
    </row>
    <row r="786" spans="7:7">
      <c r="G786" s="4"/>
    </row>
    <row r="787" spans="7:7">
      <c r="G787" s="4"/>
    </row>
    <row r="788" spans="7:7">
      <c r="G788" s="4"/>
    </row>
    <row r="789" spans="7:7">
      <c r="G789" s="4"/>
    </row>
    <row r="790" spans="7:7">
      <c r="G790" s="4"/>
    </row>
    <row r="791" spans="7:7">
      <c r="G791" s="4"/>
    </row>
    <row r="792" spans="7:7">
      <c r="G792" s="4"/>
    </row>
    <row r="793" spans="7:7">
      <c r="G793" s="4"/>
    </row>
    <row r="794" spans="7:7">
      <c r="G794" s="4"/>
    </row>
    <row r="795" spans="7:7">
      <c r="G795" s="4"/>
    </row>
    <row r="796" spans="7:7">
      <c r="G796" s="4"/>
    </row>
    <row r="797" spans="7:7">
      <c r="G797" s="4"/>
    </row>
    <row r="798" spans="7:7">
      <c r="G798" s="4"/>
    </row>
    <row r="799" spans="7:7">
      <c r="G799" s="4"/>
    </row>
    <row r="800" spans="7:7">
      <c r="G800" s="4"/>
    </row>
    <row r="801" spans="7:7">
      <c r="G801" s="4"/>
    </row>
    <row r="802" spans="7:7">
      <c r="G802" s="4"/>
    </row>
    <row r="803" spans="7:7">
      <c r="G803" s="4"/>
    </row>
    <row r="804" spans="7:7">
      <c r="G804" s="4"/>
    </row>
    <row r="805" spans="7:7">
      <c r="G805" s="4"/>
    </row>
    <row r="806" spans="7:7">
      <c r="G806" s="4"/>
    </row>
    <row r="807" spans="7:7">
      <c r="G807" s="4"/>
    </row>
    <row r="808" spans="7:7">
      <c r="G808" s="4"/>
    </row>
    <row r="809" spans="7:7">
      <c r="G809" s="4"/>
    </row>
    <row r="810" spans="7:7">
      <c r="G810" s="4"/>
    </row>
    <row r="811" spans="7:7">
      <c r="G811" s="4"/>
    </row>
    <row r="812" spans="7:7">
      <c r="G812" s="4"/>
    </row>
    <row r="813" spans="7:7">
      <c r="G813" s="4"/>
    </row>
    <row r="814" spans="7:7">
      <c r="G814" s="4"/>
    </row>
    <row r="815" spans="7:7">
      <c r="G815" s="4"/>
    </row>
    <row r="816" spans="7:7">
      <c r="G816" s="4"/>
    </row>
    <row r="817" spans="7:7">
      <c r="G817" s="4"/>
    </row>
    <row r="818" spans="7:7">
      <c r="G818" s="4"/>
    </row>
    <row r="819" spans="7:7">
      <c r="G819" s="4"/>
    </row>
    <row r="820" spans="7:7">
      <c r="G820" s="4"/>
    </row>
    <row r="821" spans="7:7">
      <c r="G821" s="4"/>
    </row>
    <row r="822" spans="7:7">
      <c r="G822" s="4"/>
    </row>
    <row r="823" spans="7:7">
      <c r="G823" s="4"/>
    </row>
    <row r="824" spans="7:7">
      <c r="G824" s="4"/>
    </row>
    <row r="825" spans="7:7">
      <c r="G825" s="4"/>
    </row>
    <row r="826" spans="7:7">
      <c r="G826" s="4"/>
    </row>
    <row r="827" spans="7:7">
      <c r="G827" s="4"/>
    </row>
    <row r="828" spans="7:7">
      <c r="G828" s="4"/>
    </row>
    <row r="829" spans="7:7">
      <c r="G829" s="4"/>
    </row>
    <row r="830" spans="7:7">
      <c r="G830" s="4"/>
    </row>
    <row r="831" spans="7:7">
      <c r="G831" s="4"/>
    </row>
    <row r="832" spans="7:7">
      <c r="G832" s="4"/>
    </row>
    <row r="833" spans="7:7">
      <c r="G833" s="4"/>
    </row>
    <row r="834" spans="7:7">
      <c r="G834" s="4"/>
    </row>
    <row r="835" spans="7:7">
      <c r="G835" s="4"/>
    </row>
    <row r="836" spans="7:7">
      <c r="G836" s="4"/>
    </row>
    <row r="837" spans="7:7">
      <c r="G837" s="4"/>
    </row>
    <row r="838" spans="7:7">
      <c r="G838" s="4"/>
    </row>
    <row r="839" spans="7:7">
      <c r="G839" s="4"/>
    </row>
    <row r="840" spans="7:7">
      <c r="G840" s="4"/>
    </row>
    <row r="841" spans="7:7">
      <c r="G841" s="4"/>
    </row>
    <row r="842" spans="7:7">
      <c r="G842" s="4"/>
    </row>
    <row r="843" spans="7:7">
      <c r="G843" s="4"/>
    </row>
    <row r="844" spans="7:7">
      <c r="G844" s="4"/>
    </row>
    <row r="845" spans="7:7">
      <c r="G845" s="4"/>
    </row>
    <row r="846" spans="7:7">
      <c r="G846" s="4"/>
    </row>
    <row r="847" spans="7:7">
      <c r="G847" s="4"/>
    </row>
    <row r="848" spans="7:7">
      <c r="G848" s="4"/>
    </row>
    <row r="849" spans="7:7">
      <c r="G849" s="4"/>
    </row>
    <row r="850" spans="7:7">
      <c r="G850" s="4"/>
    </row>
    <row r="851" spans="7:7">
      <c r="G851" s="4"/>
    </row>
    <row r="852" spans="7:7">
      <c r="G852" s="4"/>
    </row>
    <row r="853" spans="7:7">
      <c r="G853" s="4"/>
    </row>
    <row r="854" spans="7:7">
      <c r="G854" s="4"/>
    </row>
    <row r="855" spans="7:7">
      <c r="G855" s="4"/>
    </row>
    <row r="856" spans="7:7">
      <c r="G856" s="4"/>
    </row>
    <row r="857" spans="7:7">
      <c r="G857" s="4"/>
    </row>
    <row r="858" spans="7:7">
      <c r="G858" s="4"/>
    </row>
    <row r="859" spans="7:7">
      <c r="G859" s="4"/>
    </row>
    <row r="860" spans="7:7">
      <c r="G860" s="4"/>
    </row>
    <row r="861" spans="7:7">
      <c r="G861" s="4"/>
    </row>
    <row r="862" spans="7:7">
      <c r="G862" s="4"/>
    </row>
    <row r="863" spans="7:7">
      <c r="G863" s="4"/>
    </row>
    <row r="864" spans="7:7">
      <c r="G864" s="4"/>
    </row>
    <row r="865" spans="7:7">
      <c r="G865" s="4"/>
    </row>
    <row r="866" spans="7:7">
      <c r="G866" s="4"/>
    </row>
    <row r="867" spans="7:7">
      <c r="G867" s="4"/>
    </row>
    <row r="868" spans="7:7">
      <c r="G868" s="4"/>
    </row>
    <row r="869" spans="7:7">
      <c r="G869" s="4"/>
    </row>
    <row r="870" spans="7:7">
      <c r="G870" s="4"/>
    </row>
    <row r="871" spans="7:7">
      <c r="G871" s="4"/>
    </row>
    <row r="872" spans="7:7">
      <c r="G872" s="4"/>
    </row>
    <row r="873" spans="7:7">
      <c r="G873" s="4"/>
    </row>
    <row r="874" spans="7:7">
      <c r="G874" s="4"/>
    </row>
    <row r="875" spans="7:7">
      <c r="G875" s="4"/>
    </row>
    <row r="876" spans="7:7">
      <c r="G876" s="4"/>
    </row>
    <row r="877" spans="7:7">
      <c r="G877" s="4"/>
    </row>
    <row r="878" spans="7:7">
      <c r="G878" s="4"/>
    </row>
    <row r="879" spans="7:7">
      <c r="G879" s="4"/>
    </row>
    <row r="880" spans="7:7">
      <c r="G880" s="4"/>
    </row>
    <row r="881" spans="7:7">
      <c r="G881" s="4"/>
    </row>
    <row r="882" spans="7:7">
      <c r="G882" s="4"/>
    </row>
    <row r="883" spans="7:7">
      <c r="G883" s="4"/>
    </row>
    <row r="884" spans="7:7">
      <c r="G884" s="4"/>
    </row>
    <row r="885" spans="7:7">
      <c r="G885" s="4"/>
    </row>
    <row r="886" spans="7:7">
      <c r="G886" s="4"/>
    </row>
    <row r="887" spans="7:7">
      <c r="G887" s="4"/>
    </row>
    <row r="888" spans="7:7">
      <c r="G888" s="4"/>
    </row>
    <row r="889" spans="7:7">
      <c r="G889" s="4"/>
    </row>
    <row r="890" spans="7:7">
      <c r="G890" s="4"/>
    </row>
    <row r="891" spans="7:7">
      <c r="G891" s="4"/>
    </row>
    <row r="892" spans="7:7">
      <c r="G892" s="4"/>
    </row>
    <row r="893" spans="7:7">
      <c r="G893" s="4"/>
    </row>
    <row r="894" spans="7:7">
      <c r="G894" s="4"/>
    </row>
    <row r="895" spans="7:7">
      <c r="G895" s="4"/>
    </row>
    <row r="896" spans="7:7">
      <c r="G896" s="4"/>
    </row>
    <row r="897" spans="7:7">
      <c r="G897" s="4"/>
    </row>
    <row r="898" spans="7:7">
      <c r="G898" s="4"/>
    </row>
    <row r="899" spans="7:7">
      <c r="G899" s="4"/>
    </row>
    <row r="900" spans="7:7">
      <c r="G900" s="4"/>
    </row>
    <row r="901" spans="7:7">
      <c r="G901" s="4"/>
    </row>
    <row r="902" spans="7:7">
      <c r="G902" s="4"/>
    </row>
    <row r="903" spans="7:7">
      <c r="G903" s="4"/>
    </row>
    <row r="904" spans="7:7">
      <c r="G904" s="4"/>
    </row>
    <row r="905" spans="7:7">
      <c r="G905" s="4"/>
    </row>
    <row r="906" spans="7:7">
      <c r="G906" s="4"/>
    </row>
    <row r="907" spans="7:7">
      <c r="G907" s="4"/>
    </row>
    <row r="908" spans="7:7">
      <c r="G908" s="4"/>
    </row>
    <row r="909" spans="7:7">
      <c r="G909" s="4"/>
    </row>
    <row r="910" spans="7:7">
      <c r="G910" s="4"/>
    </row>
    <row r="911" spans="7:7">
      <c r="G911" s="4"/>
    </row>
    <row r="912" spans="7:7">
      <c r="G912" s="4"/>
    </row>
    <row r="913" spans="7:7">
      <c r="G913" s="4"/>
    </row>
    <row r="914" spans="7:7">
      <c r="G914" s="4"/>
    </row>
    <row r="915" spans="7:7">
      <c r="G915" s="4"/>
    </row>
    <row r="916" spans="7:7">
      <c r="G916" s="4"/>
    </row>
    <row r="917" spans="7:7">
      <c r="G917" s="4"/>
    </row>
    <row r="918" spans="7:7">
      <c r="G918" s="4"/>
    </row>
    <row r="919" spans="7:7">
      <c r="G919" s="4"/>
    </row>
    <row r="920" spans="7:7">
      <c r="G920" s="4"/>
    </row>
    <row r="921" spans="7:7">
      <c r="G921" s="4"/>
    </row>
    <row r="922" spans="7:7">
      <c r="G922" s="4"/>
    </row>
    <row r="923" spans="7:7">
      <c r="G923" s="4"/>
    </row>
    <row r="924" spans="7:7">
      <c r="G924" s="4"/>
    </row>
    <row r="925" spans="7:7">
      <c r="G925" s="4"/>
    </row>
    <row r="926" spans="7:7">
      <c r="G926" s="4"/>
    </row>
    <row r="927" spans="7:7">
      <c r="G927" s="4"/>
    </row>
    <row r="928" spans="7:7">
      <c r="G928" s="4"/>
    </row>
    <row r="929" spans="7:7">
      <c r="G929" s="4"/>
    </row>
    <row r="930" spans="7:7">
      <c r="G930" s="4"/>
    </row>
    <row r="931" spans="7:7">
      <c r="G931" s="4"/>
    </row>
    <row r="932" spans="7:7">
      <c r="G932" s="4"/>
    </row>
    <row r="933" spans="7:7">
      <c r="G933" s="4"/>
    </row>
    <row r="934" spans="7:7">
      <c r="G934" s="4"/>
    </row>
    <row r="935" spans="7:7">
      <c r="G935" s="4"/>
    </row>
    <row r="936" spans="7:7">
      <c r="G936" s="4"/>
    </row>
    <row r="937" spans="7:7">
      <c r="G937" s="4"/>
    </row>
    <row r="938" spans="7:7">
      <c r="G938" s="4"/>
    </row>
    <row r="939" spans="7:7">
      <c r="G939" s="4"/>
    </row>
    <row r="940" spans="7:7">
      <c r="G940" s="4"/>
    </row>
    <row r="941" spans="7:7">
      <c r="G941" s="4"/>
    </row>
    <row r="942" spans="7:7">
      <c r="G942" s="4"/>
    </row>
    <row r="943" spans="7:7">
      <c r="G943" s="4"/>
    </row>
    <row r="944" spans="7:7">
      <c r="G944" s="4"/>
    </row>
    <row r="945" spans="7:7">
      <c r="G945" s="4"/>
    </row>
    <row r="946" spans="7:7">
      <c r="G946" s="4"/>
    </row>
    <row r="947" spans="7:7">
      <c r="G947" s="4"/>
    </row>
    <row r="948" spans="7:7">
      <c r="G948" s="4"/>
    </row>
    <row r="949" spans="7:7">
      <c r="G949" s="4"/>
    </row>
    <row r="950" spans="7:7">
      <c r="G950" s="4"/>
    </row>
    <row r="951" spans="7:7">
      <c r="G951" s="4"/>
    </row>
    <row r="952" spans="7:7">
      <c r="G952" s="4"/>
    </row>
    <row r="953" spans="7:7">
      <c r="G953" s="4"/>
    </row>
    <row r="954" spans="7:7">
      <c r="G954" s="4"/>
    </row>
    <row r="955" spans="7:7">
      <c r="G955" s="4"/>
    </row>
    <row r="956" spans="7:7">
      <c r="G956" s="4"/>
    </row>
    <row r="957" spans="7:7">
      <c r="G957" s="4"/>
    </row>
    <row r="958" spans="7:7">
      <c r="G958" s="4"/>
    </row>
    <row r="959" spans="7:7">
      <c r="G959" s="4"/>
    </row>
    <row r="960" spans="7:7">
      <c r="G960" s="4"/>
    </row>
    <row r="961" spans="7:7">
      <c r="G961" s="4"/>
    </row>
    <row r="962" spans="7:7">
      <c r="G962" s="4"/>
    </row>
    <row r="963" spans="7:7">
      <c r="G963" s="4"/>
    </row>
    <row r="964" spans="7:7">
      <c r="G964" s="4"/>
    </row>
    <row r="965" spans="7:7">
      <c r="G965" s="4"/>
    </row>
    <row r="966" spans="7:7">
      <c r="G966" s="4"/>
    </row>
    <row r="967" spans="7:7">
      <c r="G967" s="4"/>
    </row>
    <row r="968" spans="7:7">
      <c r="G968" s="4"/>
    </row>
    <row r="969" spans="7:7">
      <c r="G969" s="4"/>
    </row>
    <row r="970" spans="7:7">
      <c r="G970" s="4"/>
    </row>
    <row r="971" spans="7:7">
      <c r="G971" s="4"/>
    </row>
    <row r="972" spans="7:7">
      <c r="G972" s="4"/>
    </row>
    <row r="973" spans="7:7">
      <c r="G973" s="4"/>
    </row>
    <row r="974" spans="7:7">
      <c r="G974" s="4"/>
    </row>
    <row r="975" spans="7:7">
      <c r="G975" s="4"/>
    </row>
    <row r="976" spans="7:7">
      <c r="G976" s="4"/>
    </row>
    <row r="977" spans="7:7">
      <c r="G977" s="4"/>
    </row>
    <row r="978" spans="7:7">
      <c r="G978" s="4"/>
    </row>
    <row r="979" spans="7:7">
      <c r="G979" s="4"/>
    </row>
    <row r="980" spans="7:7">
      <c r="G980" s="4"/>
    </row>
    <row r="981" spans="7:7">
      <c r="G981" s="4"/>
    </row>
    <row r="982" spans="7:7">
      <c r="G982" s="4"/>
    </row>
    <row r="983" spans="7:7">
      <c r="G983" s="4"/>
    </row>
    <row r="984" spans="7:7">
      <c r="G984" s="4"/>
    </row>
    <row r="985" spans="7:7">
      <c r="G985" s="4"/>
    </row>
    <row r="986" spans="7:7">
      <c r="G986" s="4"/>
    </row>
    <row r="987" spans="7:7">
      <c r="G987" s="4"/>
    </row>
    <row r="988" spans="7:7">
      <c r="G988" s="4"/>
    </row>
    <row r="989" spans="7:7">
      <c r="G989" s="4"/>
    </row>
    <row r="990" spans="7:7">
      <c r="G990" s="4"/>
    </row>
    <row r="991" spans="7:7">
      <c r="G991" s="4"/>
    </row>
    <row r="992" spans="7:7">
      <c r="G992" s="4"/>
    </row>
    <row r="993" spans="7:7">
      <c r="G993" s="4"/>
    </row>
    <row r="994" spans="7:7">
      <c r="G994" s="4"/>
    </row>
    <row r="995" spans="7:7">
      <c r="G995" s="4"/>
    </row>
    <row r="996" spans="7:7">
      <c r="G996" s="4"/>
    </row>
    <row r="997" spans="7:7">
      <c r="G997" s="4"/>
    </row>
    <row r="998" spans="7:7">
      <c r="G998" s="4"/>
    </row>
    <row r="999" spans="7:7">
      <c r="G999" s="4"/>
    </row>
    <row r="1000" spans="7:7">
      <c r="G1000" s="4"/>
    </row>
    <row r="1001" spans="7:7">
      <c r="G1001" s="4"/>
    </row>
    <row r="1002" spans="7:7">
      <c r="G1002" s="4"/>
    </row>
    <row r="1003" spans="7:7">
      <c r="G1003" s="4"/>
    </row>
    <row r="1004" spans="7:7">
      <c r="G1004" s="4"/>
    </row>
    <row r="1005" spans="7:7">
      <c r="G1005" s="4"/>
    </row>
    <row r="1006" spans="7:7">
      <c r="G1006" s="4"/>
    </row>
    <row r="1007" spans="7:7">
      <c r="G1007" s="4"/>
    </row>
    <row r="1008" spans="7:7">
      <c r="G1008" s="4"/>
    </row>
    <row r="1009" spans="7:7">
      <c r="G1009" s="4"/>
    </row>
    <row r="1010" spans="7:7">
      <c r="G1010" s="4"/>
    </row>
    <row r="1011" spans="7:7">
      <c r="G1011" s="4"/>
    </row>
    <row r="1012" spans="7:7">
      <c r="G1012" s="4"/>
    </row>
    <row r="1013" spans="7:7">
      <c r="G1013" s="4"/>
    </row>
    <row r="1014" spans="7:7">
      <c r="G1014" s="4"/>
    </row>
    <row r="1015" spans="7:7">
      <c r="G1015" s="4"/>
    </row>
    <row r="1016" spans="7:7">
      <c r="G1016" s="4"/>
    </row>
    <row r="1017" spans="7:7">
      <c r="G1017" s="4"/>
    </row>
    <row r="1018" spans="7:7">
      <c r="G1018" s="4"/>
    </row>
    <row r="1019" spans="7:7">
      <c r="G1019" s="4"/>
    </row>
    <row r="1020" spans="7:7">
      <c r="G1020" s="4"/>
    </row>
    <row r="1021" spans="7:7">
      <c r="G1021" s="4"/>
    </row>
    <row r="1022" spans="7:7">
      <c r="G1022" s="4"/>
    </row>
    <row r="1023" spans="7:7">
      <c r="G1023" s="4"/>
    </row>
    <row r="1024" spans="7:7">
      <c r="G1024" s="4"/>
    </row>
    <row r="1025" spans="7:7">
      <c r="G1025" s="4"/>
    </row>
    <row r="1026" spans="7:7">
      <c r="G1026" s="4"/>
    </row>
    <row r="1027" spans="7:7">
      <c r="G1027" s="4"/>
    </row>
    <row r="1028" spans="7:7">
      <c r="G1028" s="4"/>
    </row>
    <row r="1029" spans="7:7">
      <c r="G1029" s="4"/>
    </row>
    <row r="1030" spans="7:7">
      <c r="G1030" s="4"/>
    </row>
    <row r="1031" spans="7:7">
      <c r="G1031" s="4"/>
    </row>
    <row r="1032" spans="7:7">
      <c r="G1032" s="4"/>
    </row>
    <row r="1033" spans="7:7">
      <c r="G1033" s="4"/>
    </row>
    <row r="1034" spans="7:7">
      <c r="G1034" s="4"/>
    </row>
    <row r="1035" spans="7:7">
      <c r="G1035" s="4"/>
    </row>
    <row r="1036" spans="7:7">
      <c r="G1036" s="4"/>
    </row>
    <row r="1037" spans="7:7">
      <c r="G1037" s="4"/>
    </row>
    <row r="1038" spans="7:7">
      <c r="G1038" s="4"/>
    </row>
    <row r="1039" spans="7:7">
      <c r="G1039" s="4"/>
    </row>
    <row r="1040" spans="7:7">
      <c r="G1040" s="4"/>
    </row>
    <row r="1041" spans="7:7">
      <c r="G1041" s="4"/>
    </row>
    <row r="1042" spans="7:7">
      <c r="G1042" s="4"/>
    </row>
    <row r="1043" spans="7:7">
      <c r="G1043" s="4"/>
    </row>
    <row r="1044" spans="7:7">
      <c r="G1044" s="4"/>
    </row>
    <row r="1045" spans="7:7">
      <c r="G1045" s="4"/>
    </row>
    <row r="1046" spans="7:7">
      <c r="G1046" s="4"/>
    </row>
    <row r="1047" spans="7:7">
      <c r="G1047" s="4"/>
    </row>
    <row r="1048" spans="7:7">
      <c r="G1048" s="4"/>
    </row>
    <row r="1049" spans="7:7">
      <c r="G1049" s="4"/>
    </row>
    <row r="1050" spans="7:7">
      <c r="G1050" s="4"/>
    </row>
    <row r="1051" spans="7:7">
      <c r="G1051" s="4"/>
    </row>
    <row r="1052" spans="7:7">
      <c r="G1052" s="4"/>
    </row>
    <row r="1053" spans="7:7">
      <c r="G1053" s="4"/>
    </row>
    <row r="1054" spans="7:7">
      <c r="G1054" s="4"/>
    </row>
    <row r="1055" spans="7:7">
      <c r="G1055" s="4"/>
    </row>
    <row r="1056" spans="7:7">
      <c r="G1056" s="4"/>
    </row>
    <row r="1057" spans="7:7">
      <c r="G1057" s="4"/>
    </row>
    <row r="1058" spans="7:7">
      <c r="G1058" s="4"/>
    </row>
    <row r="1059" spans="7:7">
      <c r="G1059" s="4"/>
    </row>
    <row r="1060" spans="7:7">
      <c r="G1060" s="4"/>
    </row>
    <row r="1061" spans="7:7">
      <c r="G1061" s="4"/>
    </row>
    <row r="1062" spans="7:7">
      <c r="G1062" s="4"/>
    </row>
    <row r="1063" spans="7:7">
      <c r="G1063" s="4"/>
    </row>
    <row r="1064" spans="7:7">
      <c r="G1064" s="4"/>
    </row>
    <row r="1065" spans="7:7">
      <c r="G1065" s="4"/>
    </row>
    <row r="1066" spans="7:7">
      <c r="G1066" s="4"/>
    </row>
    <row r="1067" spans="7:7">
      <c r="G1067" s="4"/>
    </row>
    <row r="1068" spans="7:7">
      <c r="G1068" s="4"/>
    </row>
    <row r="1069" spans="7:7">
      <c r="G1069" s="4"/>
    </row>
    <row r="1070" spans="7:7">
      <c r="G1070" s="4"/>
    </row>
    <row r="1071" spans="7:7">
      <c r="G1071" s="4"/>
    </row>
    <row r="1072" spans="7:7">
      <c r="G1072" s="4"/>
    </row>
    <row r="1073" spans="7:7">
      <c r="G1073" s="4"/>
    </row>
    <row r="1074" spans="7:7">
      <c r="G1074" s="4"/>
    </row>
    <row r="1075" spans="7:7">
      <c r="G1075" s="4"/>
    </row>
    <row r="1076" spans="7:7">
      <c r="G1076" s="4"/>
    </row>
    <row r="1077" spans="7:7">
      <c r="G1077" s="4"/>
    </row>
    <row r="1078" spans="7:7">
      <c r="G1078" s="4"/>
    </row>
    <row r="1079" spans="7:7">
      <c r="G1079" s="4"/>
    </row>
    <row r="1080" spans="7:7">
      <c r="G1080" s="4"/>
    </row>
    <row r="1081" spans="7:7">
      <c r="G1081" s="4"/>
    </row>
    <row r="1082" spans="7:7">
      <c r="G1082" s="4"/>
    </row>
    <row r="1083" spans="7:7">
      <c r="G1083" s="4"/>
    </row>
    <row r="1084" spans="7:7">
      <c r="G1084" s="4"/>
    </row>
    <row r="1085" spans="7:7">
      <c r="G1085" s="4"/>
    </row>
    <row r="1086" spans="7:7">
      <c r="G1086" s="4"/>
    </row>
    <row r="1087" spans="7:7">
      <c r="G1087" s="4"/>
    </row>
    <row r="1088" spans="7:7">
      <c r="G1088" s="4"/>
    </row>
    <row r="1089" spans="7:7">
      <c r="G1089" s="4"/>
    </row>
    <row r="1090" spans="7:7">
      <c r="G1090" s="4"/>
    </row>
    <row r="1091" spans="7:7">
      <c r="G1091" s="4"/>
    </row>
    <row r="1092" spans="7:7">
      <c r="G1092" s="4"/>
    </row>
    <row r="1093" spans="7:7">
      <c r="G1093" s="4"/>
    </row>
    <row r="1094" spans="7:7">
      <c r="G1094" s="4"/>
    </row>
    <row r="1095" spans="7:7">
      <c r="G1095" s="4"/>
    </row>
    <row r="1096" spans="7:7">
      <c r="G1096" s="4"/>
    </row>
    <row r="1097" spans="7:7">
      <c r="G1097" s="4"/>
    </row>
    <row r="1098" spans="7:7">
      <c r="G1098" s="4"/>
    </row>
    <row r="1099" spans="7:7">
      <c r="G1099" s="4"/>
    </row>
    <row r="1100" spans="7:7">
      <c r="G1100" s="4"/>
    </row>
    <row r="1101" spans="7:7">
      <c r="G1101" s="4"/>
    </row>
    <row r="1102" spans="7:7">
      <c r="G1102" s="4"/>
    </row>
    <row r="1103" spans="7:7">
      <c r="G1103" s="4"/>
    </row>
    <row r="1104" spans="7:7">
      <c r="G1104" s="4"/>
    </row>
    <row r="1105" spans="7:7">
      <c r="G1105" s="4"/>
    </row>
    <row r="1106" spans="7:7">
      <c r="G1106" s="4"/>
    </row>
    <row r="1107" spans="7:7">
      <c r="G1107" s="4"/>
    </row>
    <row r="1108" spans="7:7">
      <c r="G1108" s="4"/>
    </row>
    <row r="1109" spans="7:7">
      <c r="G1109" s="4"/>
    </row>
    <row r="1110" spans="7:7">
      <c r="G1110" s="4"/>
    </row>
    <row r="1111" spans="7:7">
      <c r="G1111" s="4"/>
    </row>
    <row r="1112" spans="7:7">
      <c r="G1112" s="4"/>
    </row>
    <row r="1113" spans="7:7">
      <c r="G1113" s="4"/>
    </row>
    <row r="1114" spans="7:7">
      <c r="G1114" s="4"/>
    </row>
    <row r="1115" spans="7:7">
      <c r="G1115" s="4"/>
    </row>
    <row r="1116" spans="7:7">
      <c r="G1116" s="4"/>
    </row>
    <row r="1117" spans="7:7">
      <c r="G1117" s="4"/>
    </row>
    <row r="1118" spans="7:7">
      <c r="G1118" s="4"/>
    </row>
    <row r="1119" spans="7:7">
      <c r="G1119" s="4"/>
    </row>
    <row r="1120" spans="7:7">
      <c r="G1120" s="4"/>
    </row>
    <row r="1121" spans="7:7">
      <c r="G1121" s="4"/>
    </row>
    <row r="1122" spans="7:7">
      <c r="G1122" s="4"/>
    </row>
    <row r="1123" spans="7:7">
      <c r="G1123" s="4"/>
    </row>
    <row r="1124" spans="7:7">
      <c r="G1124" s="4"/>
    </row>
    <row r="1125" spans="7:7">
      <c r="G1125" s="4"/>
    </row>
    <row r="1126" spans="7:7">
      <c r="G1126" s="4"/>
    </row>
    <row r="1127" spans="7:7">
      <c r="G1127" s="4"/>
    </row>
    <row r="1128" spans="7:7">
      <c r="G1128" s="4"/>
    </row>
    <row r="1129" spans="7:7">
      <c r="G1129" s="4"/>
    </row>
    <row r="1130" spans="7:7">
      <c r="G1130" s="4"/>
    </row>
    <row r="1131" spans="7:7">
      <c r="G1131" s="4"/>
    </row>
    <row r="1132" spans="7:7">
      <c r="G1132" s="4"/>
    </row>
    <row r="1133" spans="7:7">
      <c r="G1133" s="4"/>
    </row>
    <row r="1134" spans="7:7">
      <c r="G1134" s="4"/>
    </row>
    <row r="1135" spans="7:7">
      <c r="G1135" s="4"/>
    </row>
    <row r="1136" spans="7:7">
      <c r="G1136" s="4"/>
    </row>
    <row r="1137" spans="7:7">
      <c r="G1137" s="4"/>
    </row>
    <row r="1138" spans="7:7">
      <c r="G1138" s="4"/>
    </row>
    <row r="1139" spans="7:7">
      <c r="G1139" s="4"/>
    </row>
    <row r="1140" spans="7:7">
      <c r="G1140" s="4"/>
    </row>
    <row r="1141" spans="7:7">
      <c r="G1141" s="4"/>
    </row>
    <row r="1142" spans="7:7">
      <c r="G1142" s="4"/>
    </row>
    <row r="1143" spans="7:7">
      <c r="G1143" s="4"/>
    </row>
    <row r="1144" spans="7:7">
      <c r="G1144" s="4"/>
    </row>
    <row r="1145" spans="7:7">
      <c r="G1145" s="4"/>
    </row>
    <row r="1146" spans="7:7">
      <c r="G1146" s="4"/>
    </row>
    <row r="1147" spans="7:7">
      <c r="G1147" s="4"/>
    </row>
    <row r="1148" spans="7:7">
      <c r="G1148" s="4"/>
    </row>
    <row r="1149" spans="7:7">
      <c r="G1149" s="4"/>
    </row>
    <row r="1150" spans="7:7">
      <c r="G1150" s="4"/>
    </row>
    <row r="1151" spans="7:7">
      <c r="G1151" s="4"/>
    </row>
    <row r="1152" spans="7:7">
      <c r="G1152" s="4"/>
    </row>
    <row r="1153" spans="7:7">
      <c r="G1153" s="4"/>
    </row>
    <row r="1154" spans="7:7">
      <c r="G1154" s="4"/>
    </row>
    <row r="1155" spans="7:7">
      <c r="G1155" s="4"/>
    </row>
    <row r="1156" spans="7:7">
      <c r="G1156" s="4"/>
    </row>
    <row r="1157" spans="7:7">
      <c r="G1157" s="4"/>
    </row>
    <row r="1158" spans="7:7">
      <c r="G1158" s="4"/>
    </row>
    <row r="1159" spans="7:7">
      <c r="G1159" s="4"/>
    </row>
    <row r="1160" spans="7:7">
      <c r="G1160" s="4"/>
    </row>
    <row r="1161" spans="7:7">
      <c r="G1161" s="4"/>
    </row>
    <row r="1162" spans="7:7">
      <c r="G1162" s="4"/>
    </row>
    <row r="1163" spans="7:7">
      <c r="G1163" s="4"/>
    </row>
    <row r="1164" spans="7:7">
      <c r="G1164" s="4"/>
    </row>
    <row r="1165" spans="7:7">
      <c r="G1165" s="4"/>
    </row>
    <row r="1166" spans="7:7">
      <c r="G1166" s="4"/>
    </row>
    <row r="1167" spans="7:7">
      <c r="G1167" s="4"/>
    </row>
    <row r="1168" spans="7:7">
      <c r="G1168" s="4"/>
    </row>
    <row r="1169" spans="7:7">
      <c r="G1169" s="4"/>
    </row>
    <row r="1170" spans="7:7">
      <c r="G1170" s="4"/>
    </row>
    <row r="1171" spans="7:7">
      <c r="G1171" s="4"/>
    </row>
    <row r="1172" spans="7:7">
      <c r="G1172" s="4"/>
    </row>
    <row r="1173" spans="7:7">
      <c r="G1173" s="4"/>
    </row>
    <row r="1174" spans="7:7">
      <c r="G1174" s="4"/>
    </row>
    <row r="1175" spans="7:7">
      <c r="G1175" s="4"/>
    </row>
    <row r="1176" spans="7:7">
      <c r="G1176" s="4"/>
    </row>
    <row r="1177" spans="7:7">
      <c r="G1177" s="4"/>
    </row>
    <row r="1178" spans="7:7">
      <c r="G1178" s="4"/>
    </row>
    <row r="1179" spans="7:7">
      <c r="G1179" s="4"/>
    </row>
    <row r="1180" spans="7:7">
      <c r="G1180" s="4"/>
    </row>
    <row r="1181" spans="7:7">
      <c r="G1181" s="4"/>
    </row>
    <row r="1182" spans="7:7">
      <c r="G1182" s="4"/>
    </row>
    <row r="1183" spans="7:7">
      <c r="G1183" s="4"/>
    </row>
    <row r="1184" spans="7:7">
      <c r="G1184" s="4"/>
    </row>
    <row r="1185" spans="7:7">
      <c r="G1185" s="4"/>
    </row>
    <row r="1186" spans="7:7">
      <c r="G1186" s="4"/>
    </row>
    <row r="1187" spans="7:7">
      <c r="G1187" s="4"/>
    </row>
    <row r="1188" spans="7:7">
      <c r="G1188" s="4"/>
    </row>
    <row r="1189" spans="7:7">
      <c r="G1189" s="4"/>
    </row>
    <row r="1190" spans="7:7">
      <c r="G1190" s="4"/>
    </row>
    <row r="1191" spans="7:7">
      <c r="G1191" s="4"/>
    </row>
    <row r="1192" spans="7:7">
      <c r="G1192" s="4"/>
    </row>
    <row r="1193" spans="7:7">
      <c r="G1193" s="4"/>
    </row>
    <row r="1194" spans="7:7">
      <c r="G1194" s="4"/>
    </row>
    <row r="1195" spans="7:7">
      <c r="G1195" s="4"/>
    </row>
    <row r="1196" spans="7:7">
      <c r="G1196" s="4"/>
    </row>
    <row r="1197" spans="7:7">
      <c r="G1197" s="4"/>
    </row>
    <row r="1198" spans="7:7">
      <c r="G1198" s="4"/>
    </row>
    <row r="1199" spans="7:7">
      <c r="G1199" s="4"/>
    </row>
    <row r="1200" spans="7:7">
      <c r="G1200" s="4"/>
    </row>
    <row r="1201" spans="7:7">
      <c r="G1201" s="4"/>
    </row>
    <row r="1202" spans="7:7">
      <c r="G1202" s="4"/>
    </row>
    <row r="1203" spans="7:7">
      <c r="G1203" s="4"/>
    </row>
    <row r="1204" spans="7:7">
      <c r="G1204" s="4"/>
    </row>
    <row r="1205" spans="7:7">
      <c r="G1205" s="4"/>
    </row>
    <row r="1206" spans="7:7">
      <c r="G1206" s="4"/>
    </row>
    <row r="1207" spans="7:7">
      <c r="G1207" s="4"/>
    </row>
    <row r="1208" spans="7:7">
      <c r="G1208" s="4"/>
    </row>
    <row r="1209" spans="7:7">
      <c r="G1209" s="4"/>
    </row>
    <row r="1210" spans="7:7">
      <c r="G1210" s="4"/>
    </row>
    <row r="1211" spans="7:7">
      <c r="G1211" s="4"/>
    </row>
    <row r="1212" spans="7:7">
      <c r="G1212" s="4"/>
    </row>
    <row r="1213" spans="7:7">
      <c r="G1213" s="4"/>
    </row>
    <row r="1214" spans="7:7">
      <c r="G1214" s="4"/>
    </row>
    <row r="1215" spans="7:7">
      <c r="G1215" s="4"/>
    </row>
    <row r="1216" spans="7:7">
      <c r="G1216" s="4"/>
    </row>
    <row r="1217" spans="7:7">
      <c r="G1217" s="4"/>
    </row>
    <row r="1218" spans="7:7">
      <c r="G1218" s="4"/>
    </row>
    <row r="1219" spans="7:7">
      <c r="G1219" s="4"/>
    </row>
    <row r="1220" spans="7:7">
      <c r="G1220" s="4"/>
    </row>
    <row r="1221" spans="7:7">
      <c r="G1221" s="4"/>
    </row>
    <row r="1222" spans="7:7">
      <c r="G1222" s="4"/>
    </row>
    <row r="1223" spans="7:7">
      <c r="G1223" s="4"/>
    </row>
    <row r="1224" spans="7:7">
      <c r="G1224" s="4"/>
    </row>
    <row r="1225" spans="7:7">
      <c r="G1225" s="4"/>
    </row>
    <row r="1226" spans="7:7">
      <c r="G1226" s="4"/>
    </row>
    <row r="1227" spans="7:7">
      <c r="G1227" s="4"/>
    </row>
    <row r="1228" spans="7:7">
      <c r="G1228" s="4"/>
    </row>
    <row r="1229" spans="7:7">
      <c r="G1229" s="4"/>
    </row>
    <row r="1230" spans="7:7">
      <c r="G1230" s="4"/>
    </row>
    <row r="1231" spans="7:7">
      <c r="G1231" s="4"/>
    </row>
    <row r="1232" spans="7:7">
      <c r="G1232" s="4"/>
    </row>
    <row r="1233" spans="7:7">
      <c r="G1233" s="4"/>
    </row>
    <row r="1234" spans="7:7">
      <c r="G1234" s="4"/>
    </row>
    <row r="1235" spans="7:7">
      <c r="G1235" s="4"/>
    </row>
    <row r="1236" spans="7:7">
      <c r="G1236" s="4"/>
    </row>
    <row r="1237" spans="7:7">
      <c r="G1237" s="4"/>
    </row>
    <row r="1238" spans="7:7">
      <c r="G1238" s="4"/>
    </row>
    <row r="1239" spans="7:7">
      <c r="G1239" s="4"/>
    </row>
    <row r="1240" spans="7:7">
      <c r="G1240" s="4"/>
    </row>
    <row r="1241" spans="7:7">
      <c r="G1241" s="4"/>
    </row>
    <row r="1242" spans="7:7">
      <c r="G1242" s="4"/>
    </row>
    <row r="1243" spans="7:7">
      <c r="G1243" s="4"/>
    </row>
    <row r="1244" spans="7:7">
      <c r="G1244" s="4"/>
    </row>
    <row r="1245" spans="7:7">
      <c r="G1245" s="4"/>
    </row>
    <row r="1246" spans="7:7">
      <c r="G1246" s="4"/>
    </row>
    <row r="1247" spans="7:7">
      <c r="G1247" s="4"/>
    </row>
    <row r="1248" spans="7:7">
      <c r="G1248" s="4"/>
    </row>
    <row r="1249" spans="7:7">
      <c r="G1249" s="4"/>
    </row>
    <row r="1250" spans="7:7">
      <c r="G1250" s="4"/>
    </row>
    <row r="1251" spans="7:7">
      <c r="G1251" s="4"/>
    </row>
    <row r="1252" spans="7:7">
      <c r="G1252" s="4"/>
    </row>
    <row r="1253" spans="7:7">
      <c r="G1253" s="4"/>
    </row>
    <row r="1254" spans="7:7">
      <c r="G1254" s="4"/>
    </row>
    <row r="1255" spans="7:7">
      <c r="G1255" s="4"/>
    </row>
    <row r="1256" spans="7:7">
      <c r="G1256" s="4"/>
    </row>
    <row r="1257" spans="7:7">
      <c r="G1257" s="4"/>
    </row>
    <row r="1258" spans="7:7">
      <c r="G1258" s="4"/>
    </row>
    <row r="1259" spans="7:7">
      <c r="G1259" s="4"/>
    </row>
    <row r="1260" spans="7:7">
      <c r="G1260" s="4"/>
    </row>
    <row r="1261" spans="7:7">
      <c r="G1261" s="4"/>
    </row>
    <row r="1262" spans="7:7">
      <c r="G1262" s="4"/>
    </row>
    <row r="1263" spans="7:7">
      <c r="G1263" s="4"/>
    </row>
    <row r="1264" spans="7:7">
      <c r="G1264" s="4"/>
    </row>
    <row r="1265" spans="7:7">
      <c r="G1265" s="4"/>
    </row>
    <row r="1266" spans="7:7">
      <c r="G1266" s="4"/>
    </row>
    <row r="1267" spans="7:7">
      <c r="G1267" s="4"/>
    </row>
    <row r="1268" spans="7:7">
      <c r="G1268" s="4"/>
    </row>
    <row r="1269" spans="7:7">
      <c r="G1269" s="4"/>
    </row>
    <row r="1270" spans="7:7">
      <c r="G1270" s="4"/>
    </row>
    <row r="1271" spans="7:7">
      <c r="G1271" s="4"/>
    </row>
    <row r="1272" spans="7:7">
      <c r="G1272" s="4"/>
    </row>
    <row r="1273" spans="7:7">
      <c r="G1273" s="4"/>
    </row>
    <row r="1274" spans="7:7">
      <c r="G1274" s="4"/>
    </row>
    <row r="1275" spans="7:7">
      <c r="G1275" s="4"/>
    </row>
    <row r="1276" spans="7:7">
      <c r="G1276" s="4"/>
    </row>
    <row r="1277" spans="7:7">
      <c r="G1277" s="4"/>
    </row>
    <row r="1278" spans="7:7">
      <c r="G1278" s="4"/>
    </row>
    <row r="1279" spans="7:7">
      <c r="G1279" s="4"/>
    </row>
    <row r="1280" spans="7:7">
      <c r="G1280" s="4"/>
    </row>
  </sheetData>
  <phoneticPr fontId="5" type="noConversion"/>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Sheet2"/>
  <dimension ref="B1:AP227"/>
  <sheetViews>
    <sheetView workbookViewId="0">
      <selection activeCell="I7" sqref="I7"/>
    </sheetView>
  </sheetViews>
  <sheetFormatPr defaultRowHeight="12.75"/>
  <cols>
    <col min="13" max="13" width="12.42578125" bestFit="1" customWidth="1"/>
  </cols>
  <sheetData>
    <row r="1" spans="3:42">
      <c r="P1" t="s">
        <v>47</v>
      </c>
      <c r="Q1" s="1"/>
      <c r="R1" s="2"/>
      <c r="S1" s="1"/>
      <c r="T1" s="1"/>
      <c r="U1" s="2"/>
      <c r="V1" s="1"/>
      <c r="W1" s="1"/>
      <c r="X1" s="2"/>
    </row>
    <row r="2" spans="3:42">
      <c r="Q2" t="s">
        <v>110</v>
      </c>
      <c r="R2">
        <v>0.5</v>
      </c>
      <c r="S2" t="s">
        <v>122</v>
      </c>
    </row>
    <row r="3" spans="3:42">
      <c r="Q3" t="s">
        <v>112</v>
      </c>
      <c r="R3">
        <f>(0.01*S6)*R2</f>
        <v>2.6358907024495846</v>
      </c>
      <c r="S3" t="s">
        <v>68</v>
      </c>
    </row>
    <row r="4" spans="3:42">
      <c r="C4" s="2"/>
      <c r="D4" s="1"/>
      <c r="E4" s="1"/>
      <c r="H4" s="1"/>
      <c r="I4" s="2"/>
      <c r="J4" s="1"/>
      <c r="K4" s="1"/>
      <c r="L4" s="2"/>
      <c r="Q4" t="s">
        <v>113</v>
      </c>
      <c r="R4">
        <f>T9*3.142*R3^2</f>
        <v>4.8197732942390843</v>
      </c>
      <c r="S4" t="s">
        <v>114</v>
      </c>
      <c r="Y4" s="2"/>
      <c r="AJ4" s="1"/>
      <c r="AK4" s="2"/>
      <c r="AL4" s="1"/>
      <c r="AM4" s="1"/>
      <c r="AN4" s="2"/>
      <c r="AO4" s="1"/>
      <c r="AP4" s="1"/>
    </row>
    <row r="5" spans="3:42">
      <c r="Q5" t="s">
        <v>48</v>
      </c>
      <c r="R5" s="2">
        <v>0.99</v>
      </c>
      <c r="S5" t="s">
        <v>49</v>
      </c>
    </row>
    <row r="6" spans="3:42">
      <c r="Q6" s="2" t="s">
        <v>50</v>
      </c>
      <c r="R6" s="1">
        <v>5</v>
      </c>
      <c r="S6">
        <f>LN(0.005)/LN(R5)</f>
        <v>527.17814048991693</v>
      </c>
      <c r="T6" t="s">
        <v>115</v>
      </c>
      <c r="AC6" t="s">
        <v>57</v>
      </c>
      <c r="AD6">
        <v>2</v>
      </c>
      <c r="AE6" t="s">
        <v>127</v>
      </c>
      <c r="AF6">
        <v>2.1</v>
      </c>
    </row>
    <row r="7" spans="3:42">
      <c r="R7" t="s">
        <v>52</v>
      </c>
      <c r="S7" t="s">
        <v>53</v>
      </c>
      <c r="T7" t="s">
        <v>111</v>
      </c>
      <c r="U7" t="s">
        <v>116</v>
      </c>
      <c r="V7" t="s">
        <v>117</v>
      </c>
      <c r="W7" t="s">
        <v>118</v>
      </c>
      <c r="X7" t="s">
        <v>119</v>
      </c>
      <c r="AC7" t="s">
        <v>58</v>
      </c>
      <c r="AD7">
        <v>3</v>
      </c>
      <c r="AE7" t="s">
        <v>128</v>
      </c>
      <c r="AF7">
        <v>3.1</v>
      </c>
    </row>
    <row r="8" spans="3:42">
      <c r="D8" s="2"/>
      <c r="I8" s="1"/>
      <c r="Q8" t="s">
        <v>51</v>
      </c>
    </row>
    <row r="9" spans="3:42">
      <c r="C9" s="2"/>
      <c r="D9" s="1"/>
      <c r="Q9">
        <v>1</v>
      </c>
      <c r="R9">
        <f>0.01*LN(1-Q9*0.995/$R$6)/LN($R$5)</f>
        <v>0.22078300183020436</v>
      </c>
      <c r="S9">
        <f>0.995/$R$6</f>
        <v>0.19900000000000001</v>
      </c>
      <c r="T9">
        <f>(R9-R8)</f>
        <v>0.22078300183020436</v>
      </c>
      <c r="U9">
        <f>SQRT($R$4/(T9*3.142))</f>
        <v>2.6358907024495846</v>
      </c>
      <c r="V9">
        <f>0.01*LN(1-Q9*0.995/($R$6*2))/LN($R$5)</f>
        <v>0.10428021102360785</v>
      </c>
      <c r="W9">
        <f>U9+V9</f>
        <v>2.7401709134731922</v>
      </c>
      <c r="X9">
        <f>W9/$W$9</f>
        <v>1</v>
      </c>
      <c r="AC9" t="s">
        <v>97</v>
      </c>
      <c r="AI9" t="s">
        <v>98</v>
      </c>
      <c r="AJ9" t="s">
        <v>129</v>
      </c>
    </row>
    <row r="10" spans="3:42">
      <c r="J10" t="s">
        <v>100</v>
      </c>
      <c r="K10">
        <v>16</v>
      </c>
      <c r="Q10">
        <v>2</v>
      </c>
      <c r="R10">
        <f>0.01*LN(1-Q10*0.995/$R$6)/LN($R$5)</f>
        <v>0.50495609407571007</v>
      </c>
      <c r="S10">
        <f>0.995/$R$6</f>
        <v>0.19900000000000001</v>
      </c>
      <c r="T10">
        <f>(R10-R9)</f>
        <v>0.28417309224550569</v>
      </c>
      <c r="U10">
        <f>SQRT($R$4/(T10*3.142))</f>
        <v>2.3233719326597133</v>
      </c>
      <c r="V10">
        <f>0.01*LN(1-3*0.995/($R$6*2))/LN($R$5)</f>
        <v>0.3527587382227676</v>
      </c>
      <c r="W10">
        <f>U10+V10</f>
        <v>2.6761306708824808</v>
      </c>
      <c r="X10">
        <f>W10/$W$9</f>
        <v>0.97662910649995194</v>
      </c>
      <c r="AC10">
        <v>0</v>
      </c>
      <c r="AD10">
        <f>EXP(-((AC10/$AD$6)^$AD$7))</f>
        <v>1</v>
      </c>
      <c r="AE10">
        <f>AC10^$AD$7/$AD$6</f>
        <v>0</v>
      </c>
      <c r="AF10">
        <f>EXP(-((AC10/$AF$6)^$AF$7))</f>
        <v>1</v>
      </c>
      <c r="AG10">
        <f>AC10^$AF$7/$AF$6</f>
        <v>0</v>
      </c>
      <c r="AH10">
        <f>AG10-AE10</f>
        <v>0</v>
      </c>
      <c r="AI10">
        <f>AC10^$AD$7/$AD$6</f>
        <v>0</v>
      </c>
      <c r="AJ10" t="e">
        <f>AC10^$AF$7/AI10</f>
        <v>#DIV/0!</v>
      </c>
    </row>
    <row r="11" spans="3:42">
      <c r="I11" t="s">
        <v>97</v>
      </c>
      <c r="J11" t="s">
        <v>98</v>
      </c>
      <c r="K11" t="s">
        <v>99</v>
      </c>
      <c r="Q11">
        <v>3</v>
      </c>
      <c r="R11">
        <f>0.01*LN(1-Q11*0.995/$R$6)/LN($R$5)</f>
        <v>0.90426701185197644</v>
      </c>
      <c r="S11">
        <f>0.995/$R$6</f>
        <v>0.19900000000000001</v>
      </c>
      <c r="T11">
        <f>(R11-R10)</f>
        <v>0.39931091777626637</v>
      </c>
      <c r="U11">
        <f>SQRT($R$4/(T11*3.142))</f>
        <v>1.9599934626709306</v>
      </c>
      <c r="V11">
        <f>0.01*LN(1-5*0.995/($R$6*2))/LN($R$5)</f>
        <v>0.68471307733378606</v>
      </c>
      <c r="W11">
        <f>U11+V11</f>
        <v>2.6447065400047167</v>
      </c>
      <c r="X11">
        <f>W11/$W$9</f>
        <v>0.96516116093376325</v>
      </c>
      <c r="AC11">
        <f>AC10+0.1</f>
        <v>0.1</v>
      </c>
      <c r="AD11">
        <f t="shared" ref="AD11:AD74" si="0">EXP(-((AC11/$AD$6)^$AD$7))</f>
        <v>0.99987500781217453</v>
      </c>
      <c r="AE11">
        <f t="shared" ref="AE11:AE74" si="1">AC11^$AD$7/$AD$6</f>
        <v>5.0000000000000012E-4</v>
      </c>
      <c r="AF11">
        <f t="shared" ref="AF11:AF74" si="2">EXP(-((AC11/$AF$6)^$AF$7))</f>
        <v>0.99992036520007499</v>
      </c>
      <c r="AG11">
        <f t="shared" ref="AG11:AG74" si="3">AC11^$AF$7/$AF$6</f>
        <v>3.7825154034489607E-4</v>
      </c>
      <c r="AH11">
        <f t="shared" ref="AH11:AH74" si="4">AG11-AE11</f>
        <v>-1.2174845965510405E-4</v>
      </c>
      <c r="AI11">
        <f t="shared" ref="AI11:AI28" si="5">AC11^$AD$7/$AD$6</f>
        <v>5.0000000000000012E-4</v>
      </c>
      <c r="AJ11">
        <f t="shared" ref="AJ11:AJ28" si="6">AC11^$AF$7/AI11</f>
        <v>1.5886564694485632</v>
      </c>
    </row>
    <row r="12" spans="3:42">
      <c r="H12">
        <f>LN(J12)</f>
        <v>0</v>
      </c>
      <c r="I12">
        <v>0</v>
      </c>
      <c r="J12">
        <f>EXP(-((I12/$C$26)^$C$27))</f>
        <v>1</v>
      </c>
      <c r="K12">
        <f>J12*$K$10</f>
        <v>16</v>
      </c>
      <c r="L12" t="s">
        <v>126</v>
      </c>
      <c r="Q12">
        <v>4</v>
      </c>
      <c r="R12">
        <f>0.01*LN(1-Q12*0.995/$R$6)/LN($R$5)</f>
        <v>1.5816737950942263</v>
      </c>
      <c r="S12">
        <f>0.995/$R$6</f>
        <v>0.19900000000000001</v>
      </c>
      <c r="T12">
        <f>(R12-R11)</f>
        <v>0.6774067832422499</v>
      </c>
      <c r="U12">
        <f>SQRT($R$4/(T12*3.142))</f>
        <v>1.5048230836045622</v>
      </c>
      <c r="V12">
        <f>0.01*LN(1-7*0.995/($R$6*2))/LN($R$5)</f>
        <v>1.1864018136937895</v>
      </c>
      <c r="W12">
        <f>U12+V12</f>
        <v>2.6912248972983517</v>
      </c>
      <c r="X12">
        <f>W12/$W$9</f>
        <v>0.98213760465298827</v>
      </c>
      <c r="AC12">
        <f t="shared" ref="AC12:AC75" si="7">AC11+0.1</f>
        <v>0.2</v>
      </c>
      <c r="AD12">
        <f t="shared" si="0"/>
        <v>0.99900049983337502</v>
      </c>
      <c r="AE12">
        <f t="shared" si="1"/>
        <v>4.000000000000001E-3</v>
      </c>
      <c r="AF12">
        <f t="shared" si="2"/>
        <v>0.9993174021650284</v>
      </c>
      <c r="AG12">
        <f t="shared" si="3"/>
        <v>3.2431997048410861E-3</v>
      </c>
      <c r="AH12">
        <f t="shared" si="4"/>
        <v>-7.5680029515891485E-4</v>
      </c>
      <c r="AI12">
        <f t="shared" si="5"/>
        <v>4.000000000000001E-3</v>
      </c>
      <c r="AJ12">
        <f t="shared" si="6"/>
        <v>1.7026798450415699</v>
      </c>
    </row>
    <row r="13" spans="3:42">
      <c r="G13">
        <f>-((I13/C26)^C27)</f>
        <v>-0.05</v>
      </c>
      <c r="H13">
        <f>LN(J13)</f>
        <v>-4.9999999999999996E-2</v>
      </c>
      <c r="I13">
        <f>I12+0.1</f>
        <v>0.1</v>
      </c>
      <c r="J13">
        <f t="shared" ref="J13:J76" si="8">EXP(-((I13/$C$26)^$C$27))</f>
        <v>0.95122942450071402</v>
      </c>
      <c r="K13">
        <f t="shared" ref="K13:K76" si="9">J13*$K$10</f>
        <v>15.219670792011424</v>
      </c>
      <c r="L13">
        <f t="shared" ref="L13:L44" si="10">(J12-J13)*(I12+I13)/2</f>
        <v>2.4385287749642995E-3</v>
      </c>
      <c r="Q13">
        <v>5</v>
      </c>
      <c r="R13">
        <f>0.01*LN(1-Q13*0.995/$R$6)/LN($R$5)</f>
        <v>5.271781404899146</v>
      </c>
      <c r="S13">
        <f>0.995/$R$6</f>
        <v>0.19900000000000001</v>
      </c>
      <c r="T13">
        <f>(R13-R12)</f>
        <v>3.6901076098049197</v>
      </c>
      <c r="U13">
        <f>SQRT($R$4/(T13*3.142))</f>
        <v>0.644749033197483</v>
      </c>
      <c r="V13">
        <f>0.01*LN(1-9*0.995/($R$6*2))/LN($R$5)</f>
        <v>2.2472564504303656</v>
      </c>
      <c r="W13">
        <f>U13+V13</f>
        <v>2.8920054836278486</v>
      </c>
      <c r="X13">
        <f>W13/$W$9</f>
        <v>1.0554106203405409</v>
      </c>
      <c r="AC13">
        <f t="shared" si="7"/>
        <v>0.30000000000000004</v>
      </c>
      <c r="AD13">
        <f t="shared" si="0"/>
        <v>0.99663068891067585</v>
      </c>
      <c r="AE13">
        <f t="shared" si="1"/>
        <v>1.3500000000000005E-2</v>
      </c>
      <c r="AF13">
        <f t="shared" si="2"/>
        <v>0.99760296130408865</v>
      </c>
      <c r="AG13">
        <f t="shared" si="3"/>
        <v>1.1398733364409887E-2</v>
      </c>
      <c r="AH13">
        <f t="shared" si="4"/>
        <v>-2.1012666355901179E-3</v>
      </c>
      <c r="AI13">
        <f t="shared" si="5"/>
        <v>1.3500000000000005E-2</v>
      </c>
      <c r="AJ13">
        <f t="shared" si="6"/>
        <v>1.7731363011304262</v>
      </c>
    </row>
    <row r="14" spans="3:42">
      <c r="H14">
        <f>LN(J14)</f>
        <v>-0.10000000000000006</v>
      </c>
      <c r="I14">
        <f t="shared" ref="I14:I77" si="11">I13+0.1</f>
        <v>0.2</v>
      </c>
      <c r="J14">
        <f t="shared" si="8"/>
        <v>0.90483741803595952</v>
      </c>
      <c r="K14">
        <f t="shared" si="9"/>
        <v>14.477398688575352</v>
      </c>
      <c r="L14">
        <f t="shared" si="10"/>
        <v>6.9588009697131754E-3</v>
      </c>
      <c r="AC14">
        <f t="shared" si="7"/>
        <v>0.4</v>
      </c>
      <c r="AD14">
        <f t="shared" si="0"/>
        <v>0.99203191483706066</v>
      </c>
      <c r="AE14">
        <f t="shared" si="1"/>
        <v>3.2000000000000008E-2</v>
      </c>
      <c r="AF14">
        <f t="shared" si="2"/>
        <v>0.99416238507859589</v>
      </c>
      <c r="AG14">
        <f t="shared" si="3"/>
        <v>2.7807803018833701E-2</v>
      </c>
      <c r="AH14">
        <f t="shared" si="4"/>
        <v>-4.1921969811663067E-3</v>
      </c>
      <c r="AI14">
        <f t="shared" si="5"/>
        <v>3.2000000000000008E-2</v>
      </c>
      <c r="AJ14">
        <f t="shared" si="6"/>
        <v>1.8248870731109612</v>
      </c>
    </row>
    <row r="15" spans="3:42">
      <c r="I15">
        <f t="shared" si="11"/>
        <v>0.30000000000000004</v>
      </c>
      <c r="J15">
        <f t="shared" si="8"/>
        <v>0.86070797642505781</v>
      </c>
      <c r="K15">
        <f t="shared" si="9"/>
        <v>13.771327622800925</v>
      </c>
      <c r="L15">
        <f t="shared" si="10"/>
        <v>1.1032360402725427E-2</v>
      </c>
      <c r="AC15">
        <f t="shared" si="7"/>
        <v>0.5</v>
      </c>
      <c r="AD15">
        <f t="shared" si="0"/>
        <v>0.98449643700540845</v>
      </c>
      <c r="AE15">
        <f t="shared" si="1"/>
        <v>6.25E-2</v>
      </c>
      <c r="AF15">
        <f t="shared" si="2"/>
        <v>0.98837506417869947</v>
      </c>
      <c r="AG15">
        <f t="shared" si="3"/>
        <v>5.5537678067667115E-2</v>
      </c>
      <c r="AH15">
        <f t="shared" si="4"/>
        <v>-6.962321932332885E-3</v>
      </c>
      <c r="AI15">
        <f t="shared" si="5"/>
        <v>6.25E-2</v>
      </c>
      <c r="AJ15">
        <f t="shared" si="6"/>
        <v>1.866065983073615</v>
      </c>
    </row>
    <row r="16" spans="3:42">
      <c r="I16">
        <f t="shared" si="11"/>
        <v>0.4</v>
      </c>
      <c r="J16">
        <f t="shared" si="8"/>
        <v>0.81873075307798182</v>
      </c>
      <c r="K16">
        <f t="shared" si="9"/>
        <v>13.099692049247709</v>
      </c>
      <c r="L16">
        <f t="shared" si="10"/>
        <v>1.4692028171476596E-2</v>
      </c>
      <c r="AC16">
        <f t="shared" si="7"/>
        <v>0.6</v>
      </c>
      <c r="AD16">
        <f t="shared" si="0"/>
        <v>0.97336124152433678</v>
      </c>
      <c r="AE16">
        <f t="shared" si="1"/>
        <v>0.108</v>
      </c>
      <c r="AF16">
        <f t="shared" si="2"/>
        <v>0.97963293667030726</v>
      </c>
      <c r="AG16">
        <f t="shared" si="3"/>
        <v>9.7734879412012407E-2</v>
      </c>
      <c r="AH16">
        <f t="shared" si="4"/>
        <v>-1.0265120587987592E-2</v>
      </c>
      <c r="AI16">
        <f t="shared" si="5"/>
        <v>0.108</v>
      </c>
      <c r="AJ16">
        <f t="shared" si="6"/>
        <v>1.9004004330113524</v>
      </c>
    </row>
    <row r="17" spans="2:36">
      <c r="I17">
        <f t="shared" si="11"/>
        <v>0.5</v>
      </c>
      <c r="J17">
        <f t="shared" si="8"/>
        <v>0.77880078307140488</v>
      </c>
      <c r="K17">
        <f t="shared" si="9"/>
        <v>12.460812529142478</v>
      </c>
      <c r="L17">
        <f t="shared" si="10"/>
        <v>1.7968486502959624E-2</v>
      </c>
      <c r="AC17">
        <f t="shared" si="7"/>
        <v>0.7</v>
      </c>
      <c r="AD17">
        <f t="shared" si="0"/>
        <v>0.95803113647478366</v>
      </c>
      <c r="AE17">
        <f t="shared" si="1"/>
        <v>0.17149999999999996</v>
      </c>
      <c r="AF17">
        <f t="shared" si="2"/>
        <v>0.96736089067804876</v>
      </c>
      <c r="AG17">
        <f t="shared" si="3"/>
        <v>0.1576103122029035</v>
      </c>
      <c r="AH17">
        <f t="shared" si="4"/>
        <v>-1.3889687797096456E-2</v>
      </c>
      <c r="AI17">
        <f t="shared" si="5"/>
        <v>0.17149999999999996</v>
      </c>
      <c r="AJ17">
        <f t="shared" si="6"/>
        <v>1.9299221902396353</v>
      </c>
    </row>
    <row r="18" spans="2:36">
      <c r="I18">
        <f t="shared" si="11"/>
        <v>0.6</v>
      </c>
      <c r="J18">
        <f t="shared" si="8"/>
        <v>0.74081822068171788</v>
      </c>
      <c r="K18">
        <f t="shared" si="9"/>
        <v>11.853091530907486</v>
      </c>
      <c r="L18">
        <f t="shared" si="10"/>
        <v>2.0890409314327854E-2</v>
      </c>
      <c r="R18" s="1"/>
      <c r="AC18">
        <f t="shared" si="7"/>
        <v>0.79999999999999993</v>
      </c>
      <c r="AD18">
        <f t="shared" si="0"/>
        <v>0.93800499953072947</v>
      </c>
      <c r="AE18">
        <f t="shared" si="1"/>
        <v>0.25599999999999995</v>
      </c>
      <c r="AF18">
        <f t="shared" si="2"/>
        <v>0.95103970014445338</v>
      </c>
      <c r="AG18">
        <f t="shared" si="3"/>
        <v>0.23842932261618058</v>
      </c>
      <c r="AH18">
        <f t="shared" si="4"/>
        <v>-1.7570677383819372E-2</v>
      </c>
      <c r="AI18">
        <f t="shared" si="5"/>
        <v>0.25599999999999995</v>
      </c>
      <c r="AJ18">
        <f t="shared" si="6"/>
        <v>1.9558655370858569</v>
      </c>
    </row>
    <row r="19" spans="2:36">
      <c r="I19">
        <f t="shared" si="11"/>
        <v>0.7</v>
      </c>
      <c r="J19">
        <f t="shared" si="8"/>
        <v>0.70468808971871344</v>
      </c>
      <c r="K19">
        <f t="shared" si="9"/>
        <v>11.275009435499415</v>
      </c>
      <c r="L19">
        <f t="shared" si="10"/>
        <v>2.3484585125952879E-2</v>
      </c>
      <c r="R19" s="1"/>
      <c r="W19" s="1"/>
      <c r="AC19">
        <f t="shared" si="7"/>
        <v>0.89999999999999991</v>
      </c>
      <c r="AD19">
        <f t="shared" si="0"/>
        <v>0.91290359081805705</v>
      </c>
      <c r="AE19">
        <f t="shared" si="1"/>
        <v>0.36449999999999988</v>
      </c>
      <c r="AF19">
        <f t="shared" si="2"/>
        <v>0.93023107485845224</v>
      </c>
      <c r="AG19">
        <f t="shared" si="3"/>
        <v>0.34350454249158574</v>
      </c>
      <c r="AH19">
        <f t="shared" si="4"/>
        <v>-2.0995457508414139E-2</v>
      </c>
      <c r="AI19">
        <f t="shared" si="5"/>
        <v>0.36449999999999988</v>
      </c>
      <c r="AJ19">
        <f t="shared" si="6"/>
        <v>1.9790385164124289</v>
      </c>
    </row>
    <row r="20" spans="2:36">
      <c r="I20">
        <f t="shared" si="11"/>
        <v>0.79999999999999993</v>
      </c>
      <c r="J20">
        <f t="shared" si="8"/>
        <v>0.67032004603563933</v>
      </c>
      <c r="K20">
        <f t="shared" si="9"/>
        <v>10.725120736570229</v>
      </c>
      <c r="L20">
        <f t="shared" si="10"/>
        <v>2.5776032762305584E-2</v>
      </c>
      <c r="R20" s="1"/>
      <c r="AC20">
        <f t="shared" si="7"/>
        <v>0.99999999999999989</v>
      </c>
      <c r="AD20">
        <f t="shared" si="0"/>
        <v>0.88249690258459546</v>
      </c>
      <c r="AE20">
        <f t="shared" si="1"/>
        <v>0.49999999999999983</v>
      </c>
      <c r="AF20">
        <f t="shared" si="2"/>
        <v>0.90460376004394116</v>
      </c>
      <c r="AG20">
        <f t="shared" si="3"/>
        <v>0.476190476190476</v>
      </c>
      <c r="AH20">
        <f t="shared" si="4"/>
        <v>-2.3809523809523836E-2</v>
      </c>
      <c r="AI20">
        <f t="shared" si="5"/>
        <v>0.49999999999999983</v>
      </c>
      <c r="AJ20">
        <f t="shared" si="6"/>
        <v>2</v>
      </c>
    </row>
    <row r="21" spans="2:36">
      <c r="I21">
        <f t="shared" si="11"/>
        <v>0.89999999999999991</v>
      </c>
      <c r="J21">
        <f t="shared" si="8"/>
        <v>0.63762815162177333</v>
      </c>
      <c r="K21">
        <f t="shared" si="9"/>
        <v>10.202050425948373</v>
      </c>
      <c r="L21">
        <f t="shared" si="10"/>
        <v>2.7788110251786093E-2</v>
      </c>
      <c r="AC21">
        <f t="shared" si="7"/>
        <v>1.0999999999999999</v>
      </c>
      <c r="AD21">
        <f t="shared" si="0"/>
        <v>0.84672865140207298</v>
      </c>
      <c r="AE21">
        <f t="shared" si="1"/>
        <v>0.66549999999999976</v>
      </c>
      <c r="AF21">
        <f t="shared" si="2"/>
        <v>0.87395911261102288</v>
      </c>
      <c r="AG21">
        <f t="shared" si="3"/>
        <v>0.6398792531790648</v>
      </c>
      <c r="AH21">
        <f t="shared" si="4"/>
        <v>-2.5620746820934959E-2</v>
      </c>
      <c r="AI21">
        <f t="shared" si="5"/>
        <v>0.66549999999999976</v>
      </c>
      <c r="AJ21">
        <f t="shared" si="6"/>
        <v>2.019153165553774</v>
      </c>
    </row>
    <row r="22" spans="2:36">
      <c r="I22">
        <f t="shared" si="11"/>
        <v>0.99999999999999989</v>
      </c>
      <c r="J22">
        <f t="shared" si="8"/>
        <v>0.60653065971263342</v>
      </c>
      <c r="K22">
        <f t="shared" si="9"/>
        <v>9.7044905554021348</v>
      </c>
      <c r="L22">
        <f t="shared" si="10"/>
        <v>2.954261731368291E-2</v>
      </c>
      <c r="AC22">
        <f t="shared" si="7"/>
        <v>1.2</v>
      </c>
      <c r="AD22">
        <f t="shared" si="0"/>
        <v>0.80573530187347964</v>
      </c>
      <c r="AE22">
        <f t="shared" si="1"/>
        <v>0.86399999999999999</v>
      </c>
      <c r="AF22">
        <f t="shared" si="2"/>
        <v>0.83825418083765268</v>
      </c>
      <c r="AG22">
        <f t="shared" si="3"/>
        <v>0.8379972009438369</v>
      </c>
      <c r="AH22">
        <f t="shared" si="4"/>
        <v>-2.6002799056163095E-2</v>
      </c>
      <c r="AI22">
        <f t="shared" si="5"/>
        <v>0.86399999999999999</v>
      </c>
      <c r="AJ22">
        <f t="shared" si="6"/>
        <v>2.0367987522940481</v>
      </c>
    </row>
    <row r="23" spans="2:36">
      <c r="D23" s="2"/>
      <c r="E23" s="1"/>
      <c r="F23" s="1"/>
      <c r="I23">
        <f t="shared" si="11"/>
        <v>1.0999999999999999</v>
      </c>
      <c r="J23">
        <f t="shared" si="8"/>
        <v>0.57694981038048676</v>
      </c>
      <c r="K23">
        <f t="shared" si="9"/>
        <v>9.2311969660877882</v>
      </c>
      <c r="L23">
        <f t="shared" si="10"/>
        <v>3.1059891798753993E-2</v>
      </c>
      <c r="AC23">
        <f t="shared" si="7"/>
        <v>1.3</v>
      </c>
      <c r="AD23">
        <f t="shared" si="0"/>
        <v>0.75985701618526924</v>
      </c>
      <c r="AE23">
        <f t="shared" si="1"/>
        <v>1.0985000000000003</v>
      </c>
      <c r="AF23">
        <f t="shared" si="2"/>
        <v>0.79762005489740551</v>
      </c>
      <c r="AG23">
        <f t="shared" si="3"/>
        <v>1.0740020180835228</v>
      </c>
      <c r="AH23">
        <f t="shared" si="4"/>
        <v>-2.4497981916477451E-2</v>
      </c>
      <c r="AI23">
        <f t="shared" si="5"/>
        <v>1.0985000000000003</v>
      </c>
      <c r="AJ23">
        <f t="shared" si="6"/>
        <v>2.0531672626084636</v>
      </c>
    </row>
    <row r="24" spans="2:36">
      <c r="B24" t="s">
        <v>54</v>
      </c>
      <c r="I24">
        <f t="shared" si="11"/>
        <v>1.2</v>
      </c>
      <c r="J24">
        <f t="shared" si="8"/>
        <v>0.54881163609402639</v>
      </c>
      <c r="K24">
        <f t="shared" si="9"/>
        <v>8.7809861775044222</v>
      </c>
      <c r="L24">
        <f t="shared" si="10"/>
        <v>3.2358900429429426E-2</v>
      </c>
      <c r="AC24">
        <f t="shared" si="7"/>
        <v>1.4000000000000001</v>
      </c>
      <c r="AD24">
        <f t="shared" si="0"/>
        <v>0.70963821156020856</v>
      </c>
      <c r="AE24">
        <f t="shared" si="1"/>
        <v>1.3720000000000003</v>
      </c>
      <c r="AF24">
        <f t="shared" si="2"/>
        <v>0.75237318983657309</v>
      </c>
      <c r="AG24">
        <f t="shared" si="3"/>
        <v>1.351380400329057</v>
      </c>
      <c r="AH24">
        <f t="shared" si="4"/>
        <v>-2.0619599670943289E-2</v>
      </c>
      <c r="AI24">
        <f t="shared" si="5"/>
        <v>1.3720000000000003</v>
      </c>
      <c r="AJ24">
        <f t="shared" si="6"/>
        <v>2.0684393882587604</v>
      </c>
    </row>
    <row r="25" spans="2:36">
      <c r="B25" t="s">
        <v>55</v>
      </c>
      <c r="D25" t="s">
        <v>90</v>
      </c>
      <c r="E25" t="s">
        <v>56</v>
      </c>
      <c r="I25">
        <f t="shared" si="11"/>
        <v>1.3</v>
      </c>
      <c r="J25">
        <f t="shared" si="8"/>
        <v>0.52204577676101604</v>
      </c>
      <c r="K25">
        <f t="shared" si="9"/>
        <v>8.3527324281762567</v>
      </c>
      <c r="L25">
        <f t="shared" si="10"/>
        <v>3.3457324166262931E-2</v>
      </c>
      <c r="AC25">
        <f t="shared" si="7"/>
        <v>1.5000000000000002</v>
      </c>
      <c r="AD25">
        <f t="shared" si="0"/>
        <v>0.65581601127150135</v>
      </c>
      <c r="AE25">
        <f t="shared" si="1"/>
        <v>1.6875000000000009</v>
      </c>
      <c r="AF25">
        <f t="shared" si="2"/>
        <v>0.7030175818944544</v>
      </c>
      <c r="AG25">
        <f t="shared" si="3"/>
        <v>1.6736460171306606</v>
      </c>
      <c r="AH25">
        <f t="shared" si="4"/>
        <v>-1.3853982869340253E-2</v>
      </c>
      <c r="AI25">
        <f t="shared" si="5"/>
        <v>1.6875000000000009</v>
      </c>
      <c r="AJ25">
        <f t="shared" si="6"/>
        <v>2.0827594879848212</v>
      </c>
    </row>
    <row r="26" spans="2:36">
      <c r="B26" t="s">
        <v>57</v>
      </c>
      <c r="C26">
        <v>2</v>
      </c>
      <c r="I26">
        <f t="shared" si="11"/>
        <v>1.4000000000000001</v>
      </c>
      <c r="J26">
        <f t="shared" si="8"/>
        <v>0.49658530379140947</v>
      </c>
      <c r="K26">
        <f t="shared" si="9"/>
        <v>7.9453648606625515</v>
      </c>
      <c r="L26">
        <f t="shared" si="10"/>
        <v>3.4371638508968877E-2</v>
      </c>
      <c r="AC26">
        <f t="shared" si="7"/>
        <v>1.6000000000000003</v>
      </c>
      <c r="AD26">
        <f t="shared" si="0"/>
        <v>0.59929578784553827</v>
      </c>
      <c r="AE26">
        <f t="shared" si="1"/>
        <v>2.0480000000000009</v>
      </c>
      <c r="AF26">
        <f t="shared" si="2"/>
        <v>0.65023613843288963</v>
      </c>
      <c r="AG26">
        <f t="shared" si="3"/>
        <v>2.0443377653642165</v>
      </c>
      <c r="AH26">
        <f t="shared" si="4"/>
        <v>-3.6622346357844116E-3</v>
      </c>
      <c r="AI26">
        <f t="shared" si="5"/>
        <v>2.0480000000000009</v>
      </c>
      <c r="AJ26">
        <f t="shared" si="6"/>
        <v>2.0962447789379164</v>
      </c>
    </row>
    <row r="27" spans="2:36">
      <c r="B27" t="s">
        <v>58</v>
      </c>
      <c r="C27">
        <v>1</v>
      </c>
      <c r="E27" t="s">
        <v>59</v>
      </c>
      <c r="F27">
        <v>4</v>
      </c>
      <c r="G27" t="s">
        <v>57</v>
      </c>
      <c r="H27">
        <f>F28/(-LN(0.02))^(1/H28)</f>
        <v>4.3582126740554994</v>
      </c>
      <c r="I27">
        <f t="shared" si="11"/>
        <v>1.5000000000000002</v>
      </c>
      <c r="J27">
        <f t="shared" si="8"/>
        <v>0.47236655274101463</v>
      </c>
      <c r="K27">
        <f t="shared" si="9"/>
        <v>7.5578648438562341</v>
      </c>
      <c r="L27">
        <f t="shared" si="10"/>
        <v>3.5117189023072516E-2</v>
      </c>
      <c r="AC27">
        <f t="shared" si="7"/>
        <v>1.7000000000000004</v>
      </c>
      <c r="AD27">
        <f t="shared" si="0"/>
        <v>0.54111416311718241</v>
      </c>
      <c r="AE27">
        <f t="shared" si="1"/>
        <v>2.4565000000000019</v>
      </c>
      <c r="AF27">
        <f t="shared" si="2"/>
        <v>0.59487032584714505</v>
      </c>
      <c r="AG27">
        <f t="shared" si="3"/>
        <v>2.4670182460392716</v>
      </c>
      <c r="AH27">
        <f t="shared" si="4"/>
        <v>1.0518246039269652E-2</v>
      </c>
      <c r="AI27">
        <f t="shared" si="5"/>
        <v>2.4565000000000019</v>
      </c>
      <c r="AJ27">
        <f t="shared" si="6"/>
        <v>2.1089917837095324</v>
      </c>
    </row>
    <row r="28" spans="2:36">
      <c r="B28" t="s">
        <v>59</v>
      </c>
      <c r="C28">
        <f>$C$26*(-LN(0.5))^(1/$C$27)</f>
        <v>1.3862943611198906</v>
      </c>
      <c r="E28" t="s">
        <v>60</v>
      </c>
      <c r="F28">
        <v>6</v>
      </c>
      <c r="G28" t="s">
        <v>58</v>
      </c>
      <c r="H28">
        <f>1.73/(LN(F28/F27))</f>
        <v>4.2667049899112266</v>
      </c>
      <c r="I28">
        <f t="shared" si="11"/>
        <v>1.6000000000000003</v>
      </c>
      <c r="J28">
        <f t="shared" si="8"/>
        <v>0.44932896411722151</v>
      </c>
      <c r="K28">
        <f t="shared" si="9"/>
        <v>7.1892634258755441</v>
      </c>
      <c r="L28">
        <f t="shared" si="10"/>
        <v>3.5708262366879351E-2</v>
      </c>
      <c r="AC28">
        <f t="shared" si="7"/>
        <v>1.8000000000000005</v>
      </c>
      <c r="AD28">
        <f t="shared" si="0"/>
        <v>0.48239114011512568</v>
      </c>
      <c r="AE28">
        <f t="shared" si="1"/>
        <v>2.9160000000000021</v>
      </c>
      <c r="AF28">
        <f t="shared" si="2"/>
        <v>0.53788817220603569</v>
      </c>
      <c r="AG28">
        <f t="shared" si="3"/>
        <v>2.9452724232252199</v>
      </c>
      <c r="AH28">
        <f t="shared" si="4"/>
        <v>2.9272423225217725E-2</v>
      </c>
      <c r="AI28">
        <f t="shared" si="5"/>
        <v>2.9160000000000021</v>
      </c>
      <c r="AJ28">
        <f t="shared" si="6"/>
        <v>2.1210809632280374</v>
      </c>
    </row>
    <row r="29" spans="2:36">
      <c r="B29" t="s">
        <v>60</v>
      </c>
      <c r="C29">
        <f>$C$26*(-LN(0.02))^(1/$C$27)</f>
        <v>7.8240460108562919</v>
      </c>
      <c r="I29">
        <f t="shared" si="11"/>
        <v>1.7000000000000004</v>
      </c>
      <c r="J29">
        <f t="shared" si="8"/>
        <v>0.4274149319487266</v>
      </c>
      <c r="K29">
        <f t="shared" si="9"/>
        <v>6.8386389111796255</v>
      </c>
      <c r="L29">
        <f t="shared" si="10"/>
        <v>3.6158153078016612E-2</v>
      </c>
      <c r="AC29">
        <f t="shared" si="7"/>
        <v>1.9000000000000006</v>
      </c>
      <c r="AD29">
        <f t="shared" si="0"/>
        <v>0.42427434198596681</v>
      </c>
      <c r="AE29">
        <f t="shared" si="1"/>
        <v>3.4295000000000031</v>
      </c>
      <c r="AF29">
        <f t="shared" si="2"/>
        <v>0.48034185903624915</v>
      </c>
      <c r="AG29">
        <f t="shared" si="3"/>
        <v>3.4827064338591502</v>
      </c>
      <c r="AH29">
        <f t="shared" si="4"/>
        <v>5.320643385914714E-2</v>
      </c>
      <c r="AI29">
        <f t="shared" ref="AI29:AI74" si="12">AC29^$AD$7/$AD$6</f>
        <v>3.4295000000000031</v>
      </c>
      <c r="AJ29">
        <f t="shared" ref="AJ29:AJ74" si="13">AC29^$AF$7/AI29</f>
        <v>2.132580116957052</v>
      </c>
    </row>
    <row r="30" spans="2:36">
      <c r="B30" t="s">
        <v>125</v>
      </c>
      <c r="C30">
        <f>SUM(L13:L128)</f>
        <v>1.9592406433408935</v>
      </c>
      <c r="F30" t="s">
        <v>96</v>
      </c>
      <c r="I30">
        <f t="shared" si="11"/>
        <v>1.8000000000000005</v>
      </c>
      <c r="J30">
        <f t="shared" si="8"/>
        <v>0.406569659740599</v>
      </c>
      <c r="K30">
        <f t="shared" si="9"/>
        <v>6.505114555849584</v>
      </c>
      <c r="L30">
        <f t="shared" si="10"/>
        <v>3.6479226364223301E-2</v>
      </c>
      <c r="AC30">
        <f t="shared" si="7"/>
        <v>2.0000000000000004</v>
      </c>
      <c r="AD30">
        <f t="shared" si="0"/>
        <v>0.36787944117144206</v>
      </c>
      <c r="AE30">
        <f t="shared" si="1"/>
        <v>4.0000000000000027</v>
      </c>
      <c r="AF30">
        <f t="shared" si="2"/>
        <v>0.42331733267332222</v>
      </c>
      <c r="AG30">
        <f t="shared" si="3"/>
        <v>4.0829465239477862</v>
      </c>
      <c r="AH30">
        <f t="shared" si="4"/>
        <v>8.2946523947783568E-2</v>
      </c>
      <c r="AI30">
        <f t="shared" si="12"/>
        <v>4.0000000000000027</v>
      </c>
      <c r="AJ30">
        <f t="shared" si="13"/>
        <v>2.1435469250725867</v>
      </c>
    </row>
    <row r="31" spans="2:36">
      <c r="C31" s="11"/>
      <c r="I31">
        <f t="shared" si="11"/>
        <v>1.9000000000000006</v>
      </c>
      <c r="J31">
        <f t="shared" si="8"/>
        <v>0.38674102345450112</v>
      </c>
      <c r="K31">
        <f t="shared" si="9"/>
        <v>6.1878563752720179</v>
      </c>
      <c r="L31">
        <f t="shared" si="10"/>
        <v>3.6682977129281084E-2</v>
      </c>
      <c r="AC31">
        <f t="shared" si="7"/>
        <v>2.1000000000000005</v>
      </c>
      <c r="AD31">
        <f t="shared" si="0"/>
        <v>0.31423159539154699</v>
      </c>
      <c r="AE31">
        <f t="shared" si="1"/>
        <v>4.6305000000000032</v>
      </c>
      <c r="AF31">
        <f t="shared" si="2"/>
        <v>0.36787944117144206</v>
      </c>
      <c r="AG31">
        <f t="shared" si="3"/>
        <v>4.7496380917422449</v>
      </c>
      <c r="AH31">
        <f t="shared" si="4"/>
        <v>0.11913809174224177</v>
      </c>
      <c r="AI31">
        <f t="shared" si="12"/>
        <v>4.6305000000000032</v>
      </c>
      <c r="AJ31">
        <f t="shared" si="13"/>
        <v>2.1540308806087265</v>
      </c>
    </row>
    <row r="32" spans="2:36">
      <c r="I32">
        <f t="shared" si="11"/>
        <v>2.0000000000000004</v>
      </c>
      <c r="J32">
        <f t="shared" si="8"/>
        <v>0.36787944117144222</v>
      </c>
      <c r="K32">
        <f t="shared" si="9"/>
        <v>5.8860710587430756</v>
      </c>
      <c r="L32">
        <f t="shared" si="10"/>
        <v>3.6780085451964858E-2</v>
      </c>
      <c r="AC32">
        <f t="shared" si="7"/>
        <v>2.2000000000000006</v>
      </c>
      <c r="AD32">
        <f t="shared" si="0"/>
        <v>0.26421291623308596</v>
      </c>
      <c r="AE32">
        <f t="shared" si="1"/>
        <v>5.3240000000000043</v>
      </c>
      <c r="AF32">
        <f t="shared" si="2"/>
        <v>0.31501688894439006</v>
      </c>
      <c r="AG32">
        <f t="shared" si="3"/>
        <v>5.4864448222789166</v>
      </c>
      <c r="AH32">
        <f t="shared" si="4"/>
        <v>0.16244482227891233</v>
      </c>
      <c r="AI32">
        <f t="shared" si="12"/>
        <v>5.3240000000000043</v>
      </c>
      <c r="AJ32">
        <f t="shared" si="13"/>
        <v>2.1640747796366862</v>
      </c>
    </row>
    <row r="33" spans="9:36">
      <c r="I33">
        <f t="shared" si="11"/>
        <v>2.1000000000000005</v>
      </c>
      <c r="J33">
        <f t="shared" si="8"/>
        <v>0.34993774911115527</v>
      </c>
      <c r="K33">
        <f t="shared" si="9"/>
        <v>5.5990039857784843</v>
      </c>
      <c r="L33">
        <f t="shared" si="10"/>
        <v>3.6780468723588262E-2</v>
      </c>
      <c r="AC33">
        <f t="shared" si="7"/>
        <v>2.3000000000000007</v>
      </c>
      <c r="AD33">
        <f t="shared" si="0"/>
        <v>0.21852059775236082</v>
      </c>
      <c r="AE33">
        <f t="shared" si="1"/>
        <v>6.0835000000000061</v>
      </c>
      <c r="AF33">
        <f t="shared" si="2"/>
        <v>0.26559164769274646</v>
      </c>
      <c r="AG33">
        <f t="shared" si="3"/>
        <v>6.2970479005974935</v>
      </c>
      <c r="AH33">
        <f t="shared" si="4"/>
        <v>0.21354790059748741</v>
      </c>
      <c r="AI33">
        <f t="shared" si="12"/>
        <v>6.0835000000000061</v>
      </c>
      <c r="AJ33">
        <f t="shared" si="13"/>
        <v>2.1737158857984258</v>
      </c>
    </row>
    <row r="34" spans="9:36">
      <c r="I34">
        <f t="shared" si="11"/>
        <v>2.2000000000000006</v>
      </c>
      <c r="J34">
        <f t="shared" si="8"/>
        <v>0.33287108369807944</v>
      </c>
      <c r="K34">
        <f t="shared" si="9"/>
        <v>5.325937339169271</v>
      </c>
      <c r="L34">
        <f t="shared" si="10"/>
        <v>3.6693330638113045E-2</v>
      </c>
      <c r="AC34">
        <f t="shared" si="7"/>
        <v>2.4000000000000008</v>
      </c>
      <c r="AD34">
        <f t="shared" si="0"/>
        <v>0.17763933359513465</v>
      </c>
      <c r="AE34">
        <f t="shared" si="1"/>
        <v>6.912000000000007</v>
      </c>
      <c r="AF34">
        <f t="shared" si="2"/>
        <v>0.22029726782027093</v>
      </c>
      <c r="AG34">
        <f t="shared" si="3"/>
        <v>7.1851452932103923</v>
      </c>
      <c r="AH34">
        <f t="shared" si="4"/>
        <v>0.27314529321038528</v>
      </c>
      <c r="AI34">
        <f t="shared" si="12"/>
        <v>6.912000000000007</v>
      </c>
      <c r="AJ34">
        <f t="shared" si="13"/>
        <v>2.1829868512357939</v>
      </c>
    </row>
    <row r="35" spans="9:36">
      <c r="I35">
        <f t="shared" si="11"/>
        <v>2.3000000000000007</v>
      </c>
      <c r="J35">
        <f t="shared" si="8"/>
        <v>0.31663676937905311</v>
      </c>
      <c r="K35">
        <f t="shared" si="9"/>
        <v>5.0661883100648497</v>
      </c>
      <c r="L35">
        <f t="shared" si="10"/>
        <v>3.6527207217809263E-2</v>
      </c>
      <c r="AC35">
        <f>AC34+0.1</f>
        <v>2.5000000000000009</v>
      </c>
      <c r="AD35">
        <f t="shared" si="0"/>
        <v>0.14183015908734226</v>
      </c>
      <c r="AE35">
        <f t="shared" si="1"/>
        <v>7.812500000000008</v>
      </c>
      <c r="AF35">
        <f t="shared" si="2"/>
        <v>0.17962977450500128</v>
      </c>
      <c r="AG35">
        <f t="shared" si="3"/>
        <v>8.1544510891757334</v>
      </c>
      <c r="AH35">
        <f t="shared" si="4"/>
        <v>0.34195108917572536</v>
      </c>
      <c r="AI35">
        <f t="shared" si="12"/>
        <v>7.812500000000008</v>
      </c>
      <c r="AJ35">
        <f t="shared" si="13"/>
        <v>2.1919164527704353</v>
      </c>
    </row>
    <row r="36" spans="9:36">
      <c r="I36">
        <f t="shared" si="11"/>
        <v>2.4000000000000008</v>
      </c>
      <c r="J36">
        <f t="shared" si="8"/>
        <v>0.30119421191220197</v>
      </c>
      <c r="K36">
        <f t="shared" si="9"/>
        <v>4.8191073905952315</v>
      </c>
      <c r="L36">
        <f t="shared" si="10"/>
        <v>3.6290010047100182E-2</v>
      </c>
      <c r="AC36">
        <f t="shared" si="7"/>
        <v>2.600000000000001</v>
      </c>
      <c r="AD36">
        <f t="shared" si="0"/>
        <v>0.11113606695062166</v>
      </c>
      <c r="AE36">
        <f t="shared" si="1"/>
        <v>8.7880000000000091</v>
      </c>
      <c r="AF36">
        <f t="shared" si="2"/>
        <v>0.14387357301208351</v>
      </c>
      <c r="AG36">
        <f t="shared" si="3"/>
        <v>9.2086948935387607</v>
      </c>
      <c r="AH36">
        <f t="shared" si="4"/>
        <v>0.42069489353875156</v>
      </c>
      <c r="AI36">
        <f t="shared" si="12"/>
        <v>8.7880000000000091</v>
      </c>
      <c r="AJ36">
        <f t="shared" si="13"/>
        <v>2.2005301862120366</v>
      </c>
    </row>
    <row r="37" spans="9:36">
      <c r="I37">
        <f>I36+0.1</f>
        <v>2.5000000000000009</v>
      </c>
      <c r="J37">
        <f t="shared" si="8"/>
        <v>0.28650479686018998</v>
      </c>
      <c r="K37">
        <f t="shared" si="9"/>
        <v>4.5840767497630397</v>
      </c>
      <c r="L37">
        <f t="shared" si="10"/>
        <v>3.5989066877429386E-2</v>
      </c>
      <c r="AC37">
        <f t="shared" si="7"/>
        <v>2.7000000000000011</v>
      </c>
      <c r="AD37">
        <f t="shared" si="0"/>
        <v>8.5402918867102426E-2</v>
      </c>
      <c r="AE37">
        <f t="shared" si="1"/>
        <v>9.8415000000000106</v>
      </c>
      <c r="AF37">
        <f t="shared" si="2"/>
        <v>0.11310318412234514</v>
      </c>
      <c r="AG37">
        <f t="shared" si="3"/>
        <v>10.351621267040883</v>
      </c>
      <c r="AH37">
        <f t="shared" si="4"/>
        <v>0.51012126704087279</v>
      </c>
      <c r="AI37">
        <f t="shared" si="12"/>
        <v>9.8415000000000106</v>
      </c>
      <c r="AJ37">
        <f t="shared" si="13"/>
        <v>2.2088507504735899</v>
      </c>
    </row>
    <row r="38" spans="9:36">
      <c r="I38">
        <f t="shared" si="11"/>
        <v>2.600000000000001</v>
      </c>
      <c r="J38">
        <f t="shared" si="8"/>
        <v>0.27253179303401248</v>
      </c>
      <c r="K38">
        <f t="shared" si="9"/>
        <v>4.3605086885441997</v>
      </c>
      <c r="L38">
        <f t="shared" si="10"/>
        <v>3.5631159756752635E-2</v>
      </c>
      <c r="AC38">
        <f t="shared" si="7"/>
        <v>2.8000000000000012</v>
      </c>
      <c r="AD38">
        <f t="shared" si="0"/>
        <v>6.4312581380308584E-2</v>
      </c>
      <c r="AE38">
        <f t="shared" si="1"/>
        <v>10.976000000000013</v>
      </c>
      <c r="AF38">
        <f t="shared" si="2"/>
        <v>8.7199906418527262E-2</v>
      </c>
      <c r="AG38">
        <f t="shared" si="3"/>
        <v>11.586989206914854</v>
      </c>
      <c r="AH38">
        <f t="shared" si="4"/>
        <v>0.61098920691484082</v>
      </c>
      <c r="AI38">
        <f t="shared" si="12"/>
        <v>10.976000000000013</v>
      </c>
      <c r="AJ38">
        <f t="shared" si="13"/>
        <v>2.2168984452005431</v>
      </c>
    </row>
    <row r="39" spans="9:36">
      <c r="I39">
        <f t="shared" si="11"/>
        <v>2.7000000000000011</v>
      </c>
      <c r="J39">
        <f t="shared" si="8"/>
        <v>0.2592402606458914</v>
      </c>
      <c r="K39">
        <f t="shared" si="9"/>
        <v>4.1478441703342623</v>
      </c>
      <c r="L39">
        <f t="shared" si="10"/>
        <v>3.5222560828520891E-2</v>
      </c>
      <c r="AC39">
        <f t="shared" si="7"/>
        <v>2.9000000000000012</v>
      </c>
      <c r="AD39">
        <f t="shared" si="0"/>
        <v>4.7424087701687941E-2</v>
      </c>
      <c r="AE39">
        <f t="shared" si="1"/>
        <v>12.194500000000016</v>
      </c>
      <c r="AF39">
        <f t="shared" si="2"/>
        <v>6.5880911979340456E-2</v>
      </c>
      <c r="AG39">
        <f t="shared" si="3"/>
        <v>12.918571664336346</v>
      </c>
      <c r="AH39">
        <f t="shared" si="4"/>
        <v>0.7240716643363303</v>
      </c>
      <c r="AI39">
        <f t="shared" si="12"/>
        <v>12.194500000000016</v>
      </c>
      <c r="AJ39">
        <f t="shared" si="13"/>
        <v>2.2246914998652092</v>
      </c>
    </row>
    <row r="40" spans="9:36">
      <c r="I40">
        <f t="shared" si="11"/>
        <v>2.8000000000000012</v>
      </c>
      <c r="J40">
        <f t="shared" si="8"/>
        <v>0.24659696394160632</v>
      </c>
      <c r="K40">
        <f t="shared" si="9"/>
        <v>3.9455514230657012</v>
      </c>
      <c r="L40">
        <f t="shared" si="10"/>
        <v>3.4769065936783965E-2</v>
      </c>
      <c r="AC40">
        <f t="shared" si="7"/>
        <v>3.0000000000000013</v>
      </c>
      <c r="AD40">
        <f t="shared" si="0"/>
        <v>3.42181183116659E-2</v>
      </c>
      <c r="AE40">
        <f t="shared" si="1"/>
        <v>13.500000000000016</v>
      </c>
      <c r="AF40">
        <f t="shared" si="2"/>
        <v>4.8737063503315921E-2</v>
      </c>
      <c r="AG40">
        <f t="shared" si="3"/>
        <v>14.350155094721652</v>
      </c>
      <c r="AH40">
        <f t="shared" si="4"/>
        <v>0.85015509472163586</v>
      </c>
      <c r="AI40">
        <f t="shared" si="12"/>
        <v>13.500000000000016</v>
      </c>
      <c r="AJ40">
        <f t="shared" si="13"/>
        <v>2.2322463480678101</v>
      </c>
    </row>
    <row r="41" spans="9:36">
      <c r="I41">
        <f t="shared" si="11"/>
        <v>2.9000000000000012</v>
      </c>
      <c r="J41">
        <f t="shared" si="8"/>
        <v>0.23457028809379751</v>
      </c>
      <c r="K41">
        <f t="shared" si="9"/>
        <v>3.7531246095007602</v>
      </c>
      <c r="L41">
        <f t="shared" si="10"/>
        <v>3.4276026166255122E-2</v>
      </c>
      <c r="AC41">
        <f t="shared" si="7"/>
        <v>3.1000000000000014</v>
      </c>
      <c r="AD41">
        <f t="shared" si="0"/>
        <v>2.4140242929592041E-2</v>
      </c>
      <c r="AE41">
        <f t="shared" si="1"/>
        <v>14.89550000000002</v>
      </c>
      <c r="AF41">
        <f t="shared" si="2"/>
        <v>3.5275068638759413E-2</v>
      </c>
      <c r="AG41">
        <f t="shared" si="3"/>
        <v>15.885539037575748</v>
      </c>
      <c r="AH41">
        <f t="shared" si="4"/>
        <v>0.99003903757572864</v>
      </c>
      <c r="AI41">
        <f t="shared" si="12"/>
        <v>14.89550000000002</v>
      </c>
      <c r="AJ41">
        <f t="shared" si="13"/>
        <v>2.2395778576690293</v>
      </c>
    </row>
    <row r="42" spans="9:36">
      <c r="I42">
        <f t="shared" si="11"/>
        <v>3.0000000000000013</v>
      </c>
      <c r="J42">
        <f t="shared" si="8"/>
        <v>0.22313016014842968</v>
      </c>
      <c r="K42">
        <f t="shared" si="9"/>
        <v>3.5700825623748749</v>
      </c>
      <c r="L42">
        <f t="shared" si="10"/>
        <v>3.3748377438835124E-2</v>
      </c>
      <c r="AC42">
        <f t="shared" si="7"/>
        <v>3.2000000000000015</v>
      </c>
      <c r="AD42">
        <f t="shared" si="0"/>
        <v>1.6639098861723538E-2</v>
      </c>
      <c r="AE42">
        <f t="shared" si="1"/>
        <v>16.384000000000022</v>
      </c>
      <c r="AF42">
        <f t="shared" si="2"/>
        <v>2.4959538367033348E-2</v>
      </c>
      <c r="AG42">
        <f t="shared" si="3"/>
        <v>17.52853572302493</v>
      </c>
      <c r="AH42">
        <f t="shared" si="4"/>
        <v>1.1445357230249087</v>
      </c>
      <c r="AI42">
        <f t="shared" si="12"/>
        <v>16.384000000000022</v>
      </c>
      <c r="AJ42">
        <f t="shared" si="13"/>
        <v>2.246699525045917</v>
      </c>
    </row>
    <row r="43" spans="9:36">
      <c r="I43">
        <f t="shared" si="11"/>
        <v>3.1000000000000014</v>
      </c>
      <c r="J43">
        <f t="shared" si="8"/>
        <v>0.2122479738267429</v>
      </c>
      <c r="K43">
        <f t="shared" si="9"/>
        <v>3.3959675812278864</v>
      </c>
      <c r="L43">
        <f t="shared" si="10"/>
        <v>3.3190668281144683E-2</v>
      </c>
      <c r="AC43">
        <f t="shared" si="7"/>
        <v>3.3000000000000016</v>
      </c>
      <c r="AD43">
        <f t="shared" si="0"/>
        <v>1.1196825257668019E-2</v>
      </c>
      <c r="AE43">
        <f t="shared" si="1"/>
        <v>17.968500000000027</v>
      </c>
      <c r="AF43">
        <f t="shared" si="2"/>
        <v>1.7251056409032971E-2</v>
      </c>
      <c r="AG43">
        <f t="shared" si="3"/>
        <v>19.282969702529915</v>
      </c>
      <c r="AH43">
        <f t="shared" si="4"/>
        <v>1.3144697025298875</v>
      </c>
      <c r="AI43">
        <f t="shared" si="12"/>
        <v>17.968500000000027</v>
      </c>
      <c r="AJ43">
        <f t="shared" si="13"/>
        <v>2.2536236399984841</v>
      </c>
    </row>
    <row r="44" spans="9:36">
      <c r="I44">
        <f t="shared" si="11"/>
        <v>3.2000000000000015</v>
      </c>
      <c r="J44">
        <f t="shared" si="8"/>
        <v>0.20189651799465524</v>
      </c>
      <c r="K44">
        <f t="shared" si="9"/>
        <v>3.2303442879144839</v>
      </c>
      <c r="L44">
        <f t="shared" si="10"/>
        <v>3.2607085871076136E-2</v>
      </c>
      <c r="AC44">
        <f t="shared" si="7"/>
        <v>3.4000000000000017</v>
      </c>
      <c r="AD44">
        <f t="shared" si="0"/>
        <v>7.3504040094200156E-3</v>
      </c>
      <c r="AE44">
        <f t="shared" si="1"/>
        <v>19.652000000000029</v>
      </c>
      <c r="AF44">
        <f t="shared" si="2"/>
        <v>1.1637360964007182E-2</v>
      </c>
      <c r="AG44">
        <f t="shared" si="3"/>
        <v>21.152677501581799</v>
      </c>
      <c r="AH44">
        <f t="shared" si="4"/>
        <v>1.5006775015817695</v>
      </c>
      <c r="AI44">
        <f t="shared" si="12"/>
        <v>19.652000000000029</v>
      </c>
      <c r="AJ44">
        <f t="shared" si="13"/>
        <v>2.2603614264869587</v>
      </c>
    </row>
    <row r="45" spans="9:36">
      <c r="I45">
        <f t="shared" si="11"/>
        <v>3.3000000000000016</v>
      </c>
      <c r="J45">
        <f t="shared" si="8"/>
        <v>0.19204990862075397</v>
      </c>
      <c r="K45">
        <f t="shared" si="9"/>
        <v>3.0727985379320635</v>
      </c>
      <c r="L45">
        <f t="shared" ref="L45:L76" si="14">(J44-J45)*(I44+I45)/2</f>
        <v>3.2001480465179172E-2</v>
      </c>
      <c r="AC45">
        <f t="shared" si="7"/>
        <v>3.5000000000000018</v>
      </c>
      <c r="AD45">
        <f t="shared" si="0"/>
        <v>4.7038450922375135E-3</v>
      </c>
      <c r="AE45">
        <f t="shared" si="1"/>
        <v>21.437500000000032</v>
      </c>
      <c r="AF45">
        <f t="shared" si="2"/>
        <v>7.6559856738890536E-3</v>
      </c>
      <c r="AG45">
        <f t="shared" si="3"/>
        <v>23.141507292443443</v>
      </c>
      <c r="AH45">
        <f t="shared" si="4"/>
        <v>1.7040072924434106</v>
      </c>
      <c r="AI45">
        <f t="shared" si="12"/>
        <v>21.437500000000032</v>
      </c>
      <c r="AJ45">
        <f t="shared" si="13"/>
        <v>2.2669231633413953</v>
      </c>
    </row>
    <row r="46" spans="9:36">
      <c r="I46">
        <f t="shared" si="11"/>
        <v>3.4000000000000017</v>
      </c>
      <c r="J46">
        <f t="shared" si="8"/>
        <v>0.1826835240527345</v>
      </c>
      <c r="K46">
        <f t="shared" si="9"/>
        <v>2.922936384843752</v>
      </c>
      <c r="L46">
        <f t="shared" si="14"/>
        <v>3.1377388302865239E-2</v>
      </c>
      <c r="AC46">
        <f t="shared" si="7"/>
        <v>3.6000000000000019</v>
      </c>
      <c r="AD46">
        <f t="shared" si="0"/>
        <v>2.9322066985015601E-3</v>
      </c>
      <c r="AE46">
        <f t="shared" si="1"/>
        <v>23.328000000000035</v>
      </c>
      <c r="AF46">
        <f t="shared" si="2"/>
        <v>4.9079780533832218E-3</v>
      </c>
      <c r="AG46">
        <f t="shared" si="3"/>
        <v>25.253318585222051</v>
      </c>
      <c r="AH46">
        <f t="shared" si="4"/>
        <v>1.9253185852220156</v>
      </c>
      <c r="AI46">
        <f t="shared" si="12"/>
        <v>23.328000000000035</v>
      </c>
      <c r="AJ46">
        <f t="shared" si="13"/>
        <v>2.2733182882787308</v>
      </c>
    </row>
    <row r="47" spans="9:36">
      <c r="I47">
        <f t="shared" si="11"/>
        <v>3.5000000000000018</v>
      </c>
      <c r="J47">
        <f t="shared" si="8"/>
        <v>0.17377394345044497</v>
      </c>
      <c r="K47">
        <f t="shared" si="9"/>
        <v>2.7803830952071196</v>
      </c>
      <c r="L47">
        <f t="shared" si="14"/>
        <v>3.0738053077898876E-2</v>
      </c>
      <c r="AC47">
        <f t="shared" si="7"/>
        <v>3.700000000000002</v>
      </c>
      <c r="AD47">
        <f t="shared" si="0"/>
        <v>1.7791403157942074E-3</v>
      </c>
      <c r="AE47">
        <f t="shared" si="1"/>
        <v>25.326500000000038</v>
      </c>
      <c r="AF47">
        <f t="shared" si="2"/>
        <v>3.0634097601378004E-3</v>
      </c>
      <c r="AG47">
        <f t="shared" si="3"/>
        <v>27.491981935750065</v>
      </c>
      <c r="AH47">
        <f t="shared" si="4"/>
        <v>2.1654819357500266</v>
      </c>
      <c r="AI47">
        <f t="shared" si="12"/>
        <v>25.326500000000038</v>
      </c>
      <c r="AJ47">
        <f t="shared" si="13"/>
        <v>2.2795554879306281</v>
      </c>
    </row>
    <row r="48" spans="9:36">
      <c r="I48">
        <f t="shared" si="11"/>
        <v>3.6000000000000019</v>
      </c>
      <c r="J48">
        <f t="shared" si="8"/>
        <v>0.16529888822158639</v>
      </c>
      <c r="K48">
        <f t="shared" si="9"/>
        <v>2.6447822115453823</v>
      </c>
      <c r="L48">
        <f t="shared" si="14"/>
        <v>3.0086446062447973E-2</v>
      </c>
      <c r="AC48">
        <f t="shared" si="7"/>
        <v>3.800000000000002</v>
      </c>
      <c r="AD48">
        <f t="shared" si="0"/>
        <v>1.0499633711922342E-3</v>
      </c>
      <c r="AE48">
        <f t="shared" si="1"/>
        <v>27.436000000000043</v>
      </c>
      <c r="AF48">
        <f t="shared" si="2"/>
        <v>1.8601743553907583E-3</v>
      </c>
      <c r="AG48">
        <f t="shared" si="3"/>
        <v>29.861378668917212</v>
      </c>
      <c r="AH48">
        <f t="shared" si="4"/>
        <v>2.425378668917169</v>
      </c>
      <c r="AI48">
        <f t="shared" si="12"/>
        <v>27.436000000000043</v>
      </c>
      <c r="AJ48">
        <f t="shared" si="13"/>
        <v>2.2856427760871139</v>
      </c>
    </row>
    <row r="49" spans="9:36">
      <c r="I49">
        <f t="shared" si="11"/>
        <v>3.700000000000002</v>
      </c>
      <c r="J49">
        <f t="shared" si="8"/>
        <v>0.15723716631362747</v>
      </c>
      <c r="K49">
        <f t="shared" si="9"/>
        <v>2.5157946610180395</v>
      </c>
      <c r="L49">
        <f t="shared" si="14"/>
        <v>2.9425284964050089E-2</v>
      </c>
      <c r="AC49">
        <f t="shared" si="7"/>
        <v>3.9000000000000021</v>
      </c>
      <c r="AD49">
        <f t="shared" si="0"/>
        <v>6.0222766685772322E-4</v>
      </c>
      <c r="AE49">
        <f t="shared" si="1"/>
        <v>29.659500000000047</v>
      </c>
      <c r="AF49">
        <f t="shared" si="2"/>
        <v>1.0979749617840758E-3</v>
      </c>
      <c r="AG49">
        <f t="shared" si="3"/>
        <v>32.365400616239462</v>
      </c>
      <c r="AH49">
        <f t="shared" si="4"/>
        <v>2.7059006162394148</v>
      </c>
      <c r="AI49">
        <f t="shared" si="12"/>
        <v>29.659500000000047</v>
      </c>
      <c r="AJ49">
        <f t="shared" si="13"/>
        <v>2.2915875619650623</v>
      </c>
    </row>
    <row r="50" spans="9:36">
      <c r="I50">
        <f t="shared" si="11"/>
        <v>3.800000000000002</v>
      </c>
      <c r="J50">
        <f t="shared" si="8"/>
        <v>0.1495686192226349</v>
      </c>
      <c r="K50">
        <f t="shared" si="9"/>
        <v>2.3930979075621583</v>
      </c>
      <c r="L50">
        <f t="shared" si="14"/>
        <v>2.875705159122216E-2</v>
      </c>
      <c r="AC50">
        <f t="shared" si="7"/>
        <v>4.0000000000000018</v>
      </c>
      <c r="AD50">
        <f t="shared" si="0"/>
        <v>3.3546262790250828E-4</v>
      </c>
      <c r="AE50">
        <f t="shared" si="1"/>
        <v>32.000000000000043</v>
      </c>
      <c r="AF50">
        <f t="shared" si="2"/>
        <v>6.294549397932352E-4</v>
      </c>
      <c r="AG50">
        <f t="shared" si="3"/>
        <v>35.007949866576354</v>
      </c>
      <c r="AH50">
        <f t="shared" si="4"/>
        <v>3.0079498665763111</v>
      </c>
      <c r="AI50">
        <f t="shared" si="12"/>
        <v>32.000000000000043</v>
      </c>
      <c r="AJ50">
        <f t="shared" si="13"/>
        <v>2.2973967099940702</v>
      </c>
    </row>
    <row r="51" spans="9:36">
      <c r="I51">
        <f t="shared" si="11"/>
        <v>3.9000000000000021</v>
      </c>
      <c r="J51">
        <f t="shared" si="8"/>
        <v>0.14227407158651342</v>
      </c>
      <c r="K51">
        <f t="shared" si="9"/>
        <v>2.2763851453842148</v>
      </c>
      <c r="L51">
        <f t="shared" si="14"/>
        <v>2.8084008399067689E-2</v>
      </c>
      <c r="AC51">
        <f t="shared" si="7"/>
        <v>4.1000000000000014</v>
      </c>
      <c r="AD51">
        <f t="shared" si="0"/>
        <v>1.8134214630694545E-4</v>
      </c>
      <c r="AE51">
        <f t="shared" si="1"/>
        <v>34.460500000000039</v>
      </c>
      <c r="AF51">
        <f t="shared" si="2"/>
        <v>3.5019711862611437E-4</v>
      </c>
      <c r="AG51">
        <f t="shared" si="3"/>
        <v>37.792938529016425</v>
      </c>
      <c r="AH51">
        <f t="shared" si="4"/>
        <v>3.332438529016386</v>
      </c>
      <c r="AI51">
        <f t="shared" si="12"/>
        <v>34.460500000000039</v>
      </c>
      <c r="AJ51">
        <f t="shared" si="13"/>
        <v>2.3030765923574643</v>
      </c>
    </row>
    <row r="52" spans="9:36">
      <c r="I52">
        <f t="shared" si="11"/>
        <v>4.0000000000000018</v>
      </c>
      <c r="J52">
        <f t="shared" si="8"/>
        <v>0.13533528323661256</v>
      </c>
      <c r="K52">
        <f t="shared" si="9"/>
        <v>2.165364531785801</v>
      </c>
      <c r="L52">
        <f t="shared" si="14"/>
        <v>2.7408213982108409E-2</v>
      </c>
      <c r="AC52">
        <f t="shared" si="7"/>
        <v>4.2000000000000011</v>
      </c>
      <c r="AD52">
        <f t="shared" si="0"/>
        <v>9.5060217381403678E-5</v>
      </c>
      <c r="AE52">
        <f t="shared" si="1"/>
        <v>37.044000000000025</v>
      </c>
      <c r="AF52">
        <f t="shared" si="2"/>
        <v>1.8891985125314194E-4</v>
      </c>
      <c r="AG52">
        <f t="shared" si="3"/>
        <v>40.724288507046872</v>
      </c>
      <c r="AH52">
        <f t="shared" si="4"/>
        <v>3.6802885070468463</v>
      </c>
      <c r="AI52">
        <f t="shared" si="12"/>
        <v>37.044000000000025</v>
      </c>
      <c r="AJ52">
        <f t="shared" si="13"/>
        <v>2.3086331353201159</v>
      </c>
    </row>
    <row r="53" spans="9:36">
      <c r="I53">
        <f t="shared" si="11"/>
        <v>4.1000000000000014</v>
      </c>
      <c r="J53">
        <f t="shared" si="8"/>
        <v>0.12873490358780412</v>
      </c>
      <c r="K53">
        <f t="shared" si="9"/>
        <v>2.059758457404866</v>
      </c>
      <c r="L53">
        <f t="shared" si="14"/>
        <v>2.6731537577674196E-2</v>
      </c>
      <c r="AC53">
        <f t="shared" si="7"/>
        <v>4.3000000000000007</v>
      </c>
      <c r="AD53">
        <f t="shared" si="0"/>
        <v>4.8285705185623541E-5</v>
      </c>
      <c r="AE53">
        <f t="shared" si="1"/>
        <v>39.753500000000017</v>
      </c>
      <c r="AF53">
        <f t="shared" si="2"/>
        <v>9.8741618410819429E-5</v>
      </c>
      <c r="AG53">
        <f t="shared" si="3"/>
        <v>43.805931283207848</v>
      </c>
      <c r="AH53">
        <f t="shared" si="4"/>
        <v>4.0524312832078309</v>
      </c>
      <c r="AI53">
        <f t="shared" si="12"/>
        <v>39.753500000000017</v>
      </c>
      <c r="AJ53">
        <f t="shared" si="13"/>
        <v>2.3140718602069361</v>
      </c>
    </row>
    <row r="54" spans="9:36">
      <c r="I54">
        <f t="shared" si="11"/>
        <v>4.2000000000000011</v>
      </c>
      <c r="J54">
        <f t="shared" si="8"/>
        <v>0.12245642825298185</v>
      </c>
      <c r="K54">
        <f t="shared" si="9"/>
        <v>1.9593028520477096</v>
      </c>
      <c r="L54">
        <f t="shared" si="14"/>
        <v>2.6055672639512438E-2</v>
      </c>
      <c r="AC54">
        <f t="shared" si="7"/>
        <v>4.4000000000000004</v>
      </c>
      <c r="AD54">
        <f t="shared" si="0"/>
        <v>2.3748290714247526E-5</v>
      </c>
      <c r="AE54">
        <f t="shared" si="1"/>
        <v>42.592000000000013</v>
      </c>
      <c r="AF54">
        <f t="shared" si="2"/>
        <v>4.9959739539710789E-5</v>
      </c>
      <c r="AG54">
        <f t="shared" si="3"/>
        <v>47.041807713505492</v>
      </c>
      <c r="AH54">
        <f t="shared" si="4"/>
        <v>4.4498077135054785</v>
      </c>
      <c r="AI54">
        <f t="shared" si="12"/>
        <v>42.592000000000013</v>
      </c>
      <c r="AJ54">
        <f t="shared" si="13"/>
        <v>2.3193979197586754</v>
      </c>
    </row>
    <row r="55" spans="9:36">
      <c r="I55">
        <f t="shared" si="11"/>
        <v>4.3000000000000007</v>
      </c>
      <c r="J55">
        <f t="shared" si="8"/>
        <v>0.11648415777349691</v>
      </c>
      <c r="K55">
        <f t="shared" si="9"/>
        <v>1.8637465243759506</v>
      </c>
      <c r="L55">
        <f t="shared" si="14"/>
        <v>2.5382149537811E-2</v>
      </c>
      <c r="AC55">
        <f t="shared" si="7"/>
        <v>4.5</v>
      </c>
      <c r="AD55">
        <f t="shared" si="0"/>
        <v>1.1300936043146307E-5</v>
      </c>
      <c r="AE55">
        <f t="shared" si="1"/>
        <v>45.5625</v>
      </c>
      <c r="AF55">
        <f t="shared" si="2"/>
        <v>2.4449849342483391E-5</v>
      </c>
      <c r="AG55">
        <f t="shared" si="3"/>
        <v>50.435867830925034</v>
      </c>
      <c r="AH55">
        <f t="shared" si="4"/>
        <v>4.8733678309250337</v>
      </c>
      <c r="AI55">
        <f t="shared" si="12"/>
        <v>45.5625</v>
      </c>
      <c r="AJ55">
        <f t="shared" si="13"/>
        <v>2.3246161304788493</v>
      </c>
    </row>
    <row r="56" spans="9:36">
      <c r="I56">
        <f t="shared" si="11"/>
        <v>4.4000000000000004</v>
      </c>
      <c r="J56">
        <f t="shared" si="8"/>
        <v>0.11080315836233387</v>
      </c>
      <c r="K56">
        <f t="shared" si="9"/>
        <v>1.7728505337973419</v>
      </c>
      <c r="L56">
        <f t="shared" si="14"/>
        <v>2.4712347438559226E-2</v>
      </c>
      <c r="AC56">
        <f t="shared" si="7"/>
        <v>4.5999999999999996</v>
      </c>
      <c r="AD56">
        <f t="shared" si="0"/>
        <v>5.1992301053595015E-6</v>
      </c>
      <c r="AE56">
        <f t="shared" si="1"/>
        <v>48.667999999999985</v>
      </c>
      <c r="AF56">
        <f t="shared" si="2"/>
        <v>1.1563952632474137E-5</v>
      </c>
      <c r="AG56">
        <f t="shared" si="3"/>
        <v>53.992070657442106</v>
      </c>
      <c r="AH56">
        <f t="shared" si="4"/>
        <v>5.324070657442121</v>
      </c>
      <c r="AI56">
        <f t="shared" si="12"/>
        <v>48.667999999999985</v>
      </c>
      <c r="AJ56">
        <f t="shared" si="13"/>
        <v>2.3297310014923247</v>
      </c>
    </row>
    <row r="57" spans="9:36">
      <c r="I57">
        <f t="shared" si="11"/>
        <v>4.5</v>
      </c>
      <c r="J57">
        <f t="shared" si="8"/>
        <v>0.10539922456186433</v>
      </c>
      <c r="K57">
        <f t="shared" si="9"/>
        <v>1.6863875929898293</v>
      </c>
      <c r="L57">
        <f t="shared" si="14"/>
        <v>2.4047505412089443E-2</v>
      </c>
      <c r="AC57">
        <f t="shared" si="7"/>
        <v>4.6999999999999993</v>
      </c>
      <c r="AD57">
        <f t="shared" si="0"/>
        <v>2.3108965311554161E-6</v>
      </c>
      <c r="AE57">
        <f t="shared" si="1"/>
        <v>51.911499999999975</v>
      </c>
      <c r="AF57">
        <f t="shared" si="2"/>
        <v>5.2813835392824013E-6</v>
      </c>
      <c r="AG57">
        <f t="shared" si="3"/>
        <v>57.714384023984891</v>
      </c>
      <c r="AH57">
        <f t="shared" si="4"/>
        <v>5.802884023984916</v>
      </c>
      <c r="AI57">
        <f t="shared" si="12"/>
        <v>51.911499999999975</v>
      </c>
      <c r="AJ57">
        <f t="shared" si="13"/>
        <v>2.3347467603588479</v>
      </c>
    </row>
    <row r="58" spans="9:36">
      <c r="I58">
        <f t="shared" si="11"/>
        <v>4.5999999999999996</v>
      </c>
      <c r="J58">
        <f t="shared" si="8"/>
        <v>0.10025884372280375</v>
      </c>
      <c r="K58">
        <f t="shared" si="9"/>
        <v>1.60414149956486</v>
      </c>
      <c r="L58">
        <f t="shared" si="14"/>
        <v>2.338873281772566E-2</v>
      </c>
      <c r="AC58">
        <f t="shared" si="7"/>
        <v>4.7999999999999989</v>
      </c>
      <c r="AD58">
        <f t="shared" si="0"/>
        <v>9.9154649152014698E-7</v>
      </c>
      <c r="AE58">
        <f t="shared" si="1"/>
        <v>55.295999999999957</v>
      </c>
      <c r="AF58">
        <f t="shared" si="2"/>
        <v>2.3272165674206937E-6</v>
      </c>
      <c r="AG58">
        <f t="shared" si="3"/>
        <v>61.606784397843491</v>
      </c>
      <c r="AH58">
        <f t="shared" si="4"/>
        <v>6.3107843978435341</v>
      </c>
      <c r="AI58">
        <f t="shared" si="12"/>
        <v>55.295999999999957</v>
      </c>
      <c r="AJ58">
        <f t="shared" si="13"/>
        <v>2.3396673762201865</v>
      </c>
    </row>
    <row r="59" spans="9:36">
      <c r="I59">
        <f t="shared" si="11"/>
        <v>4.6999999999999993</v>
      </c>
      <c r="J59">
        <f t="shared" si="8"/>
        <v>9.5369162215549655E-2</v>
      </c>
      <c r="K59">
        <f t="shared" si="9"/>
        <v>1.5259065954487945</v>
      </c>
      <c r="L59">
        <f t="shared" si="14"/>
        <v>2.273701900873153E-2</v>
      </c>
      <c r="AC59">
        <f t="shared" si="7"/>
        <v>4.8999999999999986</v>
      </c>
      <c r="AD59">
        <f t="shared" si="0"/>
        <v>4.1040350609905651E-7</v>
      </c>
      <c r="AE59">
        <f t="shared" si="1"/>
        <v>58.824499999999951</v>
      </c>
      <c r="AF59">
        <f t="shared" si="2"/>
        <v>9.8857405697406805E-7</v>
      </c>
      <c r="AG59">
        <f t="shared" si="3"/>
        <v>65.673256717067844</v>
      </c>
      <c r="AH59">
        <f t="shared" si="4"/>
        <v>6.8487567170678929</v>
      </c>
      <c r="AI59">
        <f t="shared" si="12"/>
        <v>58.824499999999951</v>
      </c>
      <c r="AJ59">
        <f t="shared" si="13"/>
        <v>2.3444965806057438</v>
      </c>
    </row>
    <row r="60" spans="9:36">
      <c r="I60">
        <f t="shared" si="11"/>
        <v>4.7999999999999989</v>
      </c>
      <c r="J60">
        <f t="shared" si="8"/>
        <v>9.0717953289412553E-2</v>
      </c>
      <c r="K60">
        <f t="shared" si="9"/>
        <v>1.4514872526306009</v>
      </c>
      <c r="L60">
        <f t="shared" si="14"/>
        <v>2.2093242399151228E-2</v>
      </c>
      <c r="AC60">
        <f t="shared" si="7"/>
        <v>4.9999999999999982</v>
      </c>
      <c r="AD60">
        <f t="shared" si="0"/>
        <v>1.6373771305908388E-7</v>
      </c>
      <c r="AE60">
        <f t="shared" si="1"/>
        <v>62.499999999999936</v>
      </c>
      <c r="AF60">
        <f t="shared" si="2"/>
        <v>4.0448256159684912E-7</v>
      </c>
      <c r="AG60">
        <f t="shared" si="3"/>
        <v>69.917794231429667</v>
      </c>
      <c r="AH60">
        <f t="shared" si="4"/>
        <v>7.4177942314297312</v>
      </c>
      <c r="AI60">
        <f t="shared" si="12"/>
        <v>62.499999999999936</v>
      </c>
      <c r="AJ60">
        <f t="shared" si="13"/>
        <v>2.3492378861760392</v>
      </c>
    </row>
    <row r="61" spans="9:36">
      <c r="I61">
        <f t="shared" si="11"/>
        <v>4.8999999999999986</v>
      </c>
      <c r="J61">
        <f t="shared" si="8"/>
        <v>8.6293586499370578E-2</v>
      </c>
      <c r="K61">
        <f t="shared" si="9"/>
        <v>1.3806973839899292</v>
      </c>
      <c r="L61">
        <f t="shared" si="14"/>
        <v>2.1458178931703573E-2</v>
      </c>
      <c r="AC61">
        <f t="shared" si="7"/>
        <v>5.0999999999999979</v>
      </c>
      <c r="AD61">
        <f t="shared" si="0"/>
        <v>6.2921683683476564E-8</v>
      </c>
      <c r="AE61">
        <f t="shared" si="1"/>
        <v>66.325499999999906</v>
      </c>
      <c r="AF61">
        <f t="shared" si="2"/>
        <v>1.5927319874358588E-7</v>
      </c>
      <c r="AG61">
        <f t="shared" si="3"/>
        <v>74.344398349560365</v>
      </c>
      <c r="AH61">
        <f t="shared" si="4"/>
        <v>8.0188983495604589</v>
      </c>
      <c r="AI61">
        <f t="shared" si="12"/>
        <v>66.325499999999906</v>
      </c>
      <c r="AJ61">
        <f t="shared" si="13"/>
        <v>2.3538946036453097</v>
      </c>
    </row>
    <row r="62" spans="9:36">
      <c r="I62">
        <f t="shared" si="11"/>
        <v>4.9999999999999982</v>
      </c>
      <c r="J62">
        <f t="shared" si="8"/>
        <v>8.2084998623898869E-2</v>
      </c>
      <c r="K62">
        <f t="shared" si="9"/>
        <v>1.3133599779823819</v>
      </c>
      <c r="L62">
        <f t="shared" si="14"/>
        <v>2.0832509983584952E-2</v>
      </c>
      <c r="AC62">
        <f t="shared" si="7"/>
        <v>5.1999999999999975</v>
      </c>
      <c r="AD62">
        <f t="shared" si="0"/>
        <v>2.3272347122005054E-8</v>
      </c>
      <c r="AE62">
        <f t="shared" si="1"/>
        <v>70.303999999999903</v>
      </c>
      <c r="AF62">
        <f t="shared" si="2"/>
        <v>6.0307496034523989E-8</v>
      </c>
      <c r="AG62">
        <f t="shared" si="3"/>
        <v>78.95707849190633</v>
      </c>
      <c r="AH62">
        <f t="shared" si="4"/>
        <v>8.6530784919064274</v>
      </c>
      <c r="AI62">
        <f t="shared" si="12"/>
        <v>70.303999999999903</v>
      </c>
      <c r="AJ62">
        <f t="shared" si="13"/>
        <v>2.3584698570921074</v>
      </c>
    </row>
    <row r="63" spans="9:36">
      <c r="I63">
        <f t="shared" si="11"/>
        <v>5.0999999999999979</v>
      </c>
      <c r="J63">
        <f t="shared" si="8"/>
        <v>7.8081666001153238E-2</v>
      </c>
      <c r="K63">
        <f t="shared" si="9"/>
        <v>1.2493066560184518</v>
      </c>
      <c r="L63">
        <f t="shared" si="14"/>
        <v>2.0216829744865428E-2</v>
      </c>
      <c r="AC63">
        <f t="shared" si="7"/>
        <v>5.2999999999999972</v>
      </c>
      <c r="AD63">
        <f t="shared" si="0"/>
        <v>8.2783265207250512E-9</v>
      </c>
      <c r="AE63">
        <f t="shared" si="1"/>
        <v>74.438499999999891</v>
      </c>
      <c r="AF63">
        <f t="shared" si="2"/>
        <v>2.1939072141827979E-8</v>
      </c>
      <c r="AG63">
        <f t="shared" si="3"/>
        <v>83.759851949169217</v>
      </c>
      <c r="AH63">
        <f t="shared" si="4"/>
        <v>9.3213519491693262</v>
      </c>
      <c r="AI63">
        <f t="shared" si="12"/>
        <v>74.438499999999891</v>
      </c>
      <c r="AJ63">
        <f t="shared" si="13"/>
        <v>2.3629665978392311</v>
      </c>
    </row>
    <row r="64" spans="9:36">
      <c r="I64">
        <f t="shared" si="11"/>
        <v>5.1999999999999975</v>
      </c>
      <c r="J64">
        <f t="shared" si="8"/>
        <v>7.4273578214333974E-2</v>
      </c>
      <c r="K64">
        <f t="shared" si="9"/>
        <v>1.1883772514293436</v>
      </c>
      <c r="L64">
        <f t="shared" si="14"/>
        <v>1.9611652102119202E-2</v>
      </c>
      <c r="AC64">
        <f t="shared" si="7"/>
        <v>5.3999999999999968</v>
      </c>
      <c r="AD64">
        <f t="shared" si="0"/>
        <v>2.8299692247417171E-9</v>
      </c>
      <c r="AE64">
        <f t="shared" si="1"/>
        <v>78.731999999999857</v>
      </c>
      <c r="AF64">
        <f t="shared" si="2"/>
        <v>7.6615306331155954E-9</v>
      </c>
      <c r="AG64">
        <f t="shared" si="3"/>
        <v>88.756743745925689</v>
      </c>
      <c r="AH64">
        <f t="shared" si="4"/>
        <v>10.024743745925832</v>
      </c>
      <c r="AI64">
        <f t="shared" si="12"/>
        <v>78.731999999999857</v>
      </c>
      <c r="AJ64">
        <f t="shared" si="13"/>
        <v>2.3673876170609702</v>
      </c>
    </row>
    <row r="65" spans="9:36">
      <c r="I65">
        <f t="shared" si="11"/>
        <v>5.2999999999999972</v>
      </c>
      <c r="J65">
        <f t="shared" si="8"/>
        <v>7.0651213060429693E-2</v>
      </c>
      <c r="K65">
        <f t="shared" si="9"/>
        <v>1.1304194089668751</v>
      </c>
      <c r="L65">
        <f t="shared" si="14"/>
        <v>1.9017417057997463E-2</v>
      </c>
      <c r="AC65">
        <f t="shared" si="7"/>
        <v>5.4999999999999964</v>
      </c>
      <c r="AD65">
        <f t="shared" si="0"/>
        <v>9.2903472398853885E-10</v>
      </c>
      <c r="AE65">
        <f t="shared" si="1"/>
        <v>83.187499999999844</v>
      </c>
      <c r="AF65">
        <f t="shared" si="2"/>
        <v>2.566223173910922E-9</v>
      </c>
      <c r="AG65">
        <f t="shared" si="3"/>
        <v>93.951786509142849</v>
      </c>
      <c r="AH65">
        <f t="shared" si="4"/>
        <v>10.764286509143005</v>
      </c>
      <c r="AI65">
        <f t="shared" si="12"/>
        <v>83.187499999999844</v>
      </c>
      <c r="AJ65">
        <f t="shared" si="13"/>
        <v>2.3717355572556018</v>
      </c>
    </row>
    <row r="66" spans="9:36">
      <c r="I66">
        <f t="shared" si="11"/>
        <v>5.3999999999999968</v>
      </c>
      <c r="J66">
        <f t="shared" si="8"/>
        <v>6.7205512739749868E-2</v>
      </c>
      <c r="K66">
        <f t="shared" si="9"/>
        <v>1.0752882038359979</v>
      </c>
      <c r="L66">
        <f t="shared" si="14"/>
        <v>1.8434496715637058E-2</v>
      </c>
      <c r="AC66">
        <f t="shared" si="7"/>
        <v>5.5999999999999961</v>
      </c>
      <c r="AD66">
        <f t="shared" si="0"/>
        <v>2.9266280670021209E-10</v>
      </c>
      <c r="AE66">
        <f t="shared" si="1"/>
        <v>87.807999999999822</v>
      </c>
      <c r="AF66">
        <f t="shared" si="2"/>
        <v>8.2373113246398976E-10</v>
      </c>
      <c r="AG66">
        <f t="shared" si="3"/>
        <v>99.349020341325982</v>
      </c>
      <c r="AH66">
        <f t="shared" si="4"/>
        <v>11.54102034132616</v>
      </c>
      <c r="AI66">
        <f t="shared" si="12"/>
        <v>87.807999999999822</v>
      </c>
      <c r="AJ66">
        <f t="shared" si="13"/>
        <v>2.3760129227039108</v>
      </c>
    </row>
    <row r="67" spans="9:36">
      <c r="I67">
        <f t="shared" si="11"/>
        <v>5.4999999999999964</v>
      </c>
      <c r="J67">
        <f t="shared" si="8"/>
        <v>6.3927861206707681E-2</v>
      </c>
      <c r="K67">
        <f t="shared" si="9"/>
        <v>1.0228457793073229</v>
      </c>
      <c r="L67">
        <f t="shared" si="14"/>
        <v>1.7863200855079905E-2</v>
      </c>
      <c r="AC67">
        <f t="shared" si="7"/>
        <v>5.6999999999999957</v>
      </c>
      <c r="AD67">
        <f t="shared" si="0"/>
        <v>8.8402134557364912E-11</v>
      </c>
      <c r="AE67">
        <f t="shared" si="1"/>
        <v>92.596499999999793</v>
      </c>
      <c r="AF67">
        <f t="shared" si="2"/>
        <v>2.5317372223571657E-10</v>
      </c>
      <c r="AG67">
        <f t="shared" si="3"/>
        <v>104.95249269805338</v>
      </c>
      <c r="AH67">
        <f t="shared" si="4"/>
        <v>12.355992698053583</v>
      </c>
      <c r="AI67">
        <f t="shared" si="12"/>
        <v>92.596499999999793</v>
      </c>
      <c r="AJ67">
        <f t="shared" si="13"/>
        <v>2.3802220890196994</v>
      </c>
    </row>
    <row r="68" spans="9:36">
      <c r="I68">
        <f t="shared" si="11"/>
        <v>5.5999999999999961</v>
      </c>
      <c r="J68">
        <f t="shared" si="8"/>
        <v>6.0810062625218084E-2</v>
      </c>
      <c r="K68">
        <f t="shared" si="9"/>
        <v>0.97296100200348934</v>
      </c>
      <c r="L68">
        <f t="shared" si="14"/>
        <v>1.7303782127267256E-2</v>
      </c>
      <c r="AC68">
        <f t="shared" si="7"/>
        <v>5.7999999999999954</v>
      </c>
      <c r="AD68">
        <f t="shared" si="0"/>
        <v>2.5585380545716762E-11</v>
      </c>
      <c r="AE68">
        <f t="shared" si="1"/>
        <v>97.555999999999756</v>
      </c>
      <c r="AF68">
        <f t="shared" si="2"/>
        <v>7.4442870642285524E-11</v>
      </c>
      <c r="AG68">
        <f t="shared" si="3"/>
        <v>110.76625826967161</v>
      </c>
      <c r="AH68">
        <f t="shared" si="4"/>
        <v>13.210258269671854</v>
      </c>
      <c r="AI68">
        <f t="shared" si="12"/>
        <v>97.555999999999756</v>
      </c>
      <c r="AJ68">
        <f t="shared" si="13"/>
        <v>2.3843653118855936</v>
      </c>
    </row>
    <row r="69" spans="9:36">
      <c r="I69">
        <f t="shared" si="11"/>
        <v>5.6999999999999957</v>
      </c>
      <c r="J69">
        <f t="shared" si="8"/>
        <v>5.7844320874838588E-2</v>
      </c>
      <c r="K69">
        <f t="shared" si="9"/>
        <v>0.92550913399741741</v>
      </c>
      <c r="L69">
        <f t="shared" si="14"/>
        <v>1.6756440889644137E-2</v>
      </c>
      <c r="AC69">
        <f t="shared" si="7"/>
        <v>5.899999999999995</v>
      </c>
      <c r="AD69">
        <f t="shared" si="0"/>
        <v>7.0897219029308383E-12</v>
      </c>
      <c r="AE69">
        <f t="shared" si="1"/>
        <v>102.68949999999973</v>
      </c>
      <c r="AF69">
        <f t="shared" si="2"/>
        <v>2.0923172435614607E-11</v>
      </c>
      <c r="AG69">
        <f t="shared" si="3"/>
        <v>116.79437886693933</v>
      </c>
      <c r="AH69">
        <f t="shared" si="4"/>
        <v>14.1048788669396</v>
      </c>
      <c r="AI69">
        <f t="shared" si="12"/>
        <v>102.68949999999973</v>
      </c>
      <c r="AJ69">
        <f t="shared" si="13"/>
        <v>2.3884447350563907</v>
      </c>
    </row>
    <row r="70" spans="9:36">
      <c r="I70">
        <f t="shared" si="11"/>
        <v>5.7999999999999954</v>
      </c>
      <c r="J70">
        <f t="shared" si="8"/>
        <v>5.5023220056407356E-2</v>
      </c>
      <c r="K70">
        <f t="shared" si="9"/>
        <v>0.88037152090251769</v>
      </c>
      <c r="L70">
        <f t="shared" si="14"/>
        <v>1.6221329705979573E-2</v>
      </c>
      <c r="AC70">
        <f t="shared" si="7"/>
        <v>5.9999999999999947</v>
      </c>
      <c r="AD70">
        <f t="shared" si="0"/>
        <v>1.8795288165392169E-12</v>
      </c>
      <c r="AE70">
        <f t="shared" si="1"/>
        <v>107.99999999999972</v>
      </c>
      <c r="AF70">
        <f t="shared" si="2"/>
        <v>5.6164235473693104E-12</v>
      </c>
      <c r="AG70">
        <f t="shared" si="3"/>
        <v>123.04092331042064</v>
      </c>
      <c r="AH70">
        <f t="shared" si="4"/>
        <v>15.040923310420922</v>
      </c>
      <c r="AI70">
        <f t="shared" si="12"/>
        <v>107.99999999999972</v>
      </c>
      <c r="AJ70">
        <f t="shared" si="13"/>
        <v>2.39246239770263</v>
      </c>
    </row>
    <row r="71" spans="9:36">
      <c r="I71">
        <f t="shared" si="11"/>
        <v>5.899999999999995</v>
      </c>
      <c r="J71">
        <f t="shared" si="8"/>
        <v>5.233970594843252E-2</v>
      </c>
      <c r="K71">
        <f t="shared" si="9"/>
        <v>0.83743529517492032</v>
      </c>
      <c r="L71">
        <f t="shared" si="14"/>
        <v>1.5698557531652772E-2</v>
      </c>
      <c r="AC71">
        <f t="shared" si="7"/>
        <v>6.0999999999999943</v>
      </c>
      <c r="AD71">
        <f t="shared" si="0"/>
        <v>4.7634929345818577E-13</v>
      </c>
      <c r="AE71">
        <f t="shared" si="1"/>
        <v>113.49049999999968</v>
      </c>
      <c r="AF71">
        <f t="shared" si="2"/>
        <v>1.4386242947668467E-12</v>
      </c>
      <c r="AG71">
        <f t="shared" si="3"/>
        <v>129.50996732344575</v>
      </c>
      <c r="AH71">
        <f t="shared" si="4"/>
        <v>16.019467323446065</v>
      </c>
      <c r="AI71">
        <f t="shared" si="12"/>
        <v>113.49049999999968</v>
      </c>
      <c r="AJ71">
        <f t="shared" si="13"/>
        <v>2.396420241158836</v>
      </c>
    </row>
    <row r="72" spans="9:36">
      <c r="I72">
        <f t="shared" si="11"/>
        <v>5.9999999999999947</v>
      </c>
      <c r="J72">
        <f t="shared" si="8"/>
        <v>4.9787068367864076E-2</v>
      </c>
      <c r="K72">
        <f t="shared" si="9"/>
        <v>0.79659309388582522</v>
      </c>
      <c r="L72">
        <f t="shared" si="14"/>
        <v>1.5188193604382229E-2</v>
      </c>
      <c r="AC72">
        <f t="shared" si="7"/>
        <v>6.199999999999994</v>
      </c>
      <c r="AD72">
        <f t="shared" si="0"/>
        <v>1.1532755626079886E-13</v>
      </c>
      <c r="AE72">
        <f t="shared" si="1"/>
        <v>119.16399999999966</v>
      </c>
      <c r="AF72">
        <f t="shared" si="2"/>
        <v>3.5133131005049937E-13</v>
      </c>
      <c r="AG72">
        <f t="shared" si="3"/>
        <v>136.20559342846352</v>
      </c>
      <c r="AH72">
        <f t="shared" si="4"/>
        <v>17.041593428463855</v>
      </c>
      <c r="AI72">
        <f t="shared" si="12"/>
        <v>119.16399999999966</v>
      </c>
      <c r="AJ72">
        <f t="shared" si="13"/>
        <v>2.4003201151335487</v>
      </c>
    </row>
    <row r="73" spans="9:36">
      <c r="I73">
        <f t="shared" si="11"/>
        <v>6.0999999999999943</v>
      </c>
      <c r="J73">
        <f t="shared" si="8"/>
        <v>4.7358924391141054E-2</v>
      </c>
      <c r="K73">
        <f t="shared" si="9"/>
        <v>0.75774279025825686</v>
      </c>
      <c r="L73">
        <f t="shared" si="14"/>
        <v>1.4690271059174273E-2</v>
      </c>
      <c r="AC73">
        <f t="shared" si="7"/>
        <v>6.2999999999999936</v>
      </c>
      <c r="AD73">
        <f t="shared" si="0"/>
        <v>2.6652991478451491E-14</v>
      </c>
      <c r="AE73">
        <f t="shared" si="1"/>
        <v>125.02349999999961</v>
      </c>
      <c r="AF73">
        <f t="shared" si="2"/>
        <v>8.1732416339633047E-14</v>
      </c>
      <c r="AG73">
        <f t="shared" si="3"/>
        <v>143.13189084662707</v>
      </c>
      <c r="AH73">
        <f t="shared" si="4"/>
        <v>18.108390846627458</v>
      </c>
      <c r="AI73">
        <f t="shared" si="12"/>
        <v>125.02349999999961</v>
      </c>
      <c r="AJ73">
        <f t="shared" si="13"/>
        <v>2.4041637834320571</v>
      </c>
    </row>
    <row r="74" spans="9:36">
      <c r="I74">
        <f t="shared" si="11"/>
        <v>6.199999999999994</v>
      </c>
      <c r="J74">
        <f t="shared" si="8"/>
        <v>4.504920239355794E-2</v>
      </c>
      <c r="K74">
        <f t="shared" si="9"/>
        <v>0.72078723829692704</v>
      </c>
      <c r="L74">
        <f t="shared" si="14"/>
        <v>1.4204790285136137E-2</v>
      </c>
      <c r="AC74">
        <f t="shared" si="7"/>
        <v>6.3999999999999932</v>
      </c>
      <c r="AD74">
        <f t="shared" si="0"/>
        <v>5.8754132319554378E-15</v>
      </c>
      <c r="AE74">
        <f t="shared" si="1"/>
        <v>131.0719999999996</v>
      </c>
      <c r="AF74">
        <f t="shared" si="2"/>
        <v>1.809694762035578E-14</v>
      </c>
      <c r="AG74">
        <f t="shared" si="3"/>
        <v>150.29295540045953</v>
      </c>
      <c r="AH74">
        <f t="shared" si="4"/>
        <v>19.220955400459928</v>
      </c>
      <c r="AI74">
        <f t="shared" si="12"/>
        <v>131.0719999999996</v>
      </c>
      <c r="AJ74">
        <f t="shared" si="13"/>
        <v>2.4079529292371062</v>
      </c>
    </row>
    <row r="75" spans="9:36">
      <c r="I75">
        <f t="shared" si="11"/>
        <v>6.2999999999999936</v>
      </c>
      <c r="J75">
        <f t="shared" si="8"/>
        <v>4.2852126867040319E-2</v>
      </c>
      <c r="K75">
        <f t="shared" si="9"/>
        <v>0.6856340298726451</v>
      </c>
      <c r="L75">
        <f t="shared" si="14"/>
        <v>1.3731722040735117E-2</v>
      </c>
      <c r="AC75">
        <f t="shared" si="7"/>
        <v>6.4999999999999929</v>
      </c>
      <c r="AD75">
        <f t="shared" ref="AD75:AD126" si="15">EXP(-((AC75/$AD$6)^$AD$7))</f>
        <v>1.23448193335766E-15</v>
      </c>
      <c r="AE75">
        <f t="shared" ref="AE75:AE126" si="16">AC75^$AD$7/$AD$6</f>
        <v>137.31249999999955</v>
      </c>
      <c r="AF75">
        <f t="shared" ref="AF75:AF126" si="17">EXP(-((AC75/$AF$6)^$AF$7))</f>
        <v>3.8104364344848142E-15</v>
      </c>
      <c r="AG75">
        <f t="shared" ref="AG75:AG126" si="18">AC75^$AF$7/$AF$6</f>
        <v>157.6928894194578</v>
      </c>
      <c r="AH75">
        <f t="shared" ref="AH75:AH126" si="19">AG75-AE75</f>
        <v>20.380389419458254</v>
      </c>
      <c r="AI75">
        <f t="shared" ref="AI75:AI126" si="20">AC75^$AD$7/$AD$6</f>
        <v>137.31249999999955</v>
      </c>
      <c r="AJ75">
        <f t="shared" ref="AJ75:AJ126" si="21">AC75^$AF$7/AI75</f>
        <v>2.4116891599880743</v>
      </c>
    </row>
    <row r="76" spans="9:36">
      <c r="I76">
        <f t="shared" si="11"/>
        <v>6.3999999999999932</v>
      </c>
      <c r="J76">
        <f t="shared" si="8"/>
        <v>4.076220397836635E-2</v>
      </c>
      <c r="K76">
        <f t="shared" si="9"/>
        <v>0.6521952636538616</v>
      </c>
      <c r="L76">
        <f t="shared" si="14"/>
        <v>1.3271010343079688E-2</v>
      </c>
      <c r="AC76">
        <f t="shared" ref="AC76:AC126" si="22">AC75+0.1</f>
        <v>6.5999999999999925</v>
      </c>
      <c r="AD76">
        <f t="shared" si="15"/>
        <v>2.4703540684194649E-16</v>
      </c>
      <c r="AE76">
        <f t="shared" si="16"/>
        <v>143.74799999999951</v>
      </c>
      <c r="AF76">
        <f t="shared" si="17"/>
        <v>7.6230158193633403E-16</v>
      </c>
      <c r="AG76">
        <f t="shared" si="18"/>
        <v>165.3358016485027</v>
      </c>
      <c r="AH76">
        <f t="shared" si="19"/>
        <v>21.587801648503188</v>
      </c>
      <c r="AI76">
        <f t="shared" si="20"/>
        <v>143.74799999999951</v>
      </c>
      <c r="AJ76">
        <f t="shared" si="21"/>
        <v>2.4153740118948219</v>
      </c>
    </row>
    <row r="77" spans="9:36">
      <c r="I77">
        <f t="shared" si="11"/>
        <v>6.4999999999999929</v>
      </c>
      <c r="J77">
        <f t="shared" ref="J77:J128" si="23">EXP(-((I77/$C$26)^$C$27))</f>
        <v>3.8774207831722148E-2</v>
      </c>
      <c r="K77">
        <f t="shared" ref="K77:K128" si="24">J77*$K$10</f>
        <v>0.62038732530755436</v>
      </c>
      <c r="L77">
        <f t="shared" ref="L77:L108" si="25">(J76-J77)*(I76+I77)/2</f>
        <v>1.2822575145855093E-2</v>
      </c>
      <c r="AC77">
        <f t="shared" si="22"/>
        <v>6.6999999999999922</v>
      </c>
      <c r="AD77">
        <f t="shared" si="15"/>
        <v>4.7047450328973294E-17</v>
      </c>
      <c r="AE77">
        <f t="shared" si="16"/>
        <v>150.38149999999948</v>
      </c>
      <c r="AF77">
        <f t="shared" si="17"/>
        <v>1.4477226118366414E-16</v>
      </c>
      <c r="AG77">
        <f t="shared" si="18"/>
        <v>173.22580715894716</v>
      </c>
      <c r="AH77">
        <f t="shared" si="19"/>
        <v>22.844307158947686</v>
      </c>
      <c r="AI77">
        <f t="shared" si="20"/>
        <v>150.38149999999948</v>
      </c>
      <c r="AJ77">
        <f t="shared" si="21"/>
        <v>2.419008954118627</v>
      </c>
    </row>
    <row r="78" spans="9:36">
      <c r="I78">
        <f t="shared" ref="I78:I128" si="26">I77+0.1</f>
        <v>6.5999999999999925</v>
      </c>
      <c r="J78">
        <f t="shared" si="23"/>
        <v>3.688316740124014E-2</v>
      </c>
      <c r="K78">
        <f t="shared" si="24"/>
        <v>0.59013067841984224</v>
      </c>
      <c r="L78">
        <f t="shared" si="25"/>
        <v>1.2386314819657136E-2</v>
      </c>
      <c r="AC78">
        <f t="shared" si="22"/>
        <v>6.7999999999999918</v>
      </c>
      <c r="AD78">
        <f t="shared" si="15"/>
        <v>8.5209826942682835E-18</v>
      </c>
      <c r="AE78">
        <f t="shared" si="16"/>
        <v>157.21599999999944</v>
      </c>
      <c r="AF78">
        <f t="shared" si="17"/>
        <v>2.6077952449570836E-17</v>
      </c>
      <c r="AG78">
        <f t="shared" si="18"/>
        <v>181.36702726227003</v>
      </c>
      <c r="AH78">
        <f t="shared" si="19"/>
        <v>24.151027262270588</v>
      </c>
      <c r="AI78">
        <f t="shared" si="20"/>
        <v>157.21599999999944</v>
      </c>
      <c r="AJ78">
        <f t="shared" si="21"/>
        <v>2.4225953926494026</v>
      </c>
    </row>
    <row r="79" spans="9:36">
      <c r="I79">
        <f t="shared" si="26"/>
        <v>6.6999999999999922</v>
      </c>
      <c r="J79">
        <f t="shared" si="23"/>
        <v>3.5084354100845164E-2</v>
      </c>
      <c r="K79">
        <f t="shared" si="24"/>
        <v>0.56134966561352262</v>
      </c>
      <c r="L79">
        <f t="shared" si="25"/>
        <v>1.1962108447626577E-2</v>
      </c>
      <c r="AC79">
        <f t="shared" si="22"/>
        <v>6.8999999999999915</v>
      </c>
      <c r="AD79">
        <f t="shared" si="15"/>
        <v>1.4665411571045951E-18</v>
      </c>
      <c r="AE79">
        <f t="shared" si="16"/>
        <v>164.25449999999941</v>
      </c>
      <c r="AF79">
        <f t="shared" si="17"/>
        <v>4.4515761865111885E-18</v>
      </c>
      <c r="AG79">
        <f t="shared" si="18"/>
        <v>189.76358942617614</v>
      </c>
      <c r="AH79">
        <f t="shared" si="19"/>
        <v>25.509089426176729</v>
      </c>
      <c r="AI79">
        <f t="shared" si="20"/>
        <v>164.25449999999941</v>
      </c>
      <c r="AJ79">
        <f t="shared" si="21"/>
        <v>2.4261346739052589</v>
      </c>
    </row>
    <row r="80" spans="9:36">
      <c r="I80">
        <f t="shared" si="26"/>
        <v>6.7999999999999918</v>
      </c>
      <c r="J80">
        <f t="shared" si="23"/>
        <v>3.3373269960326218E-2</v>
      </c>
      <c r="K80">
        <f t="shared" si="24"/>
        <v>0.53397231936521949</v>
      </c>
      <c r="L80">
        <f t="shared" si="25"/>
        <v>1.1549817948502867E-2</v>
      </c>
      <c r="AC80">
        <f t="shared" si="22"/>
        <v>6.9999999999999911</v>
      </c>
      <c r="AD80">
        <f t="shared" si="15"/>
        <v>2.396757463280356E-19</v>
      </c>
      <c r="AE80">
        <f t="shared" si="16"/>
        <v>171.49999999999935</v>
      </c>
      <c r="AF80">
        <f t="shared" si="17"/>
        <v>7.194959631176927E-19</v>
      </c>
      <c r="AG80">
        <f t="shared" si="18"/>
        <v>198.41962719304689</v>
      </c>
      <c r="AH80">
        <f t="shared" si="19"/>
        <v>26.919627193047546</v>
      </c>
      <c r="AI80">
        <f t="shared" si="20"/>
        <v>171.49999999999935</v>
      </c>
      <c r="AJ80">
        <f t="shared" si="21"/>
        <v>2.4296280880781347</v>
      </c>
    </row>
    <row r="81" spans="9:36">
      <c r="I81">
        <f t="shared" si="26"/>
        <v>6.8999999999999915</v>
      </c>
      <c r="J81">
        <f t="shared" si="23"/>
        <v>3.1745636378068078E-2</v>
      </c>
      <c r="K81">
        <f t="shared" si="24"/>
        <v>0.50793018204908924</v>
      </c>
      <c r="L81">
        <f t="shared" si="25"/>
        <v>1.1149290038468252E-2</v>
      </c>
      <c r="AC81">
        <f t="shared" si="22"/>
        <v>7.0999999999999908</v>
      </c>
      <c r="AD81">
        <f t="shared" si="15"/>
        <v>3.7166653682236483E-20</v>
      </c>
      <c r="AE81">
        <f t="shared" si="16"/>
        <v>178.95549999999929</v>
      </c>
      <c r="AF81">
        <f t="shared" si="17"/>
        <v>1.1001163869000118E-19</v>
      </c>
      <c r="AG81">
        <f t="shared" si="18"/>
        <v>207.3392801006365</v>
      </c>
      <c r="AH81">
        <f t="shared" si="19"/>
        <v>28.38378010063721</v>
      </c>
      <c r="AI81">
        <f t="shared" si="20"/>
        <v>178.95549999999929</v>
      </c>
      <c r="AJ81">
        <f t="shared" si="21"/>
        <v>2.4330768722466667</v>
      </c>
    </row>
    <row r="82" spans="9:36">
      <c r="I82">
        <f t="shared" si="26"/>
        <v>6.9999999999999911</v>
      </c>
      <c r="J82">
        <f t="shared" si="23"/>
        <v>3.0197383422318636E-2</v>
      </c>
      <c r="K82">
        <f t="shared" si="24"/>
        <v>0.48315813475709818</v>
      </c>
      <c r="L82">
        <f t="shared" si="25"/>
        <v>1.0760358042458604E-2</v>
      </c>
      <c r="AC82">
        <f t="shared" si="22"/>
        <v>7.1999999999999904</v>
      </c>
      <c r="AD82">
        <f t="shared" si="15"/>
        <v>5.4645782890345706E-21</v>
      </c>
      <c r="AE82">
        <f t="shared" si="16"/>
        <v>186.62399999999926</v>
      </c>
      <c r="AF82">
        <f t="shared" si="17"/>
        <v>1.5898845079680194E-20</v>
      </c>
      <c r="AG82">
        <f t="shared" si="18"/>
        <v>216.52669360492331</v>
      </c>
      <c r="AH82">
        <f t="shared" si="19"/>
        <v>29.902693604924053</v>
      </c>
      <c r="AI82">
        <f t="shared" si="20"/>
        <v>186.62399999999926</v>
      </c>
      <c r="AJ82">
        <f t="shared" si="21"/>
        <v>2.4364822132755743</v>
      </c>
    </row>
    <row r="83" spans="9:36">
      <c r="I83">
        <f t="shared" si="26"/>
        <v>7.0999999999999908</v>
      </c>
      <c r="J83">
        <f t="shared" si="23"/>
        <v>2.8724639654239562E-2</v>
      </c>
      <c r="K83">
        <f t="shared" si="24"/>
        <v>0.45959423446783298</v>
      </c>
      <c r="L83">
        <f t="shared" si="25"/>
        <v>1.0382843564957462E-2</v>
      </c>
      <c r="AC83">
        <f t="shared" si="22"/>
        <v>7.2999999999999901</v>
      </c>
      <c r="AD83">
        <f t="shared" si="15"/>
        <v>7.612160587759423E-22</v>
      </c>
      <c r="AE83">
        <f t="shared" si="16"/>
        <v>194.5084999999992</v>
      </c>
      <c r="AF83">
        <f t="shared" si="17"/>
        <v>2.1698494824003279E-21</v>
      </c>
      <c r="AG83">
        <f t="shared" si="18"/>
        <v>225.98601900502734</v>
      </c>
      <c r="AH83">
        <f t="shared" si="19"/>
        <v>31.477519005028142</v>
      </c>
      <c r="AI83">
        <f t="shared" si="20"/>
        <v>194.5084999999992</v>
      </c>
      <c r="AJ83">
        <f t="shared" si="21"/>
        <v>2.4398452505189199</v>
      </c>
    </row>
    <row r="84" spans="9:36">
      <c r="I84">
        <f t="shared" si="26"/>
        <v>7.1999999999999904</v>
      </c>
      <c r="J84">
        <f t="shared" si="23"/>
        <v>2.7323722447292691E-2</v>
      </c>
      <c r="K84">
        <f t="shared" si="24"/>
        <v>0.43717955915668305</v>
      </c>
      <c r="L84">
        <f t="shared" si="25"/>
        <v>1.0016558029670114E-2</v>
      </c>
      <c r="AC84">
        <f t="shared" si="22"/>
        <v>7.3999999999999897</v>
      </c>
      <c r="AD84">
        <f t="shared" si="15"/>
        <v>1.0038795519236212E-22</v>
      </c>
      <c r="AE84">
        <f t="shared" si="16"/>
        <v>202.61199999999917</v>
      </c>
      <c r="AF84">
        <f t="shared" si="17"/>
        <v>2.7941557860739898E-22</v>
      </c>
      <c r="AG84">
        <f t="shared" si="18"/>
        <v>235.72141337011098</v>
      </c>
      <c r="AH84">
        <f t="shared" si="19"/>
        <v>33.10941337011181</v>
      </c>
      <c r="AI84">
        <f t="shared" si="20"/>
        <v>202.61199999999917</v>
      </c>
      <c r="AJ84">
        <f t="shared" si="21"/>
        <v>2.4431670783430155</v>
      </c>
    </row>
    <row r="85" spans="9:36">
      <c r="I85">
        <f t="shared" si="26"/>
        <v>7.2999999999999901</v>
      </c>
      <c r="J85">
        <f t="shared" si="23"/>
        <v>2.5991128778755472E-2</v>
      </c>
      <c r="K85">
        <f t="shared" si="24"/>
        <v>0.41585806046008755</v>
      </c>
      <c r="L85">
        <f t="shared" si="25"/>
        <v>9.6613040968948211E-3</v>
      </c>
      <c r="AC85">
        <f t="shared" si="22"/>
        <v>7.4999999999999893</v>
      </c>
      <c r="AD85">
        <f t="shared" si="15"/>
        <v>1.2524255847809174E-23</v>
      </c>
      <c r="AE85">
        <f t="shared" si="16"/>
        <v>210.93749999999912</v>
      </c>
      <c r="AF85">
        <f t="shared" si="17"/>
        <v>3.3919384816048992E-23</v>
      </c>
      <c r="AG85">
        <f t="shared" si="18"/>
        <v>245.73703946818503</v>
      </c>
      <c r="AH85">
        <f t="shared" si="19"/>
        <v>34.799539468185912</v>
      </c>
      <c r="AI85">
        <f t="shared" si="20"/>
        <v>210.93749999999912</v>
      </c>
      <c r="AJ85">
        <f t="shared" si="21"/>
        <v>2.4464487484832746</v>
      </c>
    </row>
    <row r="86" spans="9:36">
      <c r="I86">
        <f t="shared" si="26"/>
        <v>7.3999999999999897</v>
      </c>
      <c r="J86">
        <f t="shared" si="23"/>
        <v>2.472352647033952E-2</v>
      </c>
      <c r="K86">
        <f t="shared" si="24"/>
        <v>0.39557642352543232</v>
      </c>
      <c r="L86">
        <f t="shared" si="25"/>
        <v>9.3168769668572349E-3</v>
      </c>
      <c r="AC86">
        <f t="shared" si="22"/>
        <v>7.599999999999989</v>
      </c>
      <c r="AD86">
        <f t="shared" si="15"/>
        <v>1.4770431708419487E-24</v>
      </c>
      <c r="AE86">
        <f t="shared" si="16"/>
        <v>219.48799999999906</v>
      </c>
      <c r="AF86">
        <f t="shared" si="17"/>
        <v>3.8782920846964933E-24</v>
      </c>
      <c r="AG86">
        <f t="shared" si="18"/>
        <v>256.03706569674068</v>
      </c>
      <c r="AH86">
        <f t="shared" si="19"/>
        <v>36.549065696741621</v>
      </c>
      <c r="AI86">
        <f t="shared" si="20"/>
        <v>219.48799999999906</v>
      </c>
      <c r="AJ86">
        <f t="shared" si="21"/>
        <v>2.4496912722479482</v>
      </c>
    </row>
    <row r="87" spans="9:36">
      <c r="I87">
        <f t="shared" si="26"/>
        <v>7.4999999999999893</v>
      </c>
      <c r="J87">
        <f t="shared" si="23"/>
        <v>2.3517745856009232E-2</v>
      </c>
      <c r="K87">
        <f t="shared" si="24"/>
        <v>0.37628393369614771</v>
      </c>
      <c r="L87">
        <f t="shared" si="25"/>
        <v>8.9830655767606342E-3</v>
      </c>
      <c r="AC87">
        <f t="shared" si="22"/>
        <v>7.6999999999999886</v>
      </c>
      <c r="AD87">
        <f t="shared" si="15"/>
        <v>1.6454309487820646E-25</v>
      </c>
      <c r="AE87">
        <f t="shared" si="16"/>
        <v>228.26649999999898</v>
      </c>
      <c r="AF87">
        <f t="shared" si="17"/>
        <v>4.1729828596871027E-25</v>
      </c>
      <c r="AG87">
        <f t="shared" si="18"/>
        <v>266.62566601514612</v>
      </c>
      <c r="AH87">
        <f t="shared" si="19"/>
        <v>38.359166015147139</v>
      </c>
      <c r="AI87">
        <f t="shared" si="20"/>
        <v>228.26649999999898</v>
      </c>
      <c r="AJ87">
        <f t="shared" si="21"/>
        <v>2.4528956225806651</v>
      </c>
    </row>
    <row r="88" spans="9:36">
      <c r="I88">
        <f t="shared" si="26"/>
        <v>7.599999999999989</v>
      </c>
      <c r="J88">
        <f t="shared" si="23"/>
        <v>2.2370771856165719E-2</v>
      </c>
      <c r="K88">
        <f t="shared" si="24"/>
        <v>0.35793234969865151</v>
      </c>
      <c r="L88">
        <f t="shared" si="25"/>
        <v>8.6596536988185081E-3</v>
      </c>
      <c r="AC88">
        <f t="shared" si="22"/>
        <v>7.7999999999999883</v>
      </c>
      <c r="AD88">
        <f t="shared" si="15"/>
        <v>1.7301574533156301E-26</v>
      </c>
      <c r="AE88">
        <f t="shared" si="16"/>
        <v>237.27599999999893</v>
      </c>
      <c r="AF88">
        <f t="shared" si="17"/>
        <v>4.2216679318327501E-26</v>
      </c>
      <c r="AG88">
        <f t="shared" si="18"/>
        <v>277.50701987872804</v>
      </c>
      <c r="AH88">
        <f t="shared" si="19"/>
        <v>40.231019878729114</v>
      </c>
      <c r="AI88">
        <f t="shared" si="20"/>
        <v>237.27599999999893</v>
      </c>
      <c r="AJ88">
        <f t="shared" si="21"/>
        <v>2.4560627359923952</v>
      </c>
    </row>
    <row r="89" spans="9:36">
      <c r="I89">
        <f t="shared" si="26"/>
        <v>7.6999999999999886</v>
      </c>
      <c r="J89">
        <f t="shared" si="23"/>
        <v>2.127973643837729E-2</v>
      </c>
      <c r="K89">
        <f t="shared" si="24"/>
        <v>0.34047578301403664</v>
      </c>
      <c r="L89">
        <f t="shared" si="25"/>
        <v>8.3464209460814738E-3</v>
      </c>
      <c r="AC89">
        <f t="shared" si="22"/>
        <v>7.8999999999999879</v>
      </c>
      <c r="AD89">
        <f t="shared" si="15"/>
        <v>1.7158738954055251E-27</v>
      </c>
      <c r="AE89">
        <f t="shared" si="16"/>
        <v>246.51949999999889</v>
      </c>
      <c r="AF89">
        <f t="shared" si="17"/>
        <v>4.0120862877997797E-27</v>
      </c>
      <c r="AG89">
        <f t="shared" si="18"/>
        <v>288.68531217448793</v>
      </c>
      <c r="AH89">
        <f t="shared" si="19"/>
        <v>42.165812174489048</v>
      </c>
      <c r="AI89">
        <f t="shared" si="20"/>
        <v>246.51949999999889</v>
      </c>
      <c r="AJ89">
        <f t="shared" si="21"/>
        <v>2.4591935143728079</v>
      </c>
    </row>
    <row r="90" spans="9:36">
      <c r="I90">
        <f t="shared" si="26"/>
        <v>7.7999999999999883</v>
      </c>
      <c r="J90">
        <f t="shared" si="23"/>
        <v>2.0241911445804506E-2</v>
      </c>
      <c r="K90">
        <f t="shared" si="24"/>
        <v>0.32387058313287209</v>
      </c>
      <c r="L90">
        <f t="shared" si="25"/>
        <v>8.0431436924390653E-3</v>
      </c>
      <c r="AC90">
        <f t="shared" si="22"/>
        <v>7.9999999999999876</v>
      </c>
      <c r="AD90">
        <f t="shared" si="15"/>
        <v>1.6038108905491164E-28</v>
      </c>
      <c r="AE90">
        <f t="shared" si="16"/>
        <v>255.99999999999881</v>
      </c>
      <c r="AF90">
        <f t="shared" si="17"/>
        <v>3.5786731967431375E-28</v>
      </c>
      <c r="AG90">
        <f t="shared" si="18"/>
        <v>300.16473315837823</v>
      </c>
      <c r="AH90">
        <f t="shared" si="19"/>
        <v>44.16473315837942</v>
      </c>
      <c r="AI90">
        <f t="shared" si="20"/>
        <v>255.99999999999881</v>
      </c>
      <c r="AJ90">
        <f t="shared" si="21"/>
        <v>2.4622888266898331</v>
      </c>
    </row>
    <row r="91" spans="9:36">
      <c r="I91">
        <f t="shared" si="26"/>
        <v>7.8999999999999879</v>
      </c>
      <c r="J91">
        <f t="shared" si="23"/>
        <v>1.9254701775387042E-2</v>
      </c>
      <c r="K91">
        <f t="shared" si="24"/>
        <v>0.30807522840619267</v>
      </c>
      <c r="L91">
        <f t="shared" si="25"/>
        <v>7.7495959127770802E-3</v>
      </c>
      <c r="AC91">
        <f t="shared" si="22"/>
        <v>8.0999999999999872</v>
      </c>
      <c r="AD91">
        <f t="shared" si="15"/>
        <v>1.4117678266423926E-29</v>
      </c>
      <c r="AE91">
        <f t="shared" si="16"/>
        <v>265.72049999999871</v>
      </c>
      <c r="AF91">
        <f t="shared" si="17"/>
        <v>2.9933380445848332E-29</v>
      </c>
      <c r="AG91">
        <f t="shared" si="18"/>
        <v>311.94947839409474</v>
      </c>
      <c r="AH91">
        <f t="shared" si="19"/>
        <v>46.228978394096032</v>
      </c>
      <c r="AI91">
        <f t="shared" si="20"/>
        <v>265.72049999999871</v>
      </c>
      <c r="AJ91">
        <f t="shared" si="21"/>
        <v>2.4653495105857548</v>
      </c>
    </row>
    <row r="92" spans="9:36">
      <c r="I92">
        <f t="shared" si="26"/>
        <v>7.9999999999999876</v>
      </c>
      <c r="J92">
        <f t="shared" si="23"/>
        <v>1.8315638888734293E-2</v>
      </c>
      <c r="K92">
        <f t="shared" si="24"/>
        <v>0.29305022221974869</v>
      </c>
      <c r="L92">
        <f t="shared" si="25"/>
        <v>7.4655499488893405E-3</v>
      </c>
      <c r="AC92">
        <f t="shared" si="22"/>
        <v>8.1999999999999869</v>
      </c>
      <c r="AD92">
        <f t="shared" si="15"/>
        <v>1.1694724969341512E-30</v>
      </c>
      <c r="AE92">
        <f t="shared" si="16"/>
        <v>275.68399999999866</v>
      </c>
      <c r="AF92">
        <f t="shared" si="17"/>
        <v>2.3457802653991202E-30</v>
      </c>
      <c r="AG92">
        <f t="shared" si="18"/>
        <v>324.04374869331951</v>
      </c>
      <c r="AH92">
        <f t="shared" si="19"/>
        <v>48.359748693320853</v>
      </c>
      <c r="AI92">
        <f t="shared" si="20"/>
        <v>275.68399999999866</v>
      </c>
      <c r="AJ92">
        <f t="shared" si="21"/>
        <v>2.4683763738772444</v>
      </c>
    </row>
    <row r="93" spans="9:36">
      <c r="I93">
        <f t="shared" si="26"/>
        <v>8.0999999999999872</v>
      </c>
      <c r="J93">
        <f t="shared" si="23"/>
        <v>1.7422374639493622E-2</v>
      </c>
      <c r="K93">
        <f t="shared" si="24"/>
        <v>0.27875799423189795</v>
      </c>
      <c r="L93">
        <f t="shared" si="25"/>
        <v>7.1907772063873896E-3</v>
      </c>
      <c r="AC93">
        <f t="shared" si="22"/>
        <v>8.2999999999999865</v>
      </c>
      <c r="AD93">
        <f t="shared" si="15"/>
        <v>9.109774662727609E-32</v>
      </c>
      <c r="AE93">
        <f t="shared" si="16"/>
        <v>285.8934999999986</v>
      </c>
      <c r="AF93">
        <f t="shared" si="17"/>
        <v>1.7208069179684328E-31</v>
      </c>
      <c r="AG93">
        <f t="shared" si="18"/>
        <v>336.45175005736934</v>
      </c>
      <c r="AH93">
        <f t="shared" si="19"/>
        <v>50.558250057370742</v>
      </c>
      <c r="AI93">
        <f t="shared" si="20"/>
        <v>285.8934999999986</v>
      </c>
      <c r="AJ93">
        <f t="shared" si="21"/>
        <v>2.4713701959662573</v>
      </c>
    </row>
    <row r="94" spans="9:36">
      <c r="I94">
        <f t="shared" si="26"/>
        <v>8.1999999999999869</v>
      </c>
      <c r="J94">
        <f t="shared" si="23"/>
        <v>1.6572675401761355E-2</v>
      </c>
      <c r="K94">
        <f t="shared" si="24"/>
        <v>0.26516280642818169</v>
      </c>
      <c r="L94">
        <f t="shared" si="25"/>
        <v>6.9250487875179645E-3</v>
      </c>
      <c r="AC94">
        <f t="shared" si="22"/>
        <v>8.3999999999999861</v>
      </c>
      <c r="AD94">
        <f t="shared" si="15"/>
        <v>6.6679206773792738E-33</v>
      </c>
      <c r="AE94">
        <f t="shared" si="16"/>
        <v>296.3519999999985</v>
      </c>
      <c r="AF94">
        <f t="shared" si="17"/>
        <v>1.1806064604676218E-32</v>
      </c>
      <c r="AG94">
        <f t="shared" si="18"/>
        <v>349.17769362019442</v>
      </c>
      <c r="AH94">
        <f t="shared" si="19"/>
        <v>52.825693620195921</v>
      </c>
      <c r="AI94">
        <f t="shared" si="20"/>
        <v>296.3519999999985</v>
      </c>
      <c r="AJ94">
        <f t="shared" si="21"/>
        <v>2.4743317291680569</v>
      </c>
    </row>
    <row r="95" spans="9:36">
      <c r="I95">
        <f t="shared" si="26"/>
        <v>8.2999999999999865</v>
      </c>
      <c r="J95">
        <f t="shared" si="23"/>
        <v>1.5764416484854597E-2</v>
      </c>
      <c r="K95">
        <f t="shared" si="24"/>
        <v>0.25223066375767356</v>
      </c>
      <c r="L95">
        <f t="shared" si="25"/>
        <v>6.6681360644807426E-3</v>
      </c>
      <c r="AC95">
        <f t="shared" si="22"/>
        <v>8.4999999999999858</v>
      </c>
      <c r="AD95">
        <f t="shared" si="15"/>
        <v>4.5826075115970888E-34</v>
      </c>
      <c r="AE95">
        <f t="shared" si="16"/>
        <v>307.06249999999847</v>
      </c>
      <c r="AF95">
        <f t="shared" si="17"/>
        <v>7.5686922243291474E-34</v>
      </c>
      <c r="AG95">
        <f t="shared" si="18"/>
        <v>362.22579559268615</v>
      </c>
      <c r="AH95">
        <f t="shared" si="19"/>
        <v>55.163295592687689</v>
      </c>
      <c r="AI95">
        <f t="shared" si="20"/>
        <v>307.06249999999847</v>
      </c>
      <c r="AJ95">
        <f t="shared" si="21"/>
        <v>2.4772616999622055</v>
      </c>
    </row>
    <row r="96" spans="9:36">
      <c r="I96">
        <f t="shared" si="26"/>
        <v>8.3999999999999861</v>
      </c>
      <c r="J96">
        <f t="shared" si="23"/>
        <v>1.4995576820477811E-2</v>
      </c>
      <c r="K96">
        <f t="shared" si="24"/>
        <v>0.23992922912764497</v>
      </c>
      <c r="L96">
        <f t="shared" si="25"/>
        <v>6.4198111975461575E-3</v>
      </c>
      <c r="AC96">
        <f t="shared" si="22"/>
        <v>8.5999999999999854</v>
      </c>
      <c r="AD96">
        <f t="shared" si="15"/>
        <v>2.9549397302394411E-35</v>
      </c>
      <c r="AE96">
        <f t="shared" si="16"/>
        <v>318.02799999999837</v>
      </c>
      <c r="AF96">
        <f t="shared" si="17"/>
        <v>4.529948185150114E-35</v>
      </c>
      <c r="AG96">
        <f t="shared" si="18"/>
        <v>375.60027720824286</v>
      </c>
      <c r="AH96">
        <f t="shared" si="19"/>
        <v>57.572277208244486</v>
      </c>
      <c r="AI96">
        <f t="shared" si="20"/>
        <v>318.02799999999837</v>
      </c>
      <c r="AJ96">
        <f t="shared" si="21"/>
        <v>2.4801608101717902</v>
      </c>
    </row>
    <row r="97" spans="9:36">
      <c r="I97">
        <f t="shared" si="26"/>
        <v>8.4999999999999858</v>
      </c>
      <c r="J97">
        <f t="shared" si="23"/>
        <v>1.4264233908999356E-2</v>
      </c>
      <c r="K97">
        <f t="shared" si="24"/>
        <v>0.2282277425439897</v>
      </c>
      <c r="L97">
        <f t="shared" si="25"/>
        <v>6.1798476019929308E-3</v>
      </c>
      <c r="AC97">
        <f t="shared" si="22"/>
        <v>8.6999999999999851</v>
      </c>
      <c r="AD97">
        <f t="shared" si="15"/>
        <v>1.7863748588160793E-36</v>
      </c>
      <c r="AE97">
        <f t="shared" si="16"/>
        <v>329.25149999999832</v>
      </c>
      <c r="AF97">
        <f t="shared" si="17"/>
        <v>2.5289246519090913E-36</v>
      </c>
      <c r="AG97">
        <f t="shared" si="18"/>
        <v>389.30536466955334</v>
      </c>
      <c r="AH97">
        <f t="shared" si="19"/>
        <v>60.053864669555026</v>
      </c>
      <c r="AI97">
        <f t="shared" si="20"/>
        <v>329.25149999999832</v>
      </c>
      <c r="AJ97">
        <f t="shared" si="21"/>
        <v>2.483029738075806</v>
      </c>
    </row>
    <row r="98" spans="9:36">
      <c r="I98">
        <f t="shared" si="26"/>
        <v>8.5999999999999854</v>
      </c>
      <c r="J98">
        <f t="shared" si="23"/>
        <v>1.3568559012201031E-2</v>
      </c>
      <c r="K98">
        <f t="shared" si="24"/>
        <v>0.2170969441952165</v>
      </c>
      <c r="L98">
        <f t="shared" si="25"/>
        <v>5.9480203676256704E-3</v>
      </c>
      <c r="AC98">
        <f t="shared" si="22"/>
        <v>8.7999999999999847</v>
      </c>
      <c r="AD98">
        <f t="shared" si="15"/>
        <v>1.0117165480574E-37</v>
      </c>
      <c r="AE98">
        <f t="shared" si="16"/>
        <v>340.73599999999823</v>
      </c>
      <c r="AF98">
        <f t="shared" si="17"/>
        <v>1.3157153128730115E-37</v>
      </c>
      <c r="AG98">
        <f t="shared" si="18"/>
        <v>403.34528909656024</v>
      </c>
      <c r="AH98">
        <f t="shared" si="19"/>
        <v>62.609289096562009</v>
      </c>
      <c r="AI98">
        <f t="shared" si="20"/>
        <v>340.73599999999823</v>
      </c>
      <c r="AJ98">
        <f t="shared" si="21"/>
        <v>2.4858691394592318</v>
      </c>
    </row>
    <row r="99" spans="9:36">
      <c r="I99">
        <f t="shared" si="26"/>
        <v>8.6999999999999851</v>
      </c>
      <c r="J99">
        <f t="shared" si="23"/>
        <v>1.2906812580479965E-2</v>
      </c>
      <c r="K99">
        <f t="shared" si="24"/>
        <v>0.20650900128767943</v>
      </c>
      <c r="L99">
        <f t="shared" si="25"/>
        <v>5.7241066343872143E-3</v>
      </c>
      <c r="AC99">
        <f t="shared" si="22"/>
        <v>8.8999999999999844</v>
      </c>
      <c r="AD99">
        <f t="shared" si="15"/>
        <v>5.3639123601909889E-39</v>
      </c>
      <c r="AE99">
        <f t="shared" si="16"/>
        <v>352.48449999999815</v>
      </c>
      <c r="AF99">
        <f t="shared" si="17"/>
        <v>6.3735885625377707E-39</v>
      </c>
      <c r="AG99">
        <f t="shared" si="18"/>
        <v>417.72428647555654</v>
      </c>
      <c r="AH99">
        <f t="shared" si="19"/>
        <v>65.23978647555839</v>
      </c>
      <c r="AI99">
        <f t="shared" si="20"/>
        <v>352.48449999999815</v>
      </c>
      <c r="AJ99">
        <f t="shared" si="21"/>
        <v>2.4886796486048985</v>
      </c>
    </row>
    <row r="100" spans="9:36">
      <c r="I100">
        <f t="shared" si="26"/>
        <v>8.7999999999999847</v>
      </c>
      <c r="J100">
        <f t="shared" si="23"/>
        <v>1.2277339903068535E-2</v>
      </c>
      <c r="K100">
        <f t="shared" si="24"/>
        <v>0.19643743844909656</v>
      </c>
      <c r="L100">
        <f t="shared" si="25"/>
        <v>5.5078859273500012E-3</v>
      </c>
      <c r="AC100">
        <f t="shared" si="22"/>
        <v>8.999999999999984</v>
      </c>
      <c r="AD100">
        <f t="shared" si="15"/>
        <v>2.6602064159452717E-40</v>
      </c>
      <c r="AE100">
        <f t="shared" si="16"/>
        <v>364.49999999999807</v>
      </c>
      <c r="AF100">
        <f t="shared" si="17"/>
        <v>2.8721982203672379E-40</v>
      </c>
      <c r="AG100">
        <f t="shared" si="18"/>
        <v>432.4465976093847</v>
      </c>
      <c r="AH100">
        <f t="shared" si="19"/>
        <v>67.946597609386629</v>
      </c>
      <c r="AI100">
        <f t="shared" si="20"/>
        <v>364.49999999999807</v>
      </c>
      <c r="AJ100">
        <f t="shared" si="21"/>
        <v>2.4914618792310361</v>
      </c>
    </row>
    <row r="101" spans="9:36">
      <c r="I101">
        <f t="shared" si="26"/>
        <v>8.8999999999999844</v>
      </c>
      <c r="J101">
        <f t="shared" si="23"/>
        <v>1.1678566970395536E-2</v>
      </c>
      <c r="K101">
        <f t="shared" si="24"/>
        <v>0.18685707152632858</v>
      </c>
      <c r="L101">
        <f t="shared" si="25"/>
        <v>5.2991404541560296E-3</v>
      </c>
      <c r="AC101">
        <f t="shared" si="22"/>
        <v>9.0999999999999837</v>
      </c>
      <c r="AD101">
        <f t="shared" si="15"/>
        <v>1.2332017212111493E-41</v>
      </c>
      <c r="AE101">
        <f t="shared" si="16"/>
        <v>376.78549999999797</v>
      </c>
      <c r="AF101">
        <f t="shared" si="17"/>
        <v>1.2029979222157809E-41</v>
      </c>
      <c r="AG101">
        <f t="shared" si="18"/>
        <v>447.51646806869547</v>
      </c>
      <c r="AH101">
        <f t="shared" si="19"/>
        <v>70.730968068697507</v>
      </c>
      <c r="AI101">
        <f t="shared" si="20"/>
        <v>376.78549999999797</v>
      </c>
      <c r="AJ101">
        <f t="shared" si="21"/>
        <v>2.4942164253780086</v>
      </c>
    </row>
    <row r="102" spans="9:36">
      <c r="I102">
        <f t="shared" si="26"/>
        <v>8.999999999999984</v>
      </c>
      <c r="J102">
        <f t="shared" si="23"/>
        <v>1.1108996538242395E-2</v>
      </c>
      <c r="K102">
        <f t="shared" si="24"/>
        <v>0.17774394461187831</v>
      </c>
      <c r="L102">
        <f t="shared" si="25"/>
        <v>5.0976553677706087E-3</v>
      </c>
      <c r="AC102">
        <f t="shared" si="22"/>
        <v>9.1999999999999833</v>
      </c>
      <c r="AD102">
        <f t="shared" si="15"/>
        <v>5.3396440782866039E-43</v>
      </c>
      <c r="AE102">
        <f t="shared" si="16"/>
        <v>389.34399999999783</v>
      </c>
      <c r="AF102">
        <f t="shared" si="17"/>
        <v>4.6789326594008033E-43</v>
      </c>
      <c r="AG102">
        <f t="shared" si="18"/>
        <v>462.93814814424502</v>
      </c>
      <c r="AH102">
        <f t="shared" si="19"/>
        <v>73.594148144247185</v>
      </c>
      <c r="AI102">
        <f t="shared" si="20"/>
        <v>389.34399999999783</v>
      </c>
      <c r="AJ102">
        <f t="shared" si="21"/>
        <v>2.4969438622475755</v>
      </c>
    </row>
    <row r="103" spans="9:36">
      <c r="I103">
        <f t="shared" si="26"/>
        <v>9.0999999999999837</v>
      </c>
      <c r="J103">
        <f t="shared" si="23"/>
        <v>1.056720438385274E-2</v>
      </c>
      <c r="K103">
        <f t="shared" si="24"/>
        <v>0.16907527014164384</v>
      </c>
      <c r="L103">
        <f t="shared" si="25"/>
        <v>4.9032189972263674E-3</v>
      </c>
      <c r="AC103">
        <f t="shared" si="22"/>
        <v>9.2999999999999829</v>
      </c>
      <c r="AD103">
        <f t="shared" si="15"/>
        <v>2.1578645355918051E-44</v>
      </c>
      <c r="AE103">
        <f t="shared" si="16"/>
        <v>402.17849999999777</v>
      </c>
      <c r="AF103">
        <f t="shared" si="17"/>
        <v>1.6883834968844593E-44</v>
      </c>
      <c r="AG103">
        <f t="shared" si="18"/>
        <v>478.7158928001777</v>
      </c>
      <c r="AH103">
        <f t="shared" si="19"/>
        <v>76.53739280017993</v>
      </c>
      <c r="AI103">
        <f t="shared" si="20"/>
        <v>402.17849999999777</v>
      </c>
      <c r="AJ103">
        <f t="shared" si="21"/>
        <v>2.4996447469976113</v>
      </c>
    </row>
    <row r="104" spans="9:36">
      <c r="I104">
        <f t="shared" si="26"/>
        <v>9.1999999999999833</v>
      </c>
      <c r="J104">
        <f t="shared" si="23"/>
        <v>1.0051835744633666E-2</v>
      </c>
      <c r="K104">
        <f t="shared" si="24"/>
        <v>0.16082937191413865</v>
      </c>
      <c r="L104">
        <f t="shared" si="25"/>
        <v>4.715623048854518E-3</v>
      </c>
      <c r="AC104">
        <f t="shared" si="22"/>
        <v>9.3999999999999826</v>
      </c>
      <c r="AD104">
        <f t="shared" si="15"/>
        <v>8.1328732769896665E-46</v>
      </c>
      <c r="AE104">
        <f t="shared" si="16"/>
        <v>415.2919999999977</v>
      </c>
      <c r="AF104">
        <f t="shared" si="17"/>
        <v>5.6473967888767787E-46</v>
      </c>
      <c r="AG104">
        <f t="shared" si="18"/>
        <v>494.85396162828192</v>
      </c>
      <c r="AH104">
        <f t="shared" si="19"/>
        <v>79.561961628284223</v>
      </c>
      <c r="AI104">
        <f t="shared" si="20"/>
        <v>415.2919999999977</v>
      </c>
      <c r="AJ104">
        <f t="shared" si="21"/>
        <v>2.5023196194951933</v>
      </c>
    </row>
    <row r="105" spans="9:36">
      <c r="I105">
        <f t="shared" si="26"/>
        <v>9.2999999999999829</v>
      </c>
      <c r="J105">
        <f t="shared" si="23"/>
        <v>9.5616019305435895E-3</v>
      </c>
      <c r="K105">
        <f t="shared" si="24"/>
        <v>0.15298563088869743</v>
      </c>
      <c r="L105">
        <f t="shared" si="25"/>
        <v>4.5346627803331966E-3</v>
      </c>
      <c r="AC105">
        <f t="shared" si="22"/>
        <v>9.4999999999999822</v>
      </c>
      <c r="AD105">
        <f t="shared" si="15"/>
        <v>2.8565779022116288E-47</v>
      </c>
      <c r="AE105">
        <f t="shared" si="16"/>
        <v>428.68749999999756</v>
      </c>
      <c r="AF105">
        <f t="shared" si="17"/>
        <v>1.7493975016328583E-47</v>
      </c>
      <c r="AG105">
        <f t="shared" si="18"/>
        <v>511.35661880318139</v>
      </c>
      <c r="AH105">
        <f t="shared" si="19"/>
        <v>82.669118803183835</v>
      </c>
      <c r="AI105">
        <f t="shared" si="20"/>
        <v>428.68749999999756</v>
      </c>
      <c r="AJ105">
        <f t="shared" si="21"/>
        <v>2.5049690030306158</v>
      </c>
    </row>
    <row r="106" spans="9:36">
      <c r="I106">
        <f t="shared" si="26"/>
        <v>9.3999999999999826</v>
      </c>
      <c r="J106">
        <f t="shared" si="23"/>
        <v>9.0952771016958971E-3</v>
      </c>
      <c r="K106">
        <f t="shared" si="24"/>
        <v>0.14552443362713435</v>
      </c>
      <c r="L106">
        <f t="shared" si="25"/>
        <v>4.3601371497259166E-3</v>
      </c>
      <c r="AC106">
        <f t="shared" si="22"/>
        <v>9.5999999999999819</v>
      </c>
      <c r="AD106">
        <f t="shared" si="15"/>
        <v>9.3433938802007738E-49</v>
      </c>
      <c r="AE106">
        <f t="shared" si="16"/>
        <v>442.36799999999749</v>
      </c>
      <c r="AF106">
        <f t="shared" si="17"/>
        <v>5.0141968152772607E-49</v>
      </c>
      <c r="AG106">
        <f t="shared" si="18"/>
        <v>528.22813303842668</v>
      </c>
      <c r="AH106">
        <f t="shared" si="19"/>
        <v>85.860133038429183</v>
      </c>
      <c r="AI106">
        <f t="shared" si="20"/>
        <v>442.36799999999749</v>
      </c>
      <c r="AJ106">
        <f t="shared" si="21"/>
        <v>2.5075934049947155</v>
      </c>
    </row>
    <row r="107" spans="9:36">
      <c r="I107">
        <f t="shared" si="26"/>
        <v>9.4999999999999822</v>
      </c>
      <c r="J107">
        <f t="shared" si="23"/>
        <v>8.6516952031207104E-3</v>
      </c>
      <c r="K107">
        <f t="shared" si="24"/>
        <v>0.13842712324993137</v>
      </c>
      <c r="L107">
        <f t="shared" si="25"/>
        <v>4.1918489415355056E-3</v>
      </c>
      <c r="AC107">
        <f t="shared" si="22"/>
        <v>9.6999999999999815</v>
      </c>
      <c r="AD107">
        <f t="shared" si="15"/>
        <v>2.8437671933240941E-50</v>
      </c>
      <c r="AE107">
        <f t="shared" si="16"/>
        <v>456.33649999999744</v>
      </c>
      <c r="AF107">
        <f t="shared" si="17"/>
        <v>1.3286059581683162E-50</v>
      </c>
      <c r="AG107">
        <f t="shared" si="18"/>
        <v>545.47277754346908</v>
      </c>
      <c r="AH107">
        <f t="shared" si="19"/>
        <v>89.136277543471635</v>
      </c>
      <c r="AI107">
        <f t="shared" si="20"/>
        <v>456.33649999999744</v>
      </c>
      <c r="AJ107">
        <f t="shared" si="21"/>
        <v>2.5101933175218099</v>
      </c>
    </row>
    <row r="108" spans="9:36">
      <c r="I108">
        <f t="shared" si="26"/>
        <v>9.5999999999999819</v>
      </c>
      <c r="J108">
        <f t="shared" si="23"/>
        <v>8.229747049020103E-3</v>
      </c>
      <c r="K108">
        <f t="shared" si="24"/>
        <v>0.13167595278432165</v>
      </c>
      <c r="L108">
        <f t="shared" si="25"/>
        <v>4.029604871660793E-3</v>
      </c>
      <c r="AC108">
        <f t="shared" si="22"/>
        <v>9.7999999999999812</v>
      </c>
      <c r="AD108">
        <f t="shared" si="15"/>
        <v>8.0480098373473006E-52</v>
      </c>
      <c r="AE108">
        <f t="shared" si="16"/>
        <v>470.59599999999733</v>
      </c>
      <c r="AF108">
        <f t="shared" si="17"/>
        <v>3.2514854926995938E-52</v>
      </c>
      <c r="AG108">
        <f t="shared" si="18"/>
        <v>563.09482998149042</v>
      </c>
      <c r="AH108">
        <f t="shared" si="19"/>
        <v>92.498829981493088</v>
      </c>
      <c r="AI108">
        <f t="shared" si="20"/>
        <v>470.59599999999733</v>
      </c>
      <c r="AJ108">
        <f t="shared" si="21"/>
        <v>2.5127692181003169</v>
      </c>
    </row>
    <row r="109" spans="9:36">
      <c r="I109">
        <f t="shared" si="26"/>
        <v>9.6999999999999815</v>
      </c>
      <c r="J109">
        <f t="shared" si="23"/>
        <v>7.8283775492258446E-3</v>
      </c>
      <c r="K109">
        <f t="shared" si="24"/>
        <v>0.12525404078761351</v>
      </c>
      <c r="L109">
        <f t="shared" ref="L109:L128" si="27">(J108-J109)*(I108+I109)/2</f>
        <v>3.8732156730145861E-3</v>
      </c>
      <c r="AC109">
        <f t="shared" si="22"/>
        <v>9.8999999999999808</v>
      </c>
      <c r="AD109">
        <f t="shared" si="15"/>
        <v>2.1162273016896182E-53</v>
      </c>
      <c r="AE109">
        <f t="shared" si="16"/>
        <v>485.1494999999972</v>
      </c>
      <c r="AF109">
        <f t="shared" si="17"/>
        <v>7.3428847142282591E-54</v>
      </c>
      <c r="AG109">
        <f t="shared" si="18"/>
        <v>581.09857242805276</v>
      </c>
      <c r="AH109">
        <f t="shared" si="19"/>
        <v>95.949072428055558</v>
      </c>
      <c r="AI109">
        <f t="shared" si="20"/>
        <v>485.1494999999972</v>
      </c>
      <c r="AJ109">
        <f t="shared" si="21"/>
        <v>2.5153215701529481</v>
      </c>
    </row>
    <row r="110" spans="9:36">
      <c r="I110">
        <f t="shared" si="26"/>
        <v>9.7999999999999812</v>
      </c>
      <c r="J110">
        <f t="shared" si="23"/>
        <v>7.446583070924411E-3</v>
      </c>
      <c r="K110">
        <f t="shared" si="24"/>
        <v>0.11914532913479058</v>
      </c>
      <c r="L110">
        <f t="shared" si="27"/>
        <v>3.7224961634389707E-3</v>
      </c>
      <c r="AC110">
        <f t="shared" si="22"/>
        <v>9.9999999999999805</v>
      </c>
      <c r="AD110">
        <f t="shared" si="15"/>
        <v>5.1664206328416789E-55</v>
      </c>
      <c r="AE110">
        <f t="shared" si="16"/>
        <v>499.99999999999704</v>
      </c>
      <c r="AF110">
        <f t="shared" si="17"/>
        <v>1.5288290323362587E-55</v>
      </c>
      <c r="AG110">
        <f t="shared" si="18"/>
        <v>599.48829133055233</v>
      </c>
      <c r="AH110">
        <f t="shared" si="19"/>
        <v>99.488291330555285</v>
      </c>
      <c r="AI110">
        <f t="shared" si="20"/>
        <v>499.99999999999704</v>
      </c>
      <c r="AJ110">
        <f t="shared" si="21"/>
        <v>2.517850823588335</v>
      </c>
    </row>
    <row r="111" spans="9:36">
      <c r="I111">
        <f t="shared" si="26"/>
        <v>9.8999999999999808</v>
      </c>
      <c r="J111">
        <f t="shared" si="23"/>
        <v>7.0834089290521879E-3</v>
      </c>
      <c r="K111">
        <f t="shared" si="24"/>
        <v>0.11333454286483501</v>
      </c>
      <c r="L111">
        <f t="shared" si="27"/>
        <v>3.5772652974413906E-3</v>
      </c>
      <c r="AC111">
        <f t="shared" si="22"/>
        <v>10.09999999999998</v>
      </c>
      <c r="AD111">
        <f t="shared" si="15"/>
        <v>1.1701596677572655E-56</v>
      </c>
      <c r="AE111">
        <f t="shared" si="16"/>
        <v>515.1504999999969</v>
      </c>
      <c r="AF111">
        <f t="shared" si="17"/>
        <v>2.932014528363817E-57</v>
      </c>
      <c r="AG111">
        <f t="shared" si="18"/>
        <v>618.26827746845515</v>
      </c>
      <c r="AH111">
        <f t="shared" si="19"/>
        <v>103.11777746845826</v>
      </c>
      <c r="AI111">
        <f t="shared" si="20"/>
        <v>515.1504999999969</v>
      </c>
      <c r="AJ111">
        <f t="shared" si="21"/>
        <v>2.520357415325742</v>
      </c>
    </row>
    <row r="112" spans="9:36">
      <c r="I112">
        <f t="shared" si="26"/>
        <v>9.9999999999999805</v>
      </c>
      <c r="J112">
        <f t="shared" si="23"/>
        <v>6.7379469990855329E-3</v>
      </c>
      <c r="K112">
        <f t="shared" si="24"/>
        <v>0.10780715198536853</v>
      </c>
      <c r="L112">
        <f t="shared" si="27"/>
        <v>3.4373462031682101E-3</v>
      </c>
      <c r="AC112">
        <f t="shared" si="22"/>
        <v>10.19999999999998</v>
      </c>
      <c r="AD112">
        <f t="shared" si="15"/>
        <v>2.4569859954258897E-58</v>
      </c>
      <c r="AE112">
        <f t="shared" si="16"/>
        <v>530.60399999999686</v>
      </c>
      <c r="AF112">
        <f t="shared" si="17"/>
        <v>5.1748238286093549E-59</v>
      </c>
      <c r="AG112">
        <f t="shared" si="18"/>
        <v>637.44282591428305</v>
      </c>
      <c r="AH112">
        <f t="shared" si="19"/>
        <v>106.83882591428619</v>
      </c>
      <c r="AI112">
        <f t="shared" si="20"/>
        <v>530.60399999999686</v>
      </c>
      <c r="AJ112">
        <f t="shared" si="21"/>
        <v>2.5228417697944274</v>
      </c>
    </row>
    <row r="113" spans="9:36">
      <c r="I113">
        <f t="shared" si="26"/>
        <v>10.09999999999998</v>
      </c>
      <c r="J113">
        <f t="shared" si="23"/>
        <v>6.4093334462564456E-3</v>
      </c>
      <c r="K113">
        <f t="shared" si="24"/>
        <v>0.10254933514010313</v>
      </c>
      <c r="L113">
        <f t="shared" si="27"/>
        <v>3.3025662059323214E-3</v>
      </c>
      <c r="AC113">
        <f t="shared" si="22"/>
        <v>10.299999999999979</v>
      </c>
      <c r="AD113">
        <f t="shared" si="15"/>
        <v>4.7789964637684684E-60</v>
      </c>
      <c r="AE113">
        <f t="shared" si="16"/>
        <v>546.36349999999675</v>
      </c>
      <c r="AF113">
        <f t="shared" si="17"/>
        <v>8.3975801214090403E-61</v>
      </c>
      <c r="AG113">
        <f t="shared" si="18"/>
        <v>657.01623599534412</v>
      </c>
      <c r="AH113">
        <f t="shared" si="19"/>
        <v>110.65273599534737</v>
      </c>
      <c r="AI113">
        <f t="shared" si="20"/>
        <v>546.36349999999675</v>
      </c>
      <c r="AJ113">
        <f t="shared" si="21"/>
        <v>2.5253042994091497</v>
      </c>
    </row>
    <row r="114" spans="9:36">
      <c r="I114">
        <f t="shared" si="26"/>
        <v>10.19999999999998</v>
      </c>
      <c r="J114">
        <f t="shared" si="23"/>
        <v>6.0967465655156977E-3</v>
      </c>
      <c r="K114">
        <f t="shared" si="24"/>
        <v>9.7547945048251164E-2</v>
      </c>
      <c r="L114">
        <f t="shared" si="27"/>
        <v>3.1727568395185841E-3</v>
      </c>
      <c r="AC114">
        <f t="shared" si="22"/>
        <v>10.399999999999979</v>
      </c>
      <c r="AD114">
        <f t="shared" si="15"/>
        <v>8.6044177707043865E-62</v>
      </c>
      <c r="AE114">
        <f t="shared" si="16"/>
        <v>562.43199999999661</v>
      </c>
      <c r="AF114">
        <f t="shared" si="17"/>
        <v>1.2518387006403644E-62</v>
      </c>
      <c r="AG114">
        <f t="shared" si="18"/>
        <v>676.99281125615926</v>
      </c>
      <c r="AH114">
        <f t="shared" si="19"/>
        <v>114.56081125616265</v>
      </c>
      <c r="AI114">
        <f t="shared" si="20"/>
        <v>562.43199999999661</v>
      </c>
      <c r="AJ114">
        <f t="shared" si="21"/>
        <v>2.5277454050230839</v>
      </c>
    </row>
    <row r="115" spans="9:36">
      <c r="I115">
        <f t="shared" si="26"/>
        <v>10.299999999999979</v>
      </c>
      <c r="J115">
        <f t="shared" si="23"/>
        <v>5.7994047268422029E-3</v>
      </c>
      <c r="K115">
        <f t="shared" si="24"/>
        <v>9.2790475629475247E-2</v>
      </c>
      <c r="L115">
        <f t="shared" si="27"/>
        <v>3.0477538464033153E-3</v>
      </c>
      <c r="AC115">
        <f t="shared" si="22"/>
        <v>10.499999999999979</v>
      </c>
      <c r="AD115">
        <f t="shared" si="15"/>
        <v>1.4329508629568099E-63</v>
      </c>
      <c r="AE115">
        <f t="shared" si="16"/>
        <v>578.81249999999648</v>
      </c>
      <c r="AF115">
        <f t="shared" si="17"/>
        <v>1.7127119768865941E-64</v>
      </c>
      <c r="AG115">
        <f t="shared" si="18"/>
        <v>697.37685942160476</v>
      </c>
      <c r="AH115">
        <f t="shared" si="19"/>
        <v>118.56435942160829</v>
      </c>
      <c r="AI115">
        <f t="shared" si="20"/>
        <v>578.81249999999648</v>
      </c>
      <c r="AJ115">
        <f t="shared" si="21"/>
        <v>2.5301654763595796</v>
      </c>
    </row>
    <row r="116" spans="9:36">
      <c r="I116">
        <f t="shared" si="26"/>
        <v>10.399999999999979</v>
      </c>
      <c r="J116">
        <f t="shared" si="23"/>
        <v>5.5165644207608305E-3</v>
      </c>
      <c r="K116">
        <f t="shared" si="24"/>
        <v>8.8265030732173289E-2</v>
      </c>
      <c r="L116">
        <f t="shared" si="27"/>
        <v>2.9273971679421988E-3</v>
      </c>
      <c r="AC116">
        <f t="shared" si="22"/>
        <v>10.599999999999978</v>
      </c>
      <c r="AD116">
        <f t="shared" si="15"/>
        <v>2.2056693978396439E-65</v>
      </c>
      <c r="AE116">
        <f t="shared" si="16"/>
        <v>595.5079999999964</v>
      </c>
      <c r="AF116">
        <f t="shared" si="17"/>
        <v>2.1486603679760718E-66</v>
      </c>
      <c r="AG116">
        <f t="shared" si="18"/>
        <v>718.17269236070342</v>
      </c>
      <c r="AH116">
        <f t="shared" si="19"/>
        <v>122.66469236070702</v>
      </c>
      <c r="AI116">
        <f t="shared" si="20"/>
        <v>595.5079999999964</v>
      </c>
      <c r="AJ116">
        <f t="shared" si="21"/>
        <v>2.5325648924237565</v>
      </c>
    </row>
    <row r="117" spans="9:36">
      <c r="I117">
        <f t="shared" si="26"/>
        <v>10.499999999999979</v>
      </c>
      <c r="J117">
        <f t="shared" si="23"/>
        <v>5.2475183991814401E-3</v>
      </c>
      <c r="K117">
        <f t="shared" si="24"/>
        <v>8.3960294386903042E-2</v>
      </c>
      <c r="L117">
        <f t="shared" si="27"/>
        <v>2.8115309255046239E-3</v>
      </c>
      <c r="AC117">
        <f t="shared" si="22"/>
        <v>10.699999999999978</v>
      </c>
      <c r="AD117">
        <f t="shared" si="15"/>
        <v>3.135617833053212E-67</v>
      </c>
      <c r="AE117">
        <f t="shared" si="16"/>
        <v>612.52149999999619</v>
      </c>
      <c r="AF117">
        <f t="shared" si="17"/>
        <v>2.4694716673533299E-68</v>
      </c>
      <c r="AG117">
        <f t="shared" si="18"/>
        <v>739.38462605109726</v>
      </c>
      <c r="AH117">
        <f t="shared" si="19"/>
        <v>126.86312605110106</v>
      </c>
      <c r="AI117">
        <f t="shared" si="20"/>
        <v>612.52149999999619</v>
      </c>
      <c r="AJ117">
        <f t="shared" si="21"/>
        <v>2.5349440218952544</v>
      </c>
    </row>
    <row r="118" spans="9:36">
      <c r="I118">
        <f t="shared" si="26"/>
        <v>10.599999999999978</v>
      </c>
      <c r="J118">
        <f t="shared" si="23"/>
        <v>4.9915939069102699E-3</v>
      </c>
      <c r="K118">
        <f t="shared" si="24"/>
        <v>7.9865502510564318E-2</v>
      </c>
      <c r="L118">
        <f t="shared" si="27"/>
        <v>2.700003393460841E-3</v>
      </c>
      <c r="AC118">
        <f t="shared" si="22"/>
        <v>10.799999999999978</v>
      </c>
      <c r="AD118">
        <f t="shared" si="15"/>
        <v>4.1138997239504853E-69</v>
      </c>
      <c r="AE118">
        <f t="shared" si="16"/>
        <v>629.85599999999613</v>
      </c>
      <c r="AF118">
        <f t="shared" si="17"/>
        <v>2.5977547277629189E-70</v>
      </c>
      <c r="AG118">
        <f t="shared" si="18"/>
        <v>761.01698054413362</v>
      </c>
      <c r="AH118">
        <f t="shared" si="19"/>
        <v>131.16098054413749</v>
      </c>
      <c r="AI118">
        <f t="shared" si="20"/>
        <v>629.85599999999613</v>
      </c>
      <c r="AJ118">
        <f t="shared" si="21"/>
        <v>2.5373032235029762</v>
      </c>
    </row>
    <row r="119" spans="9:36">
      <c r="I119">
        <f t="shared" si="26"/>
        <v>10.699999999999978</v>
      </c>
      <c r="J119">
        <f t="shared" si="23"/>
        <v>4.748150999411528E-3</v>
      </c>
      <c r="K119">
        <f t="shared" si="24"/>
        <v>7.5970415990584447E-2</v>
      </c>
      <c r="L119">
        <f t="shared" si="27"/>
        <v>2.592666964861596E-3</v>
      </c>
      <c r="AC119">
        <f t="shared" si="22"/>
        <v>10.899999999999977</v>
      </c>
      <c r="AD119">
        <f t="shared" si="15"/>
        <v>4.9774444793934176E-71</v>
      </c>
      <c r="AE119">
        <f t="shared" si="16"/>
        <v>647.51449999999591</v>
      </c>
      <c r="AF119">
        <f t="shared" si="17"/>
        <v>2.4989333788846631E-72</v>
      </c>
      <c r="AG119">
        <f t="shared" si="18"/>
        <v>783.07407993059098</v>
      </c>
      <c r="AH119">
        <f t="shared" si="19"/>
        <v>135.55957993059508</v>
      </c>
      <c r="AI119">
        <f t="shared" si="20"/>
        <v>647.51449999999591</v>
      </c>
      <c r="AJ119">
        <f t="shared" si="21"/>
        <v>2.539642846382979</v>
      </c>
    </row>
    <row r="120" spans="9:36">
      <c r="I120">
        <f t="shared" si="26"/>
        <v>10.799999999999978</v>
      </c>
      <c r="J120">
        <f t="shared" si="23"/>
        <v>4.5165809426127189E-3</v>
      </c>
      <c r="K120">
        <f t="shared" si="24"/>
        <v>7.2265295081803502E-2</v>
      </c>
      <c r="L120">
        <f t="shared" si="27"/>
        <v>2.489378110587193E-3</v>
      </c>
      <c r="AC120">
        <f t="shared" si="22"/>
        <v>10.999999999999977</v>
      </c>
      <c r="AD120">
        <f t="shared" si="15"/>
        <v>5.5495219480744399E-73</v>
      </c>
      <c r="AE120">
        <f t="shared" si="16"/>
        <v>665.49999999999579</v>
      </c>
      <c r="AF120">
        <f t="shared" si="17"/>
        <v>2.1962304091404172E-74</v>
      </c>
      <c r="AG120">
        <f t="shared" si="18"/>
        <v>805.56025230699368</v>
      </c>
      <c r="AH120">
        <f t="shared" si="19"/>
        <v>140.06025230699788</v>
      </c>
      <c r="AI120">
        <f t="shared" si="20"/>
        <v>665.49999999999579</v>
      </c>
      <c r="AJ120">
        <f t="shared" si="21"/>
        <v>2.5419632304202815</v>
      </c>
    </row>
    <row r="121" spans="9:36">
      <c r="I121">
        <f t="shared" si="26"/>
        <v>10.899999999999977</v>
      </c>
      <c r="J121">
        <f t="shared" si="23"/>
        <v>4.2963046907523892E-3</v>
      </c>
      <c r="K121">
        <f t="shared" si="24"/>
        <v>6.8740875052038228E-2</v>
      </c>
      <c r="L121">
        <f t="shared" si="27"/>
        <v>2.3899973326845713E-3</v>
      </c>
      <c r="AC121">
        <f t="shared" si="22"/>
        <v>11.099999999999977</v>
      </c>
      <c r="AD121">
        <f t="shared" si="15"/>
        <v>5.6973831592427451E-75</v>
      </c>
      <c r="AE121">
        <f t="shared" si="16"/>
        <v>683.81549999999572</v>
      </c>
      <c r="AF121">
        <f t="shared" si="17"/>
        <v>1.7618612267785235E-76</v>
      </c>
      <c r="AG121">
        <f t="shared" si="18"/>
        <v>828.47982974252034</v>
      </c>
      <c r="AH121">
        <f t="shared" si="19"/>
        <v>144.66432974252461</v>
      </c>
      <c r="AI121">
        <f t="shared" si="20"/>
        <v>683.81549999999572</v>
      </c>
      <c r="AJ121">
        <f t="shared" si="21"/>
        <v>2.5442647065755364</v>
      </c>
    </row>
    <row r="122" spans="9:36">
      <c r="I122">
        <f t="shared" si="26"/>
        <v>10.999999999999977</v>
      </c>
      <c r="J122">
        <f t="shared" si="23"/>
        <v>4.0867714384641143E-3</v>
      </c>
      <c r="K122">
        <f t="shared" si="24"/>
        <v>6.5388343015425829E-2</v>
      </c>
      <c r="L122">
        <f t="shared" si="27"/>
        <v>2.2943891125566059E-3</v>
      </c>
      <c r="AC122">
        <f t="shared" si="22"/>
        <v>11.199999999999976</v>
      </c>
      <c r="AD122">
        <f t="shared" si="15"/>
        <v>5.3819575267041159E-77</v>
      </c>
      <c r="AE122">
        <f t="shared" si="16"/>
        <v>702.46399999999551</v>
      </c>
      <c r="AF122">
        <f t="shared" si="17"/>
        <v>1.2889604673137744E-78</v>
      </c>
      <c r="AG122">
        <f t="shared" si="18"/>
        <v>851.83714824648985</v>
      </c>
      <c r="AH122">
        <f t="shared" si="19"/>
        <v>149.37314824649434</v>
      </c>
      <c r="AI122">
        <f t="shared" si="20"/>
        <v>702.46399999999551</v>
      </c>
      <c r="AJ122">
        <f t="shared" si="21"/>
        <v>2.5465475971973515</v>
      </c>
    </row>
    <row r="123" spans="9:36">
      <c r="I123">
        <f t="shared" si="26"/>
        <v>11.099999999999977</v>
      </c>
      <c r="J123">
        <f t="shared" si="23"/>
        <v>3.887457243476175E-3</v>
      </c>
      <c r="K123">
        <f t="shared" si="24"/>
        <v>6.2199315895618799E-2</v>
      </c>
      <c r="L123">
        <f t="shared" si="27"/>
        <v>2.202421854616725E-3</v>
      </c>
      <c r="AC123">
        <f t="shared" si="22"/>
        <v>11.299999999999976</v>
      </c>
      <c r="AD123">
        <f t="shared" si="15"/>
        <v>4.6743837998322128E-79</v>
      </c>
      <c r="AE123">
        <f t="shared" si="16"/>
        <v>721.44849999999542</v>
      </c>
      <c r="AF123">
        <f t="shared" si="17"/>
        <v>8.5918120545906917E-81</v>
      </c>
      <c r="AG123">
        <f t="shared" si="18"/>
        <v>875.63654773638746</v>
      </c>
      <c r="AH123">
        <f t="shared" si="19"/>
        <v>154.18804773639204</v>
      </c>
      <c r="AI123">
        <f t="shared" si="20"/>
        <v>721.44849999999542</v>
      </c>
      <c r="AJ123">
        <f t="shared" si="21"/>
        <v>2.5488122163209508</v>
      </c>
    </row>
    <row r="124" spans="9:36">
      <c r="I124">
        <f t="shared" si="26"/>
        <v>11.199999999999976</v>
      </c>
      <c r="J124">
        <f t="shared" si="23"/>
        <v>3.697863716482975E-3</v>
      </c>
      <c r="K124">
        <f t="shared" si="24"/>
        <v>5.9165819463727599E-2</v>
      </c>
      <c r="L124">
        <f t="shared" si="27"/>
        <v>2.1139678259741758E-3</v>
      </c>
      <c r="AC124">
        <f t="shared" si="22"/>
        <v>11.399999999999975</v>
      </c>
      <c r="AD124">
        <f t="shared" si="15"/>
        <v>3.7299414352194532E-81</v>
      </c>
      <c r="AE124">
        <f t="shared" si="16"/>
        <v>740.77199999999516</v>
      </c>
      <c r="AF124">
        <f t="shared" si="17"/>
        <v>5.2132676817264597E-83</v>
      </c>
      <c r="AG124">
        <f t="shared" si="18"/>
        <v>899.8823720064579</v>
      </c>
      <c r="AH124">
        <f t="shared" si="19"/>
        <v>159.11037200646274</v>
      </c>
      <c r="AI124">
        <f t="shared" si="20"/>
        <v>740.77199999999516</v>
      </c>
      <c r="AJ124">
        <f t="shared" si="21"/>
        <v>2.5510588699540131</v>
      </c>
    </row>
    <row r="125" spans="9:36">
      <c r="I125">
        <f t="shared" si="26"/>
        <v>11.299999999999976</v>
      </c>
      <c r="J125">
        <f t="shared" si="23"/>
        <v>3.5175167749121722E-3</v>
      </c>
      <c r="K125">
        <f t="shared" si="24"/>
        <v>5.6280268398594756E-2</v>
      </c>
      <c r="L125">
        <f t="shared" si="27"/>
        <v>2.0289030926715261E-3</v>
      </c>
      <c r="AC125">
        <f t="shared" si="22"/>
        <v>11.499999999999975</v>
      </c>
      <c r="AD125">
        <f t="shared" si="15"/>
        <v>2.7324201505172935E-83</v>
      </c>
      <c r="AE125">
        <f t="shared" si="16"/>
        <v>760.43749999999511</v>
      </c>
      <c r="AF125">
        <f t="shared" si="17"/>
        <v>2.8768540566996083E-85</v>
      </c>
      <c r="AG125">
        <f t="shared" si="18"/>
        <v>924.57896869679951</v>
      </c>
      <c r="AH125">
        <f t="shared" si="19"/>
        <v>164.1414686968044</v>
      </c>
      <c r="AI125">
        <f t="shared" si="20"/>
        <v>760.43749999999511</v>
      </c>
      <c r="AJ125">
        <f t="shared" si="21"/>
        <v>2.553287856350182</v>
      </c>
    </row>
    <row r="126" spans="9:36">
      <c r="I126">
        <f t="shared" si="26"/>
        <v>11.399999999999975</v>
      </c>
      <c r="J126">
        <f t="shared" si="23"/>
        <v>3.3459654574713137E-3</v>
      </c>
      <c r="K126">
        <f t="shared" si="24"/>
        <v>5.3535447319541019E-2</v>
      </c>
      <c r="L126">
        <f t="shared" si="27"/>
        <v>1.9471074529537409E-3</v>
      </c>
      <c r="AC126">
        <f t="shared" si="22"/>
        <v>11.599999999999975</v>
      </c>
      <c r="AD126">
        <f t="shared" si="15"/>
        <v>1.8362636911112407E-85</v>
      </c>
      <c r="AE126">
        <f t="shared" si="16"/>
        <v>780.44799999999486</v>
      </c>
      <c r="AF126">
        <f t="shared" si="17"/>
        <v>1.4424816586525592E-87</v>
      </c>
      <c r="AG126">
        <f t="shared" si="18"/>
        <v>949.73068926299902</v>
      </c>
      <c r="AH126">
        <f t="shared" si="19"/>
        <v>169.28268926300416</v>
      </c>
      <c r="AI126">
        <f t="shared" si="20"/>
        <v>780.44799999999486</v>
      </c>
      <c r="AJ126">
        <f t="shared" si="21"/>
        <v>2.5554994662710535</v>
      </c>
    </row>
    <row r="127" spans="9:36">
      <c r="I127">
        <f t="shared" si="26"/>
        <v>11.499999999999975</v>
      </c>
      <c r="J127">
        <f t="shared" si="23"/>
        <v>3.1827807965097068E-3</v>
      </c>
      <c r="K127">
        <f t="shared" si="24"/>
        <v>5.0924492744155309E-2</v>
      </c>
      <c r="L127">
        <f t="shared" si="27"/>
        <v>1.8684643680103945E-3</v>
      </c>
    </row>
    <row r="128" spans="9:36">
      <c r="I128">
        <f t="shared" si="26"/>
        <v>11.599999999999975</v>
      </c>
      <c r="J128">
        <f t="shared" si="23"/>
        <v>3.0275547453758531E-3</v>
      </c>
      <c r="K128">
        <f t="shared" si="24"/>
        <v>4.8440875926013649E-2</v>
      </c>
      <c r="L128">
        <f t="shared" si="27"/>
        <v>1.7928608905960067E-3</v>
      </c>
    </row>
    <row r="178" spans="7:7" ht="15.75">
      <c r="G178" s="5"/>
    </row>
    <row r="179" spans="7:7" ht="15.75">
      <c r="G179" s="5"/>
    </row>
    <row r="180" spans="7:7" ht="15.75">
      <c r="G180" s="5"/>
    </row>
    <row r="181" spans="7:7" ht="15.75">
      <c r="G181" s="5"/>
    </row>
    <row r="182" spans="7:7" ht="15.75">
      <c r="G182" s="5"/>
    </row>
    <row r="183" spans="7:7" ht="15.75">
      <c r="G183" s="5"/>
    </row>
    <row r="184" spans="7:7" ht="15.75">
      <c r="G184" s="5"/>
    </row>
    <row r="185" spans="7:7" ht="15.75">
      <c r="G185" s="5"/>
    </row>
    <row r="186" spans="7:7" ht="15.75">
      <c r="G186" s="5"/>
    </row>
    <row r="187" spans="7:7" ht="15.75">
      <c r="G187" s="5"/>
    </row>
    <row r="188" spans="7:7" ht="15.75">
      <c r="G188" s="5"/>
    </row>
    <row r="189" spans="7:7" ht="15.75">
      <c r="G189" s="5"/>
    </row>
    <row r="190" spans="7:7" ht="15.75">
      <c r="G190" s="5"/>
    </row>
    <row r="191" spans="7:7" ht="15.75">
      <c r="G191" s="5"/>
    </row>
    <row r="192" spans="7:7" ht="15.75">
      <c r="G192" s="5"/>
    </row>
    <row r="193" spans="7:7" ht="15.75">
      <c r="G193" s="5"/>
    </row>
    <row r="194" spans="7:7" ht="15.75">
      <c r="G194" s="5"/>
    </row>
    <row r="195" spans="7:7" ht="15.75">
      <c r="G195" s="5"/>
    </row>
    <row r="196" spans="7:7" ht="15.75">
      <c r="G196" s="5"/>
    </row>
    <row r="197" spans="7:7" ht="15.75">
      <c r="G197" s="5"/>
    </row>
    <row r="198" spans="7:7" ht="15.75">
      <c r="G198" s="5"/>
    </row>
    <row r="199" spans="7:7" ht="15.75">
      <c r="G199" s="5"/>
    </row>
    <row r="200" spans="7:7" ht="15.75">
      <c r="G200" s="5"/>
    </row>
    <row r="201" spans="7:7" ht="15.75">
      <c r="G201" s="5"/>
    </row>
    <row r="202" spans="7:7" ht="15.75">
      <c r="G202" s="5"/>
    </row>
    <row r="203" spans="7:7" ht="15.75">
      <c r="G203" s="5"/>
    </row>
    <row r="204" spans="7:7" ht="15.75">
      <c r="G204" s="5"/>
    </row>
    <row r="205" spans="7:7" ht="15.75">
      <c r="G205" s="5"/>
    </row>
    <row r="206" spans="7:7" ht="15.75">
      <c r="G206" s="5"/>
    </row>
    <row r="207" spans="7:7" ht="15.75">
      <c r="G207" s="5"/>
    </row>
    <row r="208" spans="7:7" ht="15.75">
      <c r="G208" s="5"/>
    </row>
    <row r="209" spans="7:7" ht="15.75">
      <c r="G209" s="5"/>
    </row>
    <row r="210" spans="7:7" ht="15.75">
      <c r="G210" s="5"/>
    </row>
    <row r="211" spans="7:7" ht="15.75">
      <c r="G211" s="5"/>
    </row>
    <row r="212" spans="7:7" ht="15.75">
      <c r="G212" s="5"/>
    </row>
    <row r="213" spans="7:7" ht="15.75">
      <c r="G213" s="5"/>
    </row>
    <row r="214" spans="7:7" ht="15.75">
      <c r="G214" s="5"/>
    </row>
    <row r="215" spans="7:7" ht="15.75">
      <c r="G215" s="5"/>
    </row>
    <row r="216" spans="7:7" ht="15.75">
      <c r="G216" s="5"/>
    </row>
    <row r="217" spans="7:7" ht="15.75">
      <c r="G217" s="5"/>
    </row>
    <row r="218" spans="7:7" ht="15.75">
      <c r="G218" s="5"/>
    </row>
    <row r="219" spans="7:7" ht="15.75">
      <c r="G219" s="5"/>
    </row>
    <row r="220" spans="7:7" ht="15.75">
      <c r="G220" s="5"/>
    </row>
    <row r="221" spans="7:7" ht="15.75">
      <c r="G221" s="5"/>
    </row>
    <row r="222" spans="7:7" ht="15.75">
      <c r="G222" s="5"/>
    </row>
    <row r="223" spans="7:7" ht="15.75">
      <c r="G223" s="5"/>
    </row>
    <row r="224" spans="7:7" ht="15.75">
      <c r="G224" s="5"/>
    </row>
    <row r="225" spans="7:7" ht="15.75">
      <c r="G225" s="5"/>
    </row>
    <row r="226" spans="7:7" ht="15.75">
      <c r="G226" s="5"/>
    </row>
    <row r="227" spans="7:7" ht="15.75">
      <c r="G227" s="5"/>
    </row>
  </sheetData>
  <phoneticPr fontId="5" type="noConversion"/>
  <pageMargins left="0.75" right="0.75" top="1" bottom="1" header="0.5" footer="0.5"/>
  <headerFooter alignWithMargins="0"/>
  <drawing r:id="rId1"/>
</worksheet>
</file>

<file path=xl/worksheets/sheet12.xml><?xml version="1.0" encoding="utf-8"?>
<worksheet xmlns="http://schemas.openxmlformats.org/spreadsheetml/2006/main" xmlns:r="http://schemas.openxmlformats.org/officeDocument/2006/relationships">
  <sheetPr codeName="Sheet4"/>
  <dimension ref="A1:O112"/>
  <sheetViews>
    <sheetView workbookViewId="0">
      <selection activeCell="E26" sqref="E26"/>
    </sheetView>
  </sheetViews>
  <sheetFormatPr defaultRowHeight="12.75"/>
  <cols>
    <col min="4" max="4" width="12.42578125" bestFit="1" customWidth="1"/>
    <col min="7" max="7" width="10" bestFit="1" customWidth="1"/>
    <col min="8" max="8" width="21.7109375" customWidth="1"/>
    <col min="9" max="9" width="10" customWidth="1"/>
    <col min="10" max="10" width="25.7109375" customWidth="1"/>
    <col min="11" max="11" width="18.42578125" customWidth="1"/>
    <col min="12" max="12" width="11.5703125" customWidth="1"/>
    <col min="13" max="13" width="11" customWidth="1"/>
    <col min="14" max="14" width="12.28515625" customWidth="1"/>
    <col min="15" max="15" width="21.42578125" customWidth="1"/>
  </cols>
  <sheetData>
    <row r="1" spans="1:15">
      <c r="I1" t="s">
        <v>70</v>
      </c>
      <c r="J1" t="s">
        <v>83</v>
      </c>
      <c r="K1" t="s">
        <v>29</v>
      </c>
      <c r="L1" t="s">
        <v>79</v>
      </c>
      <c r="M1" t="s">
        <v>80</v>
      </c>
      <c r="N1" t="s">
        <v>81</v>
      </c>
    </row>
    <row r="2" spans="1:15">
      <c r="B2" t="s">
        <v>61</v>
      </c>
      <c r="H2" t="s">
        <v>69</v>
      </c>
      <c r="I2">
        <v>0.14499999999999999</v>
      </c>
      <c r="J2">
        <f t="shared" ref="J2:J13" si="0">10204.1*I2</f>
        <v>1479.5944999999999</v>
      </c>
      <c r="K2">
        <v>2.68</v>
      </c>
      <c r="L2">
        <v>29.7</v>
      </c>
      <c r="M2">
        <v>0.43</v>
      </c>
      <c r="N2">
        <v>4.4999999999999998E-2</v>
      </c>
      <c r="O2">
        <f t="shared" ref="O2:O13" si="1">L2*1020.4</f>
        <v>30305.879999999997</v>
      </c>
    </row>
    <row r="3" spans="1:15">
      <c r="H3" t="s">
        <v>71</v>
      </c>
      <c r="I3">
        <v>0.124</v>
      </c>
      <c r="J3">
        <f t="shared" si="0"/>
        <v>1265.3084000000001</v>
      </c>
      <c r="K3">
        <v>2.2799999999999998</v>
      </c>
      <c r="L3">
        <v>14.6</v>
      </c>
      <c r="M3">
        <v>0.41</v>
      </c>
      <c r="N3">
        <v>5.7000000000000002E-2</v>
      </c>
      <c r="O3">
        <f t="shared" si="1"/>
        <v>14897.84</v>
      </c>
    </row>
    <row r="4" spans="1:15">
      <c r="B4" t="s">
        <v>62</v>
      </c>
      <c r="C4">
        <v>0.39</v>
      </c>
      <c r="H4" t="s">
        <v>72</v>
      </c>
      <c r="I4">
        <v>7.4999999999999997E-2</v>
      </c>
      <c r="J4">
        <f t="shared" si="0"/>
        <v>765.3075</v>
      </c>
      <c r="K4">
        <v>1.89</v>
      </c>
      <c r="L4">
        <v>4.42</v>
      </c>
      <c r="M4">
        <v>0.41</v>
      </c>
      <c r="N4">
        <v>6.5000000000000002E-2</v>
      </c>
      <c r="O4">
        <f t="shared" si="1"/>
        <v>4510.1679999999997</v>
      </c>
    </row>
    <row r="5" spans="1:15">
      <c r="B5" t="s">
        <v>63</v>
      </c>
      <c r="C5">
        <v>0.1</v>
      </c>
      <c r="H5" t="s">
        <v>71</v>
      </c>
      <c r="I5">
        <v>3.5999999999999997E-2</v>
      </c>
      <c r="J5">
        <f t="shared" si="0"/>
        <v>367.3476</v>
      </c>
      <c r="K5">
        <v>1.56</v>
      </c>
      <c r="L5">
        <v>1.04</v>
      </c>
      <c r="M5">
        <v>0.43</v>
      </c>
      <c r="N5">
        <v>7.8E-2</v>
      </c>
      <c r="O5">
        <f t="shared" si="1"/>
        <v>1061.2160000000001</v>
      </c>
    </row>
    <row r="6" spans="1:15">
      <c r="B6" t="s">
        <v>29</v>
      </c>
      <c r="C6">
        <v>1.48</v>
      </c>
      <c r="H6" t="s">
        <v>73</v>
      </c>
      <c r="I6">
        <v>1.6E-2</v>
      </c>
      <c r="J6">
        <f t="shared" si="0"/>
        <v>163.26560000000001</v>
      </c>
      <c r="K6">
        <v>1.37</v>
      </c>
      <c r="L6">
        <v>0.25</v>
      </c>
      <c r="M6">
        <v>0.46</v>
      </c>
      <c r="N6">
        <v>3.4000000000000002E-2</v>
      </c>
      <c r="O6">
        <f t="shared" si="1"/>
        <v>255.1</v>
      </c>
    </row>
    <row r="7" spans="1:15">
      <c r="B7" t="s">
        <v>65</v>
      </c>
      <c r="C7">
        <v>602.04189999999994</v>
      </c>
      <c r="D7">
        <v>0.124</v>
      </c>
      <c r="H7" t="s">
        <v>74</v>
      </c>
      <c r="I7">
        <v>0.02</v>
      </c>
      <c r="J7">
        <f t="shared" si="0"/>
        <v>204.08200000000002</v>
      </c>
      <c r="K7">
        <v>1.41</v>
      </c>
      <c r="L7">
        <v>0.45</v>
      </c>
      <c r="M7">
        <v>0.45</v>
      </c>
      <c r="N7">
        <v>6.7000000000000004E-2</v>
      </c>
      <c r="O7">
        <f t="shared" si="1"/>
        <v>459.18</v>
      </c>
    </row>
    <row r="8" spans="1:15">
      <c r="B8" t="s">
        <v>68</v>
      </c>
      <c r="C8">
        <f>1-1/C6</f>
        <v>0.32432432432432434</v>
      </c>
      <c r="H8" t="s">
        <v>75</v>
      </c>
      <c r="I8">
        <v>5.8999999999999997E-2</v>
      </c>
      <c r="J8">
        <f t="shared" si="0"/>
        <v>602.04189999999994</v>
      </c>
      <c r="K8">
        <v>1.48</v>
      </c>
      <c r="L8">
        <v>1.31</v>
      </c>
      <c r="M8">
        <v>0.39</v>
      </c>
      <c r="N8">
        <v>0.1</v>
      </c>
      <c r="O8">
        <f t="shared" si="1"/>
        <v>1336.7239999999999</v>
      </c>
    </row>
    <row r="9" spans="1:15">
      <c r="H9" t="s">
        <v>76</v>
      </c>
      <c r="I9">
        <v>1.9E-2</v>
      </c>
      <c r="J9">
        <f t="shared" si="0"/>
        <v>193.87790000000001</v>
      </c>
      <c r="K9">
        <v>1.31</v>
      </c>
      <c r="L9">
        <v>0.26</v>
      </c>
      <c r="M9">
        <v>0.41</v>
      </c>
      <c r="N9">
        <v>9.5000000000000001E-2</v>
      </c>
      <c r="O9">
        <f t="shared" si="1"/>
        <v>265.30400000000003</v>
      </c>
    </row>
    <row r="10" spans="1:15">
      <c r="C10" t="s">
        <v>100</v>
      </c>
      <c r="D10">
        <v>599108703581.82397</v>
      </c>
      <c r="E10">
        <v>1035259929446.1439</v>
      </c>
      <c r="H10" t="s">
        <v>77</v>
      </c>
      <c r="I10">
        <v>0.01</v>
      </c>
      <c r="J10">
        <f t="shared" si="0"/>
        <v>102.04100000000001</v>
      </c>
      <c r="K10">
        <v>1.23</v>
      </c>
      <c r="L10">
        <v>7.0000000000000007E-2</v>
      </c>
      <c r="M10">
        <v>0.43</v>
      </c>
      <c r="N10">
        <v>8.8999999999999996E-2</v>
      </c>
      <c r="O10">
        <f t="shared" si="1"/>
        <v>71.428000000000011</v>
      </c>
    </row>
    <row r="11" spans="1:15">
      <c r="H11" t="s">
        <v>75</v>
      </c>
      <c r="I11">
        <v>2.7E-2</v>
      </c>
      <c r="J11">
        <f t="shared" si="0"/>
        <v>275.51069999999999</v>
      </c>
      <c r="K11">
        <v>1.23</v>
      </c>
      <c r="L11">
        <v>0.12</v>
      </c>
      <c r="M11">
        <v>0.38</v>
      </c>
      <c r="N11">
        <v>0.1</v>
      </c>
      <c r="O11">
        <f t="shared" si="1"/>
        <v>122.44799999999999</v>
      </c>
    </row>
    <row r="12" spans="1:15">
      <c r="A12" t="s">
        <v>85</v>
      </c>
      <c r="B12" t="s">
        <v>66</v>
      </c>
      <c r="C12" t="s">
        <v>64</v>
      </c>
      <c r="D12" t="s">
        <v>67</v>
      </c>
      <c r="G12" t="s">
        <v>98</v>
      </c>
      <c r="H12" t="s">
        <v>84</v>
      </c>
      <c r="I12">
        <v>5.0000000000000001E-3</v>
      </c>
      <c r="J12">
        <f t="shared" si="0"/>
        <v>51.020500000000006</v>
      </c>
      <c r="K12">
        <v>1.0900000000000001</v>
      </c>
      <c r="L12">
        <v>0.02</v>
      </c>
      <c r="M12">
        <v>0.36</v>
      </c>
      <c r="N12">
        <v>7.0000000000000007E-2</v>
      </c>
      <c r="O12">
        <f t="shared" si="1"/>
        <v>20.408000000000001</v>
      </c>
    </row>
    <row r="13" spans="1:15">
      <c r="A13">
        <v>100</v>
      </c>
      <c r="B13">
        <v>0.01</v>
      </c>
      <c r="C13">
        <f>(1/(1+($C$7*B13)^$C$6))^(1-1/$C$6)</f>
        <v>0.41326336172884637</v>
      </c>
      <c r="D13">
        <f>C13^0.5*(1-(1-C13^(1/$C$8))^$C$8)^2</f>
        <v>3.0424494182380038E-4</v>
      </c>
      <c r="E13">
        <f>(1/(1+($D$7*A13)^$C$6))^(1-1/$C$6)</f>
        <v>0.29635035733873244</v>
      </c>
      <c r="F13">
        <f t="shared" ref="F13:F20" si="2">((C13^(1/$C$8)+1)^(1/$C$6))/(C13^(1/($C$8*$C$6))*$C$7)</f>
        <v>1.0927902468610485E-2</v>
      </c>
      <c r="G13">
        <f>$D$10*D13</f>
        <v>182275792.66738451</v>
      </c>
      <c r="H13" t="s">
        <v>78</v>
      </c>
      <c r="I13">
        <v>8.0000000000000002E-3</v>
      </c>
      <c r="J13">
        <f t="shared" si="0"/>
        <v>81.632800000000003</v>
      </c>
      <c r="K13">
        <v>1.0900000000000001</v>
      </c>
      <c r="L13">
        <v>0.2</v>
      </c>
      <c r="M13">
        <v>0.38</v>
      </c>
      <c r="N13">
        <v>6.8000000000000005E-2</v>
      </c>
      <c r="O13">
        <f t="shared" si="1"/>
        <v>204.08</v>
      </c>
    </row>
    <row r="14" spans="1:15">
      <c r="A14">
        <v>500</v>
      </c>
      <c r="B14">
        <v>0.05</v>
      </c>
      <c r="C14">
        <f t="shared" ref="C14:C77" si="3">(1/(1+($C$7*B14)^$C$6))^(1-1/$C$6)</f>
        <v>0.19469893797551902</v>
      </c>
      <c r="D14">
        <f t="shared" ref="D14:D77" si="4">C14^0.5*(1-(1-C14^(1/$C$8))^$C$8)^2</f>
        <v>1.9332026883216345E-6</v>
      </c>
      <c r="E14">
        <f>(1/(1+($D$7*A14)^$C$6))^(1-1/$C$6)</f>
        <v>0.13782848774038994</v>
      </c>
      <c r="F14">
        <f t="shared" si="2"/>
        <v>5.0437025153954075E-2</v>
      </c>
      <c r="G14">
        <f t="shared" ref="G14:G77" si="5">$D$10*D14</f>
        <v>1158198.5563612713</v>
      </c>
      <c r="I14" t="s">
        <v>82</v>
      </c>
    </row>
    <row r="15" spans="1:15">
      <c r="A15">
        <v>1000</v>
      </c>
      <c r="B15">
        <f t="shared" ref="B15:B48" si="6">B14+0.05</f>
        <v>0.1</v>
      </c>
      <c r="C15">
        <f t="shared" si="3"/>
        <v>0.13978233070418816</v>
      </c>
      <c r="D15">
        <f t="shared" si="4"/>
        <v>2.1166794361293373E-7</v>
      </c>
      <c r="E15">
        <f>(1/(1+($D$7*A15)^$C$6))^(1-1/$C$6)</f>
        <v>9.8865622421267119E-2</v>
      </c>
      <c r="F15">
        <f t="shared" si="2"/>
        <v>0.10031375742146593</v>
      </c>
      <c r="G15">
        <f t="shared" si="5"/>
        <v>126812.10728777535</v>
      </c>
      <c r="I15" t="s">
        <v>46</v>
      </c>
      <c r="J15" t="s">
        <v>9</v>
      </c>
      <c r="K15" t="s">
        <v>10</v>
      </c>
    </row>
    <row r="16" spans="1:15">
      <c r="B16">
        <f t="shared" si="6"/>
        <v>0.15000000000000002</v>
      </c>
      <c r="C16">
        <f t="shared" si="3"/>
        <v>0.11510014948944437</v>
      </c>
      <c r="D16">
        <f t="shared" si="4"/>
        <v>5.7921371015281032E-8</v>
      </c>
      <c r="E16">
        <f>(1/(1+($D$7*A16)^$C$6))^(1-1/$C$6)</f>
        <v>1</v>
      </c>
      <c r="F16">
        <f t="shared" si="2"/>
        <v>0.1502583553746174</v>
      </c>
      <c r="G16">
        <f t="shared" si="5"/>
        <v>34701.197498646856</v>
      </c>
      <c r="H16" t="s">
        <v>69</v>
      </c>
      <c r="I16">
        <v>30305.88</v>
      </c>
      <c r="J16">
        <v>1479.5944999999999</v>
      </c>
      <c r="K16">
        <v>2.68</v>
      </c>
    </row>
    <row r="17" spans="2:14">
      <c r="B17">
        <f t="shared" si="6"/>
        <v>0.2</v>
      </c>
      <c r="C17">
        <f t="shared" si="3"/>
        <v>0.10026918872033908</v>
      </c>
      <c r="D17">
        <f t="shared" si="4"/>
        <v>2.3084476030183986E-8</v>
      </c>
      <c r="E17">
        <f>(1/(1+($D$7*A17)^$C$6))^(1-1/$C$6)</f>
        <v>1</v>
      </c>
      <c r="F17">
        <f t="shared" si="2"/>
        <v>0.20022506558163944</v>
      </c>
      <c r="G17">
        <f t="shared" si="5"/>
        <v>13830.110507309219</v>
      </c>
      <c r="H17" t="s">
        <v>71</v>
      </c>
      <c r="I17">
        <v>14897.84</v>
      </c>
      <c r="J17">
        <v>1265.3084000000001</v>
      </c>
      <c r="K17">
        <v>2.2799999999999998</v>
      </c>
    </row>
    <row r="18" spans="2:14">
      <c r="B18">
        <f t="shared" si="6"/>
        <v>0.25</v>
      </c>
      <c r="C18">
        <f t="shared" si="3"/>
        <v>9.009146930265928E-2</v>
      </c>
      <c r="D18">
        <f t="shared" si="4"/>
        <v>1.130730550703079E-8</v>
      </c>
      <c r="F18">
        <f t="shared" si="2"/>
        <v>0.25020222052967972</v>
      </c>
      <c r="G18">
        <f t="shared" si="5"/>
        <v>6774.3051433208357</v>
      </c>
      <c r="H18" t="s">
        <v>72</v>
      </c>
      <c r="I18">
        <v>4510.1679999999997</v>
      </c>
      <c r="J18" s="4">
        <v>765.3075</v>
      </c>
      <c r="K18" s="4">
        <v>1.89</v>
      </c>
    </row>
    <row r="19" spans="2:14">
      <c r="B19">
        <f t="shared" si="6"/>
        <v>0.3</v>
      </c>
      <c r="C19">
        <f t="shared" si="3"/>
        <v>8.2546108526643458E-2</v>
      </c>
      <c r="D19">
        <f t="shared" si="4"/>
        <v>6.3105977806110869E-9</v>
      </c>
      <c r="F19">
        <f t="shared" si="2"/>
        <v>0.30018528410891843</v>
      </c>
      <c r="G19">
        <f t="shared" si="5"/>
        <v>3780.7340551682437</v>
      </c>
      <c r="H19" t="s">
        <v>71</v>
      </c>
      <c r="I19">
        <v>1061.2160000000001</v>
      </c>
      <c r="J19">
        <v>367.3476</v>
      </c>
      <c r="K19">
        <v>1.56</v>
      </c>
      <c r="M19">
        <f>(($C$7*B19)^$C$6 +1)^-1</f>
        <v>4.5689302635401201E-4</v>
      </c>
      <c r="N19">
        <f>$D$10*M19^(($C$6-1)/(2*$C$6))*((1-M19)^(($C$6-1)/$C$6)-1)^2</f>
        <v>3780.7340551682441</v>
      </c>
    </row>
    <row r="20" spans="2:14">
      <c r="B20">
        <f t="shared" si="6"/>
        <v>0.35</v>
      </c>
      <c r="C20">
        <f t="shared" si="3"/>
        <v>7.666114002525512E-2</v>
      </c>
      <c r="D20">
        <f t="shared" si="4"/>
        <v>3.8539044870193304E-9</v>
      </c>
      <c r="F20">
        <f t="shared" si="2"/>
        <v>0.35017207462827793</v>
      </c>
      <c r="G20">
        <f t="shared" si="5"/>
        <v>2308.9077209463253</v>
      </c>
      <c r="H20" t="s">
        <v>73</v>
      </c>
      <c r="I20">
        <v>255.1</v>
      </c>
      <c r="J20">
        <v>163.26560000000001</v>
      </c>
      <c r="K20">
        <v>1.37</v>
      </c>
      <c r="M20">
        <f>(($C$7*B20)^$C$6 +1)^-1</f>
        <v>3.637255083093908E-4</v>
      </c>
      <c r="N20">
        <f>$D$10*M20^(($C$6-1)/(2*$C$6))*((1-M20)^(($C$6-1)/$C$6)-1)^2</f>
        <v>2308.9077209463253</v>
      </c>
    </row>
    <row r="21" spans="2:14">
      <c r="B21">
        <f t="shared" si="6"/>
        <v>0.39999999999999997</v>
      </c>
      <c r="C21">
        <f t="shared" si="3"/>
        <v>7.1903217773328504E-2</v>
      </c>
      <c r="D21">
        <f t="shared" si="4"/>
        <v>2.5140205700048289E-9</v>
      </c>
      <c r="G21">
        <f t="shared" si="5"/>
        <v>1506.1716044736311</v>
      </c>
      <c r="H21" t="s">
        <v>74</v>
      </c>
      <c r="I21">
        <v>459.18</v>
      </c>
      <c r="J21">
        <v>204.08200000000002</v>
      </c>
      <c r="K21">
        <v>1.41</v>
      </c>
      <c r="M21">
        <f>(($C$7*B21)^$C$6 +1)^-1</f>
        <v>2.9852039359170879E-4</v>
      </c>
      <c r="N21">
        <f>$D$10*M21^(($C$6-1)/(2*$C$6))*((1-M21)^(($C$6-1)/$C$6)-1)^2</f>
        <v>1506.1716044736313</v>
      </c>
    </row>
    <row r="22" spans="2:14">
      <c r="B22">
        <f t="shared" si="6"/>
        <v>0.44999999999999996</v>
      </c>
      <c r="C22">
        <f t="shared" si="3"/>
        <v>6.7951937133955961E-2</v>
      </c>
      <c r="D22">
        <f t="shared" si="4"/>
        <v>1.7246921459715256E-9</v>
      </c>
      <c r="G22">
        <f t="shared" si="5"/>
        <v>1033.2780756507545</v>
      </c>
      <c r="H22" t="s">
        <v>75</v>
      </c>
      <c r="I22">
        <v>1336.7239999999999</v>
      </c>
      <c r="J22">
        <v>602.04189999999994</v>
      </c>
      <c r="K22">
        <v>1.48</v>
      </c>
      <c r="M22">
        <f>(($C$7*B22)^$C$6 +1)^-1</f>
        <v>2.5077775627102767E-4</v>
      </c>
      <c r="N22">
        <f>$D$10*M22^(($C$6-1)/(2*$C$6))*((1-M22)^(($C$6-1)/$C$6)-1)^2</f>
        <v>1033.2780756507545</v>
      </c>
    </row>
    <row r="23" spans="2:14">
      <c r="B23">
        <f t="shared" si="6"/>
        <v>0.49999999999999994</v>
      </c>
      <c r="C23">
        <f t="shared" si="3"/>
        <v>6.460161072763021E-2</v>
      </c>
      <c r="D23">
        <f t="shared" si="4"/>
        <v>1.2311500637466911E-9</v>
      </c>
      <c r="G23">
        <f t="shared" si="5"/>
        <v>737.59271860596004</v>
      </c>
      <c r="H23" t="s">
        <v>76</v>
      </c>
      <c r="I23">
        <v>265.30400000000003</v>
      </c>
      <c r="J23" s="4">
        <v>193.87790000000001</v>
      </c>
      <c r="K23" s="4">
        <v>1.31</v>
      </c>
    </row>
    <row r="24" spans="2:14">
      <c r="B24">
        <f t="shared" si="6"/>
        <v>0.54999999999999993</v>
      </c>
      <c r="C24">
        <f t="shared" si="3"/>
        <v>6.1713309076117273E-2</v>
      </c>
      <c r="D24">
        <f t="shared" si="4"/>
        <v>9.0755431226644035E-10</v>
      </c>
      <c r="G24">
        <f t="shared" si="5"/>
        <v>543.72368745204096</v>
      </c>
      <c r="H24" t="s">
        <v>77</v>
      </c>
      <c r="I24">
        <v>71.428000000000011</v>
      </c>
      <c r="J24">
        <v>102.04100000000001</v>
      </c>
      <c r="K24">
        <v>1.23</v>
      </c>
    </row>
    <row r="25" spans="2:14">
      <c r="B25">
        <f t="shared" si="6"/>
        <v>0.6</v>
      </c>
      <c r="C25">
        <f t="shared" si="3"/>
        <v>5.9189339864587617E-2</v>
      </c>
      <c r="D25">
        <f t="shared" si="4"/>
        <v>6.8701111990800884E-10</v>
      </c>
      <c r="G25">
        <f t="shared" si="5"/>
        <v>411.59434139438417</v>
      </c>
      <c r="H25" t="s">
        <v>75</v>
      </c>
      <c r="I25">
        <v>122.44799999999999</v>
      </c>
      <c r="J25">
        <v>275.51069999999999</v>
      </c>
      <c r="K25">
        <v>1.23</v>
      </c>
    </row>
    <row r="26" spans="2:14">
      <c r="B26">
        <f t="shared" si="6"/>
        <v>0.65</v>
      </c>
      <c r="C26">
        <f t="shared" si="3"/>
        <v>5.6958725552121336E-2</v>
      </c>
      <c r="D26">
        <f t="shared" si="4"/>
        <v>5.3178593050407171E-10</v>
      </c>
      <c r="G26">
        <f t="shared" si="5"/>
        <v>318.59757940734835</v>
      </c>
      <c r="H26" t="s">
        <v>84</v>
      </c>
      <c r="I26">
        <v>20.408000000000001</v>
      </c>
      <c r="J26">
        <v>51.020500000000006</v>
      </c>
      <c r="K26">
        <v>1.0900000000000001</v>
      </c>
    </row>
    <row r="27" spans="2:14">
      <c r="B27">
        <f t="shared" si="6"/>
        <v>0.70000000000000007</v>
      </c>
      <c r="C27">
        <f t="shared" si="3"/>
        <v>5.4968482145608448E-2</v>
      </c>
      <c r="D27">
        <f t="shared" si="4"/>
        <v>4.1952284618648561E-10</v>
      </c>
      <c r="G27">
        <f t="shared" si="5"/>
        <v>251.33978850174233</v>
      </c>
      <c r="H27" t="s">
        <v>78</v>
      </c>
      <c r="I27">
        <v>204.08</v>
      </c>
      <c r="J27">
        <v>81.632800000000003</v>
      </c>
      <c r="K27">
        <v>1.0900000000000001</v>
      </c>
    </row>
    <row r="28" spans="2:14">
      <c r="B28">
        <f t="shared" si="6"/>
        <v>0.75000000000000011</v>
      </c>
      <c r="C28">
        <f t="shared" si="3"/>
        <v>5.31781446305363E-2</v>
      </c>
      <c r="D28">
        <f t="shared" si="4"/>
        <v>3.3641974298762179E-10</v>
      </c>
      <c r="G28">
        <f t="shared" si="5"/>
        <v>201.5519960806445</v>
      </c>
    </row>
    <row r="29" spans="2:14">
      <c r="B29">
        <f t="shared" si="6"/>
        <v>0.80000000000000016</v>
      </c>
      <c r="C29">
        <f t="shared" si="3"/>
        <v>5.1556200572680115E-2</v>
      </c>
      <c r="D29">
        <f t="shared" si="4"/>
        <v>2.7365065055803556E-10</v>
      </c>
      <c r="G29">
        <f t="shared" si="5"/>
        <v>163.94648649014744</v>
      </c>
    </row>
    <row r="30" spans="2:14">
      <c r="B30">
        <f t="shared" si="6"/>
        <v>0.8500000000000002</v>
      </c>
      <c r="C30">
        <f t="shared" si="3"/>
        <v>5.0077692355320426E-2</v>
      </c>
      <c r="D30">
        <f t="shared" si="4"/>
        <v>2.2539787176633143E-10</v>
      </c>
      <c r="G30">
        <f t="shared" si="5"/>
        <v>135.03782674402902</v>
      </c>
    </row>
    <row r="31" spans="2:14">
      <c r="B31">
        <f t="shared" si="6"/>
        <v>0.90000000000000024</v>
      </c>
      <c r="C31">
        <f t="shared" si="3"/>
        <v>4.8722560731182731E-2</v>
      </c>
      <c r="D31">
        <f t="shared" si="4"/>
        <v>1.8772385639727187E-10</v>
      </c>
      <c r="G31">
        <f t="shared" si="5"/>
        <v>112.46699623755005</v>
      </c>
    </row>
    <row r="32" spans="2:14">
      <c r="B32">
        <f t="shared" si="6"/>
        <v>0.95000000000000029</v>
      </c>
      <c r="C32">
        <f t="shared" si="3"/>
        <v>4.7474473119326926E-2</v>
      </c>
      <c r="D32">
        <f t="shared" si="4"/>
        <v>1.5790083425031687E-10</v>
      </c>
      <c r="G32">
        <f t="shared" si="5"/>
        <v>94.599764102195806</v>
      </c>
    </row>
    <row r="33" spans="2:7">
      <c r="B33">
        <f t="shared" si="6"/>
        <v>1.0000000000000002</v>
      </c>
      <c r="C33">
        <f t="shared" si="3"/>
        <v>4.6319977392345023E-2</v>
      </c>
      <c r="D33">
        <f t="shared" si="4"/>
        <v>1.3399971624055265E-10</v>
      </c>
      <c r="G33">
        <f t="shared" si="5"/>
        <v>80.280396277209775</v>
      </c>
    </row>
    <row r="34" spans="2:7">
      <c r="B34">
        <f t="shared" si="6"/>
        <v>1.0500000000000003</v>
      </c>
      <c r="C34">
        <f t="shared" si="3"/>
        <v>4.5247879384682298E-2</v>
      </c>
      <c r="D34">
        <f t="shared" si="4"/>
        <v>1.1463086819118145E-10</v>
      </c>
      <c r="G34">
        <f t="shared" si="5"/>
        <v>68.676350832477667</v>
      </c>
    </row>
    <row r="35" spans="2:7">
      <c r="B35">
        <f t="shared" si="6"/>
        <v>1.1000000000000003</v>
      </c>
      <c r="C35">
        <f t="shared" si="3"/>
        <v>4.4248777395100941E-2</v>
      </c>
      <c r="D35">
        <f t="shared" si="4"/>
        <v>9.8776542529924459E-11</v>
      </c>
      <c r="G35">
        <f t="shared" si="5"/>
        <v>59.177886339397944</v>
      </c>
    </row>
    <row r="36" spans="2:7">
      <c r="B36">
        <f t="shared" si="6"/>
        <v>1.1500000000000004</v>
      </c>
      <c r="C36">
        <f t="shared" si="3"/>
        <v>4.3314708920317191E-2</v>
      </c>
      <c r="D36">
        <f t="shared" si="4"/>
        <v>8.5680120817999412E-11</v>
      </c>
      <c r="G36">
        <f t="shared" si="5"/>
        <v>51.331706106005676</v>
      </c>
    </row>
    <row r="37" spans="2:7">
      <c r="B37">
        <f t="shared" si="6"/>
        <v>1.2000000000000004</v>
      </c>
      <c r="C37">
        <f t="shared" si="3"/>
        <v>4.2438878969529657E-2</v>
      </c>
      <c r="D37">
        <f t="shared" si="4"/>
        <v>7.4771421538984183E-11</v>
      </c>
      <c r="G37">
        <f t="shared" si="5"/>
        <v>44.796209423190881</v>
      </c>
    </row>
    <row r="38" spans="2:7">
      <c r="B38">
        <f t="shared" si="6"/>
        <v>1.2500000000000004</v>
      </c>
      <c r="C38">
        <f t="shared" si="3"/>
        <v>4.1615448581719748E-2</v>
      </c>
      <c r="D38">
        <f t="shared" si="4"/>
        <v>6.5615403889293376E-11</v>
      </c>
      <c r="G38">
        <f t="shared" si="5"/>
        <v>39.310759559112327</v>
      </c>
    </row>
    <row r="39" spans="2:7">
      <c r="B39">
        <f t="shared" si="6"/>
        <v>1.3000000000000005</v>
      </c>
      <c r="C39">
        <f t="shared" si="3"/>
        <v>4.0839368383237686E-2</v>
      </c>
      <c r="D39">
        <f t="shared" si="4"/>
        <v>5.7876349938153558E-11</v>
      </c>
      <c r="G39">
        <f t="shared" si="5"/>
        <v>34.674224979495158</v>
      </c>
    </row>
    <row r="40" spans="2:7">
      <c r="B40">
        <f t="shared" si="6"/>
        <v>1.3500000000000005</v>
      </c>
      <c r="C40">
        <f t="shared" si="3"/>
        <v>4.0106246266590977E-2</v>
      </c>
      <c r="D40">
        <f t="shared" si="4"/>
        <v>5.129247222991943E-11</v>
      </c>
      <c r="G40">
        <f t="shared" si="5"/>
        <v>30.729766541173738</v>
      </c>
    </row>
    <row r="41" spans="2:7">
      <c r="B41">
        <f t="shared" si="6"/>
        <v>1.4000000000000006</v>
      </c>
      <c r="C41">
        <f t="shared" si="3"/>
        <v>3.9412241216912738E-2</v>
      </c>
      <c r="D41">
        <f t="shared" si="4"/>
        <v>4.5657659639553379E-11</v>
      </c>
      <c r="G41">
        <f t="shared" si="5"/>
        <v>27.353901275232992</v>
      </c>
    </row>
    <row r="42" spans="2:7">
      <c r="B42">
        <f t="shared" si="6"/>
        <v>1.4500000000000006</v>
      </c>
      <c r="C42">
        <f t="shared" si="3"/>
        <v>3.8753977388633211E-2</v>
      </c>
      <c r="D42">
        <f t="shared" si="4"/>
        <v>4.0808185155481022E-11</v>
      </c>
      <c r="G42">
        <f t="shared" si="5"/>
        <v>24.44853890402727</v>
      </c>
    </row>
    <row r="43" spans="2:7">
      <c r="B43">
        <f t="shared" si="6"/>
        <v>1.5000000000000007</v>
      </c>
      <c r="C43">
        <f t="shared" si="3"/>
        <v>3.8128474018711916E-2</v>
      </c>
      <c r="D43">
        <f t="shared" si="4"/>
        <v>3.6612911145297748E-11</v>
      </c>
      <c r="G43">
        <f t="shared" si="5"/>
        <v>21.935113730615846</v>
      </c>
    </row>
    <row r="44" spans="2:7">
      <c r="B44">
        <f t="shared" si="6"/>
        <v>1.5500000000000007</v>
      </c>
      <c r="C44">
        <f t="shared" si="3"/>
        <v>3.7533087837128214E-2</v>
      </c>
      <c r="D44">
        <f t="shared" si="4"/>
        <v>3.2965991901801851E-11</v>
      </c>
      <c r="G44">
        <f t="shared" si="5"/>
        <v>19.750212670577415</v>
      </c>
    </row>
    <row r="45" spans="2:7">
      <c r="B45">
        <f t="shared" si="6"/>
        <v>1.6000000000000008</v>
      </c>
      <c r="C45">
        <f t="shared" si="3"/>
        <v>3.6965465422529507E-2</v>
      </c>
      <c r="D45">
        <f t="shared" si="4"/>
        <v>2.9781380754664617E-11</v>
      </c>
      <c r="G45">
        <f t="shared" si="5"/>
        <v>17.8422844148038</v>
      </c>
    </row>
    <row r="46" spans="2:7">
      <c r="B46">
        <f t="shared" si="6"/>
        <v>1.6500000000000008</v>
      </c>
      <c r="C46">
        <f t="shared" si="3"/>
        <v>3.6423503534177962E-2</v>
      </c>
      <c r="D46">
        <f t="shared" si="4"/>
        <v>2.6988655828166296E-11</v>
      </c>
      <c r="G46">
        <f t="shared" si="5"/>
        <v>16.169138604628749</v>
      </c>
    </row>
    <row r="47" spans="2:7">
      <c r="B47">
        <f t="shared" si="6"/>
        <v>1.7000000000000008</v>
      </c>
      <c r="C47">
        <f t="shared" si="3"/>
        <v>3.5905315887940034E-2</v>
      </c>
      <c r="D47">
        <f t="shared" si="4"/>
        <v>2.4529819423320287E-11</v>
      </c>
      <c r="G47">
        <f t="shared" si="5"/>
        <v>14.696028313801662</v>
      </c>
    </row>
    <row r="48" spans="2:7">
      <c r="B48">
        <f t="shared" si="6"/>
        <v>1.7500000000000009</v>
      </c>
      <c r="C48">
        <f t="shared" si="3"/>
        <v>3.5409205174064769E-2</v>
      </c>
      <c r="D48">
        <f t="shared" si="4"/>
        <v>2.2356823326209052E-11</v>
      </c>
      <c r="G48">
        <f t="shared" si="5"/>
        <v>13.394167439172987</v>
      </c>
    </row>
    <row r="49" spans="2:7">
      <c r="B49">
        <f t="shared" ref="B49:B59" si="7">B48+0.05</f>
        <v>1.8000000000000009</v>
      </c>
      <c r="C49">
        <f t="shared" si="3"/>
        <v>3.4933639366173719E-2</v>
      </c>
      <c r="D49">
        <f t="shared" si="4"/>
        <v>2.0429640305343703E-11</v>
      </c>
      <c r="G49">
        <f t="shared" si="5"/>
        <v>12.239575317977444</v>
      </c>
    </row>
    <row r="50" spans="2:7">
      <c r="B50">
        <f t="shared" si="7"/>
        <v>1.850000000000001</v>
      </c>
      <c r="C50">
        <f t="shared" si="3"/>
        <v>3.4477231564460212E-2</v>
      </c>
      <c r="D50">
        <f t="shared" si="4"/>
        <v>1.8714750117620354E-11</v>
      </c>
      <c r="G50">
        <f t="shared" si="5"/>
        <v>11.212169680825317</v>
      </c>
    </row>
    <row r="51" spans="2:7">
      <c r="B51">
        <f t="shared" si="7"/>
        <v>1.900000000000001</v>
      </c>
      <c r="C51">
        <f t="shared" si="3"/>
        <v>3.403872276616262E-2</v>
      </c>
      <c r="D51">
        <f t="shared" si="4"/>
        <v>1.718394262363171E-11</v>
      </c>
      <c r="G51">
        <f t="shared" si="5"/>
        <v>10.295049587668441</v>
      </c>
    </row>
    <row r="52" spans="2:7">
      <c r="B52">
        <f t="shared" si="7"/>
        <v>1.9500000000000011</v>
      </c>
      <c r="C52">
        <f t="shared" si="3"/>
        <v>3.3616967073588973E-2</v>
      </c>
      <c r="D52">
        <f t="shared" si="4"/>
        <v>1.5813365356455738E-11</v>
      </c>
      <c r="G52">
        <f t="shared" si="5"/>
        <v>9.4739248179719251</v>
      </c>
    </row>
    <row r="53" spans="2:7">
      <c r="B53">
        <f t="shared" si="7"/>
        <v>2.0000000000000009</v>
      </c>
      <c r="C53">
        <f t="shared" si="3"/>
        <v>3.321091894216309E-2</v>
      </c>
      <c r="D53">
        <f t="shared" si="4"/>
        <v>1.4582760902460779E-11</v>
      </c>
      <c r="G53">
        <f t="shared" si="5"/>
        <v>8.7366589789169868</v>
      </c>
    </row>
    <row r="54" spans="2:7">
      <c r="B54">
        <f t="shared" si="7"/>
        <v>2.0500000000000007</v>
      </c>
      <c r="C54">
        <f t="shared" si="3"/>
        <v>3.2819622143964215E-2</v>
      </c>
      <c r="D54">
        <f t="shared" si="4"/>
        <v>1.3474852653502538E-11</v>
      </c>
      <c r="G54">
        <f t="shared" si="5"/>
        <v>8.0729015041960057</v>
      </c>
    </row>
    <row r="55" spans="2:7">
      <c r="B55">
        <f t="shared" si="7"/>
        <v>2.1000000000000005</v>
      </c>
      <c r="C55">
        <f t="shared" si="3"/>
        <v>3.2442200180398152E-2</v>
      </c>
      <c r="D55">
        <f t="shared" si="4"/>
        <v>1.2474847308788676E-11</v>
      </c>
      <c r="G55">
        <f t="shared" si="5"/>
        <v>7.4737895985495895</v>
      </c>
    </row>
    <row r="56" spans="2:7">
      <c r="B56">
        <f t="shared" si="7"/>
        <v>2.1500000000000004</v>
      </c>
      <c r="C56">
        <f t="shared" si="3"/>
        <v>3.20778479242615E-2</v>
      </c>
      <c r="D56">
        <f t="shared" si="4"/>
        <v>1.1570029785644954E-11</v>
      </c>
      <c r="G56">
        <f t="shared" si="5"/>
        <v>6.9317055452808374</v>
      </c>
    </row>
    <row r="57" spans="2:7">
      <c r="B57">
        <f t="shared" si="7"/>
        <v>2.2000000000000002</v>
      </c>
      <c r="C57">
        <f t="shared" si="3"/>
        <v>3.1725824309043943E-2</v>
      </c>
      <c r="D57">
        <f t="shared" si="4"/>
        <v>1.074943171623682E-11</v>
      </c>
      <c r="G57">
        <f t="shared" si="5"/>
        <v>6.4400780997559828</v>
      </c>
    </row>
    <row r="58" spans="2:7">
      <c r="B58">
        <f t="shared" si="7"/>
        <v>2.25</v>
      </c>
      <c r="C58">
        <f t="shared" si="3"/>
        <v>3.1385445913772209E-2</v>
      </c>
      <c r="D58">
        <f t="shared" si="4"/>
        <v>1.0003558859152397E-11</v>
      </c>
      <c r="G58">
        <f t="shared" si="5"/>
        <v>5.9932191793112626</v>
      </c>
    </row>
    <row r="59" spans="2:7">
      <c r="B59">
        <f t="shared" si="7"/>
        <v>2.2999999999999998</v>
      </c>
      <c r="C59">
        <f t="shared" si="3"/>
        <v>3.1056081316509481E-2</v>
      </c>
      <c r="D59">
        <f t="shared" si="4"/>
        <v>9.3241659241503513E-12</v>
      </c>
      <c r="G59">
        <f t="shared" si="5"/>
        <v>5.5861889587995366</v>
      </c>
    </row>
    <row r="60" spans="2:7">
      <c r="B60">
        <f t="shared" ref="B60:B85" si="8">B59+0.05</f>
        <v>2.3499999999999996</v>
      </c>
      <c r="C60">
        <f t="shared" si="3"/>
        <v>3.0737146109933253E-2</v>
      </c>
      <c r="D60">
        <f t="shared" si="4"/>
        <v>8.7040697541842478E-12</v>
      </c>
      <c r="G60">
        <f t="shared" si="5"/>
        <v>5.2146839463150902</v>
      </c>
    </row>
    <row r="61" spans="2:7">
      <c r="B61">
        <f t="shared" si="8"/>
        <v>2.3999999999999995</v>
      </c>
      <c r="C61">
        <f t="shared" si="3"/>
        <v>3.0428098489114853E-2</v>
      </c>
      <c r="D61">
        <f t="shared" si="4"/>
        <v>8.1369936834130482E-12</v>
      </c>
      <c r="G61">
        <f t="shared" si="5"/>
        <v>4.8749437367230817</v>
      </c>
    </row>
    <row r="62" spans="2:7">
      <c r="B62">
        <f t="shared" si="8"/>
        <v>2.4499999999999993</v>
      </c>
      <c r="C62">
        <f t="shared" si="3"/>
        <v>3.012843533541916E-2</v>
      </c>
      <c r="D62">
        <f t="shared" si="4"/>
        <v>7.6174373490295952E-12</v>
      </c>
      <c r="G62">
        <f t="shared" si="5"/>
        <v>4.5636730147928866</v>
      </c>
    </row>
    <row r="63" spans="2:7">
      <c r="B63">
        <f t="shared" si="8"/>
        <v>2.4999999999999991</v>
      </c>
      <c r="C63">
        <f t="shared" si="3"/>
        <v>2.9837688731885064E-2</v>
      </c>
      <c r="D63">
        <f t="shared" si="4"/>
        <v>7.1405673802975096E-12</v>
      </c>
      <c r="G63">
        <f t="shared" si="5"/>
        <v>4.2779760660487023</v>
      </c>
    </row>
    <row r="64" spans="2:7">
      <c r="B64">
        <f t="shared" si="8"/>
        <v>2.5499999999999989</v>
      </c>
      <c r="C64">
        <f t="shared" si="3"/>
        <v>2.9555422854977507E-2</v>
      </c>
      <c r="D64">
        <f t="shared" si="4"/>
        <v>6.7021252792653051E-12</v>
      </c>
      <c r="G64">
        <f t="shared" si="5"/>
        <v>4.0153015873036066</v>
      </c>
    </row>
    <row r="65" spans="2:7">
      <c r="B65">
        <f t="shared" si="8"/>
        <v>2.5999999999999988</v>
      </c>
      <c r="C65">
        <f t="shared" si="3"/>
        <v>2.9281231195569794E-2</v>
      </c>
      <c r="D65">
        <f t="shared" si="4"/>
        <v>6.2983495189466485E-12</v>
      </c>
      <c r="G65">
        <f t="shared" si="5"/>
        <v>3.7733960150013313</v>
      </c>
    </row>
    <row r="66" spans="2:7">
      <c r="B66">
        <f t="shared" si="8"/>
        <v>2.6499999999999986</v>
      </c>
      <c r="C66">
        <f t="shared" si="3"/>
        <v>2.9014734068701385E-2</v>
      </c>
      <c r="D66">
        <f t="shared" si="4"/>
        <v>5.9259094387580103E-12</v>
      </c>
      <c r="G66">
        <f t="shared" si="5"/>
        <v>3.5502639213976055</v>
      </c>
    </row>
    <row r="67" spans="2:7">
      <c r="B67">
        <f t="shared" si="8"/>
        <v>2.6999999999999984</v>
      </c>
      <c r="C67">
        <f t="shared" si="3"/>
        <v>2.8755576377287963E-2</v>
      </c>
      <c r="D67">
        <f t="shared" si="4"/>
        <v>5.5818489747763352E-12</v>
      </c>
      <c r="G67">
        <f t="shared" si="5"/>
        <v>3.3441343028677832</v>
      </c>
    </row>
    <row r="68" spans="2:7">
      <c r="B68">
        <f t="shared" si="8"/>
        <v>2.7499999999999982</v>
      </c>
      <c r="C68">
        <f t="shared" si="3"/>
        <v>2.8503425599718694E-2</v>
      </c>
      <c r="D68">
        <f t="shared" si="4"/>
        <v>5.2635386079769805E-12</v>
      </c>
      <c r="G68">
        <f t="shared" si="5"/>
        <v>3.1534317916779671</v>
      </c>
    </row>
    <row r="69" spans="2:7">
      <c r="B69">
        <f t="shared" si="8"/>
        <v>2.799999999999998</v>
      </c>
      <c r="C69">
        <f t="shared" si="3"/>
        <v>2.8257969975311912E-2</v>
      </c>
      <c r="D69">
        <f t="shared" si="4"/>
        <v>4.9686342104025951E-12</v>
      </c>
      <c r="G69">
        <f t="shared" si="5"/>
        <v>2.9767520003665986</v>
      </c>
    </row>
    <row r="70" spans="2:7">
      <c r="B70">
        <f t="shared" si="8"/>
        <v>2.8499999999999979</v>
      </c>
      <c r="C70">
        <f t="shared" si="3"/>
        <v>2.8018916865030621E-2</v>
      </c>
      <c r="D70">
        <f t="shared" si="4"/>
        <v>4.6950416938501758E-12</v>
      </c>
      <c r="G70">
        <f t="shared" si="5"/>
        <v>2.8128403424651895</v>
      </c>
    </row>
    <row r="71" spans="2:7">
      <c r="B71">
        <f t="shared" si="8"/>
        <v>2.8999999999999977</v>
      </c>
      <c r="C71">
        <f t="shared" si="3"/>
        <v>2.7785991267787601E-2</v>
      </c>
      <c r="D71">
        <f t="shared" si="4"/>
        <v>4.4408865647383448E-12</v>
      </c>
      <c r="G71">
        <f t="shared" si="5"/>
        <v>2.6605737925543296</v>
      </c>
    </row>
    <row r="72" spans="2:7">
      <c r="B72">
        <f t="shared" si="8"/>
        <v>2.9499999999999975</v>
      </c>
      <c r="C72">
        <f t="shared" si="3"/>
        <v>2.7558934475175427E-2</v>
      </c>
      <c r="D72">
        <f t="shared" si="4"/>
        <v>4.2044876270426432E-12</v>
      </c>
      <c r="G72">
        <f t="shared" si="5"/>
        <v>2.5189451314633375</v>
      </c>
    </row>
    <row r="73" spans="2:7">
      <c r="B73">
        <f t="shared" si="8"/>
        <v>2.9999999999999973</v>
      </c>
      <c r="C73">
        <f t="shared" si="3"/>
        <v>2.7337502849605035E-2</v>
      </c>
      <c r="D73">
        <f t="shared" si="4"/>
        <v>3.9843342152913018E-12</v>
      </c>
      <c r="G73">
        <f t="shared" si="5"/>
        <v>2.3870493063598759</v>
      </c>
    </row>
    <row r="74" spans="2:7">
      <c r="B74">
        <f t="shared" si="8"/>
        <v>3.0499999999999972</v>
      </c>
      <c r="C74">
        <f t="shared" si="3"/>
        <v>2.7121466712686618E-2</v>
      </c>
      <c r="D74">
        <f t="shared" si="4"/>
        <v>3.7790664305750636E-12</v>
      </c>
      <c r="G74">
        <f t="shared" si="5"/>
        <v>2.2640715899714174</v>
      </c>
    </row>
    <row r="75" spans="2:7">
      <c r="B75">
        <f t="shared" si="8"/>
        <v>3.099999999999997</v>
      </c>
      <c r="C75">
        <f t="shared" si="3"/>
        <v>2.6910609332281579E-2</v>
      </c>
      <c r="D75">
        <f t="shared" si="4"/>
        <v>3.587457944869307E-12</v>
      </c>
      <c r="G75">
        <f t="shared" si="5"/>
        <v>2.149277278504965</v>
      </c>
    </row>
    <row r="76" spans="2:7">
      <c r="B76">
        <f t="shared" si="8"/>
        <v>3.1499999999999968</v>
      </c>
      <c r="C76">
        <f t="shared" si="3"/>
        <v>2.6704725998033588E-2</v>
      </c>
      <c r="D76">
        <f t="shared" si="4"/>
        <v>3.4084010042586256E-12</v>
      </c>
      <c r="G76">
        <f t="shared" si="5"/>
        <v>2.0420027069483719</v>
      </c>
    </row>
    <row r="77" spans="2:7">
      <c r="B77">
        <f t="shared" si="8"/>
        <v>3.1999999999999966</v>
      </c>
      <c r="C77">
        <f t="shared" si="3"/>
        <v>2.6503623176383863E-2</v>
      </c>
      <c r="D77">
        <f t="shared" si="4"/>
        <v>3.2408933190353992E-12</v>
      </c>
      <c r="G77">
        <f t="shared" si="5"/>
        <v>1.9416473948142927</v>
      </c>
    </row>
    <row r="78" spans="2:7">
      <c r="B78">
        <f t="shared" si="8"/>
        <v>3.2499999999999964</v>
      </c>
      <c r="C78">
        <f t="shared" ref="C78:C112" si="9">(1/(1+($C$7*B78)^$C$6))^(1-1/$C$6)</f>
        <v>2.6307117737113844E-2</v>
      </c>
      <c r="D78">
        <f t="shared" ref="D78:D112" si="10">C78^0.5*(1-(1-C78^(1/$C$8))^$C$8)^2</f>
        <v>3.0840265805759435E-12</v>
      </c>
      <c r="G78">
        <f t="shared" ref="G78:G112" si="11">$D$10*D78</f>
        <v>1.8476671665007391</v>
      </c>
    </row>
    <row r="79" spans="2:7">
      <c r="B79">
        <f t="shared" si="8"/>
        <v>3.2999999999999963</v>
      </c>
      <c r="C79">
        <f t="shared" si="9"/>
        <v>2.611503624436487E-2</v>
      </c>
      <c r="D79">
        <f t="shared" si="10"/>
        <v>2.9369763809056857E-12</v>
      </c>
      <c r="G79">
        <f t="shared" si="11"/>
        <v>1.7595681120148425</v>
      </c>
    </row>
    <row r="80" spans="2:7">
      <c r="B80">
        <f t="shared" si="8"/>
        <v>3.3499999999999961</v>
      </c>
      <c r="C80">
        <f t="shared" si="9"/>
        <v>2.592721430587407E-2</v>
      </c>
      <c r="D80">
        <f t="shared" si="10"/>
        <v>2.7989933445424153E-12</v>
      </c>
      <c r="G80">
        <f t="shared" si="11"/>
        <v>1.6769012739829601</v>
      </c>
    </row>
    <row r="81" spans="2:7">
      <c r="B81">
        <f t="shared" si="8"/>
        <v>3.3999999999999959</v>
      </c>
      <c r="C81">
        <f t="shared" si="9"/>
        <v>2.5743495974857557E-2</v>
      </c>
      <c r="D81">
        <f t="shared" si="10"/>
        <v>2.6693953141975108E-12</v>
      </c>
      <c r="G81">
        <f t="shared" si="11"/>
        <v>1.5992579660362662</v>
      </c>
    </row>
    <row r="82" spans="2:7">
      <c r="B82">
        <f t="shared" si="8"/>
        <v>3.4499999999999957</v>
      </c>
      <c r="C82">
        <f t="shared" si="9"/>
        <v>2.5563733199577325E-2</v>
      </c>
      <c r="D82">
        <f t="shared" si="10"/>
        <v>2.5475604478561021E-12</v>
      </c>
      <c r="G82">
        <f t="shared" si="11"/>
        <v>1.5262656372114003</v>
      </c>
    </row>
    <row r="83" spans="2:7">
      <c r="B83">
        <f t="shared" si="8"/>
        <v>3.4999999999999956</v>
      </c>
      <c r="C83">
        <f t="shared" si="9"/>
        <v>2.5387785316161395E-2</v>
      </c>
      <c r="D83">
        <f t="shared" si="10"/>
        <v>2.4329211135852835E-12</v>
      </c>
      <c r="G83">
        <f t="shared" si="11"/>
        <v>1.4575842142769266</v>
      </c>
    </row>
    <row r="84" spans="2:7">
      <c r="B84">
        <f t="shared" si="8"/>
        <v>3.5499999999999954</v>
      </c>
      <c r="C84">
        <f t="shared" si="9"/>
        <v>2.5215518580714878E-2</v>
      </c>
      <c r="D84">
        <f t="shared" si="10"/>
        <v>2.3249584777970557E-12</v>
      </c>
      <c r="G84">
        <f t="shared" si="11"/>
        <v>1.3929028595145649</v>
      </c>
    </row>
    <row r="85" spans="2:7">
      <c r="B85">
        <f t="shared" si="8"/>
        <v>3.5999999999999952</v>
      </c>
      <c r="C85">
        <f t="shared" si="9"/>
        <v>2.5046805737172651E-2</v>
      </c>
      <c r="D85">
        <f t="shared" si="10"/>
        <v>2.2231976998090654E-12</v>
      </c>
      <c r="G85">
        <f t="shared" si="11"/>
        <v>1.3319370917387023</v>
      </c>
    </row>
    <row r="86" spans="2:7">
      <c r="B86">
        <f t="shared" ref="B86:B104" si="12">B85+0.05</f>
        <v>3.649999999999995</v>
      </c>
      <c r="C86">
        <f t="shared" si="9"/>
        <v>2.4881525617709607E-2</v>
      </c>
      <c r="D86">
        <f t="shared" si="10"/>
        <v>2.1272036591962384E-12</v>
      </c>
      <c r="G86">
        <f t="shared" si="11"/>
        <v>1.2744262265155706</v>
      </c>
    </row>
    <row r="87" spans="2:7">
      <c r="B87">
        <f t="shared" si="12"/>
        <v>3.6999999999999948</v>
      </c>
      <c r="C87">
        <f t="shared" si="9"/>
        <v>2.4719562772847488E-2</v>
      </c>
      <c r="D87">
        <f t="shared" si="10"/>
        <v>2.0365771480581476E-12</v>
      </c>
      <c r="G87">
        <f t="shared" si="11"/>
        <v>1.2201310949174853</v>
      </c>
    </row>
    <row r="88" spans="2:7">
      <c r="B88">
        <f t="shared" si="12"/>
        <v>3.7499999999999947</v>
      </c>
      <c r="C88">
        <f t="shared" si="9"/>
        <v>2.4560807128683228E-2</v>
      </c>
      <c r="D88">
        <f t="shared" si="10"/>
        <v>1.9509514749601127E-12</v>
      </c>
      <c r="G88">
        <f t="shared" si="11"/>
        <v>1.1688320089144004</v>
      </c>
    </row>
    <row r="89" spans="2:7">
      <c r="B89">
        <f t="shared" si="12"/>
        <v>3.7999999999999945</v>
      </c>
      <c r="C89">
        <f t="shared" si="9"/>
        <v>2.4405153668918492E-2</v>
      </c>
      <c r="D89">
        <f t="shared" si="10"/>
        <v>1.8699894287981196E-12</v>
      </c>
      <c r="G89">
        <f t="shared" si="11"/>
        <v>1.120326942398957</v>
      </c>
    </row>
    <row r="90" spans="2:7">
      <c r="B90">
        <f t="shared" si="12"/>
        <v>3.8499999999999943</v>
      </c>
      <c r="C90">
        <f t="shared" si="9"/>
        <v>2.4252502139595986E-2</v>
      </c>
      <c r="D90">
        <f t="shared" si="10"/>
        <v>1.7933805615534034E-12</v>
      </c>
      <c r="G90">
        <f t="shared" si="11"/>
        <v>1.0744299032611029</v>
      </c>
    </row>
    <row r="91" spans="2:7">
      <c r="B91">
        <f t="shared" si="12"/>
        <v>3.8999999999999941</v>
      </c>
      <c r="C91">
        <f t="shared" si="9"/>
        <v>2.4102756774650135E-2</v>
      </c>
      <c r="D91">
        <f t="shared" si="10"/>
        <v>1.7208387534780348E-12</v>
      </c>
      <c r="G91">
        <f t="shared" si="11"/>
        <v>1.0309694746695874</v>
      </c>
    </row>
    <row r="92" spans="2:7">
      <c r="B92">
        <f t="shared" si="12"/>
        <v>3.949999999999994</v>
      </c>
      <c r="C92">
        <f t="shared" si="9"/>
        <v>2.3955826040558369E-2</v>
      </c>
      <c r="D92">
        <f t="shared" si="10"/>
        <v>1.6521000262698115E-12</v>
      </c>
      <c r="G92">
        <f t="shared" si="11"/>
        <v>0.98978750492600409</v>
      </c>
    </row>
    <row r="93" spans="2:7">
      <c r="B93">
        <f t="shared" si="12"/>
        <v>3.9999999999999938</v>
      </c>
      <c r="C93">
        <f t="shared" si="9"/>
        <v>2.3811622398541732E-2</v>
      </c>
      <c r="D93">
        <f t="shared" si="10"/>
        <v>1.5869205781030031E-12</v>
      </c>
      <c r="G93">
        <f t="shared" si="11"/>
        <v>0.95073793023460884</v>
      </c>
    </row>
    <row r="94" spans="2:7">
      <c r="B94">
        <f t="shared" si="12"/>
        <v>4.0499999999999936</v>
      </c>
      <c r="C94">
        <f t="shared" si="9"/>
        <v>2.3670062082905514E-2</v>
      </c>
      <c r="D94">
        <f t="shared" si="10"/>
        <v>1.5250750146118734E-12</v>
      </c>
      <c r="G94">
        <f t="shared" si="11"/>
        <v>0.91368571486915073</v>
      </c>
    </row>
    <row r="95" spans="2:7">
      <c r="B95">
        <f t="shared" si="12"/>
        <v>4.0999999999999934</v>
      </c>
      <c r="C95">
        <f t="shared" si="9"/>
        <v>2.3531064894240741E-2</v>
      </c>
      <c r="D95">
        <f t="shared" si="10"/>
        <v>1.4663547543243973E-12</v>
      </c>
      <c r="G95">
        <f t="shared" si="11"/>
        <v>0.8785058958543337</v>
      </c>
    </row>
    <row r="96" spans="2:7">
      <c r="B96">
        <f t="shared" si="12"/>
        <v>4.1499999999999932</v>
      </c>
      <c r="C96">
        <f t="shared" si="9"/>
        <v>2.3394554006322614E-2</v>
      </c>
      <c r="D96">
        <f t="shared" si="10"/>
        <v>1.4105665897959432E-12</v>
      </c>
      <c r="G96">
        <f t="shared" si="11"/>
        <v>0.84508272092848202</v>
      </c>
    </row>
    <row r="97" spans="2:7">
      <c r="B97">
        <f t="shared" si="12"/>
        <v>4.1999999999999931</v>
      </c>
      <c r="C97">
        <f t="shared" si="9"/>
        <v>2.3260455785645839E-2</v>
      </c>
      <c r="D97">
        <f t="shared" si="10"/>
        <v>1.3575313867905494E-12</v>
      </c>
      <c r="G97">
        <f t="shared" si="11"/>
        <v>0.81330886921172174</v>
      </c>
    </row>
    <row r="98" spans="2:7">
      <c r="B98">
        <f t="shared" si="12"/>
        <v>4.2499999999999929</v>
      </c>
      <c r="C98">
        <f t="shared" si="9"/>
        <v>2.312869962263063E-2</v>
      </c>
      <c r="D98">
        <f t="shared" si="10"/>
        <v>1.3070829080639265E-12</v>
      </c>
      <c r="G98">
        <f t="shared" si="11"/>
        <v>0.7830847465241394</v>
      </c>
    </row>
    <row r="99" spans="2:7">
      <c r="B99">
        <f t="shared" si="12"/>
        <v>4.2999999999999927</v>
      </c>
      <c r="C99">
        <f t="shared" si="9"/>
        <v>2.2999217773617138E-2</v>
      </c>
      <c r="D99">
        <f t="shared" si="10"/>
        <v>1.2590667474187732E-12</v>
      </c>
      <c r="G99">
        <f t="shared" si="11"/>
        <v>0.75431784676904501</v>
      </c>
    </row>
    <row r="100" spans="2:7">
      <c r="B100">
        <f t="shared" si="12"/>
        <v>4.3499999999999925</v>
      </c>
      <c r="C100">
        <f t="shared" si="9"/>
        <v>2.2871945212842571E-2</v>
      </c>
      <c r="D100">
        <f t="shared" si="10"/>
        <v>1.2133393626874867E-12</v>
      </c>
      <c r="G100">
        <f t="shared" si="11"/>
        <v>0.72692217258449665</v>
      </c>
    </row>
    <row r="101" spans="2:7">
      <c r="B101">
        <f t="shared" si="12"/>
        <v>4.3999999999999924</v>
      </c>
      <c r="C101">
        <f t="shared" si="9"/>
        <v>2.2746819493663459E-2</v>
      </c>
      <c r="D101">
        <f t="shared" si="10"/>
        <v>1.1697671984838771E-12</v>
      </c>
      <c r="G101">
        <f t="shared" si="11"/>
        <v>0.70081770977621771</v>
      </c>
    </row>
    <row r="102" spans="2:7">
      <c r="B102">
        <f t="shared" si="12"/>
        <v>4.4499999999999922</v>
      </c>
      <c r="C102">
        <f t="shared" si="9"/>
        <v>2.2623780618348223E-2</v>
      </c>
      <c r="D102">
        <f t="shared" si="10"/>
        <v>1.1282258877916787E-12</v>
      </c>
      <c r="G102">
        <f t="shared" si="11"/>
        <v>0.67592994898232506</v>
      </c>
    </row>
    <row r="103" spans="2:7">
      <c r="B103">
        <f t="shared" si="12"/>
        <v>4.499999999999992</v>
      </c>
      <c r="C103">
        <f t="shared" si="9"/>
        <v>2.2502770915820883E-2</v>
      </c>
      <c r="D103">
        <f t="shared" si="10"/>
        <v>1.0885995265998272E-12</v>
      </c>
      <c r="G103">
        <f t="shared" si="11"/>
        <v>0.65218945110100979</v>
      </c>
    </row>
    <row r="104" spans="2:7">
      <c r="B104">
        <f t="shared" si="12"/>
        <v>4.5499999999999918</v>
      </c>
      <c r="C104">
        <f t="shared" si="9"/>
        <v>2.2383734926788388E-2</v>
      </c>
      <c r="D104">
        <f t="shared" si="10"/>
        <v>1.0507800116825475E-12</v>
      </c>
      <c r="G104">
        <f t="shared" si="11"/>
        <v>0.62953145054882487</v>
      </c>
    </row>
    <row r="105" spans="2:7">
      <c r="B105">
        <f t="shared" ref="B105:B112" si="13">B104+0.05</f>
        <v>4.5999999999999917</v>
      </c>
      <c r="C105">
        <f t="shared" si="9"/>
        <v>2.2266619295729692E-2</v>
      </c>
      <c r="D105">
        <f t="shared" si="10"/>
        <v>1.0146664378290853E-12</v>
      </c>
      <c r="G105">
        <f t="shared" si="11"/>
        <v>0.60789549413577071</v>
      </c>
    </row>
    <row r="106" spans="2:7">
      <c r="B106">
        <f t="shared" si="13"/>
        <v>4.6499999999999915</v>
      </c>
      <c r="C106">
        <f t="shared" si="9"/>
        <v>2.2151372669267529E-2</v>
      </c>
      <c r="D106">
        <f t="shared" si="10"/>
        <v>9.8016454732904545E-13</v>
      </c>
      <c r="G106">
        <f t="shared" si="11"/>
        <v>0.58722511124716981</v>
      </c>
    </row>
    <row r="107" spans="2:7">
      <c r="B107">
        <f t="shared" si="13"/>
        <v>4.6999999999999913</v>
      </c>
      <c r="C107">
        <f t="shared" si="9"/>
        <v>2.203794560048113E-2</v>
      </c>
      <c r="D107">
        <f t="shared" si="10"/>
        <v>9.4718622628227007E-13</v>
      </c>
      <c r="G107">
        <f t="shared" si="11"/>
        <v>0.56746751207853097</v>
      </c>
    </row>
    <row r="108" spans="2:7">
      <c r="B108">
        <f t="shared" si="13"/>
        <v>4.7499999999999911</v>
      </c>
      <c r="C108">
        <f t="shared" si="9"/>
        <v>2.1926290458754112E-2</v>
      </c>
      <c r="D108">
        <f t="shared" si="10"/>
        <v>9.1564904496504804E-13</v>
      </c>
      <c r="G108">
        <f t="shared" si="11"/>
        <v>0.54857331226494521</v>
      </c>
    </row>
    <row r="109" spans="2:7">
      <c r="B109">
        <f t="shared" si="13"/>
        <v>4.7999999999999909</v>
      </c>
      <c r="C109">
        <f t="shared" si="9"/>
        <v>2.1816361344782376E-2</v>
      </c>
      <c r="D109">
        <f t="shared" si="10"/>
        <v>8.8547583596910911E-13</v>
      </c>
      <c r="G109">
        <f t="shared" si="11"/>
        <v>0.53049628014048478</v>
      </c>
    </row>
    <row r="110" spans="2:7">
      <c r="B110">
        <f t="shared" si="13"/>
        <v>4.8499999999999908</v>
      </c>
      <c r="C110">
        <f t="shared" si="9"/>
        <v>2.1708114010396733E-2</v>
      </c>
      <c r="D110">
        <f t="shared" si="10"/>
        <v>8.5659430822708359E-13</v>
      </c>
      <c r="G110">
        <f t="shared" si="11"/>
        <v>0.51319310549749741</v>
      </c>
    </row>
    <row r="111" spans="2:7">
      <c r="B111">
        <f t="shared" si="13"/>
        <v>4.8999999999999906</v>
      </c>
      <c r="C111">
        <f t="shared" si="9"/>
        <v>2.1601505782880809E-2</v>
      </c>
      <c r="D111">
        <f t="shared" si="10"/>
        <v>8.2893669280861687E-13</v>
      </c>
      <c r="G111">
        <f t="shared" si="11"/>
        <v>0.49662318737997513</v>
      </c>
    </row>
    <row r="112" spans="2:7">
      <c r="B112">
        <f t="shared" si="13"/>
        <v>4.9499999999999904</v>
      </c>
      <c r="C112">
        <f t="shared" si="9"/>
        <v>2.1496495493489424E-2</v>
      </c>
      <c r="D112">
        <f t="shared" si="10"/>
        <v>8.0243941769995937E-13</v>
      </c>
      <c r="G112">
        <f t="shared" si="11"/>
        <v>0.48074843924117638</v>
      </c>
    </row>
  </sheetData>
  <phoneticPr fontId="5"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program</vt:lpstr>
      <vt:lpstr>Fig. 9 revised</vt:lpstr>
      <vt:lpstr>Fig. 8 revised</vt:lpstr>
      <vt:lpstr>Fig. 7 revised</vt:lpstr>
      <vt:lpstr>Fig. 6 revised</vt:lpstr>
      <vt:lpstr>fig. 4 revised</vt:lpstr>
      <vt:lpstr>responses to real A</vt:lpstr>
      <vt:lpstr>ball berry leuning</vt:lpstr>
      <vt:lpstr>A-ci worksheet</vt:lpstr>
      <vt:lpstr>instructions and example</vt:lpstr>
      <vt:lpstr>root and xylem worksheet</vt:lpstr>
      <vt:lpstr>van genuchten parameters</vt:lpstr>
      <vt:lpstr>'fig. 4 revised'!b</vt:lpstr>
      <vt:lpstr>'Fig. 6 revised'!b</vt:lpstr>
      <vt:lpstr>'fig. 4 revised'!ccoef</vt:lpstr>
      <vt:lpstr>'Fig. 6 revised'!ccoef</vt:lpstr>
      <vt:lpstr>'fig. 4 revised'!free</vt:lpstr>
    </vt:vector>
  </TitlesOfParts>
  <Company>University of Utah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Sperry</dc:creator>
  <cp:lastModifiedBy>HP User</cp:lastModifiedBy>
  <cp:lastPrinted>2013-10-09T17:31:41Z</cp:lastPrinted>
  <dcterms:created xsi:type="dcterms:W3CDTF">2013-09-09T23:28:49Z</dcterms:created>
  <dcterms:modified xsi:type="dcterms:W3CDTF">2016-09-20T19:54:11Z</dcterms:modified>
</cp:coreProperties>
</file>